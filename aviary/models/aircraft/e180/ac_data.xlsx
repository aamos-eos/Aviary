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lexanderAmos\Documents\code\aircraft_performance\models\atlas\atlas\scenarios\setup_mission\"/>
    </mc:Choice>
  </mc:AlternateContent>
  <xr:revisionPtr revIDLastSave="0" documentId="13_ncr:1_{35C08E9E-E118-4D57-8706-2EF718CB5253}" xr6:coauthVersionLast="47" xr6:coauthVersionMax="47" xr10:uidLastSave="{00000000-0000-0000-0000-000000000000}"/>
  <bookViews>
    <workbookView xWindow="-28920" yWindow="-120" windowWidth="29040" windowHeight="15720" activeTab="3" xr2:uid="{00000000-000D-0000-FFFF-FFFF00000000}"/>
  </bookViews>
  <sheets>
    <sheet name="aero" sheetId="1" r:id="rId1"/>
    <sheet name="geom" sheetId="2" r:id="rId2"/>
    <sheet name="weights" sheetId="3" r:id="rId3"/>
    <sheet name="propuls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1" i="2" l="1"/>
  <c r="C23" i="2" s="1"/>
  <c r="C84" i="2"/>
  <c r="C17" i="2" l="1"/>
  <c r="C40" i="2"/>
</calcChain>
</file>

<file path=xl/sharedStrings.xml><?xml version="1.0" encoding="utf-8"?>
<sst xmlns="http://schemas.openxmlformats.org/spreadsheetml/2006/main" count="362" uniqueCount="147">
  <si>
    <t>key</t>
  </si>
  <si>
    <t>subkey</t>
  </si>
  <si>
    <t>value</t>
  </si>
  <si>
    <t>units</t>
  </si>
  <si>
    <t>polar</t>
  </si>
  <si>
    <t>cd_gear</t>
  </si>
  <si>
    <t>cd_sp</t>
  </si>
  <si>
    <t>cd_oei</t>
  </si>
  <si>
    <t>cd_baseline</t>
  </si>
  <si>
    <t>roughness_drag</t>
  </si>
  <si>
    <t>cd_other</t>
  </si>
  <si>
    <t>k_rough</t>
  </si>
  <si>
    <t>wing</t>
  </si>
  <si>
    <t>m</t>
  </si>
  <si>
    <t>deg</t>
  </si>
  <si>
    <t>taper</t>
  </si>
  <si>
    <t>toverc</t>
  </si>
  <si>
    <t>MAC</t>
  </si>
  <si>
    <t>maxtcsweep</t>
  </si>
  <si>
    <t>airfoil_camber</t>
  </si>
  <si>
    <t>fuselage</t>
  </si>
  <si>
    <t>width</t>
  </si>
  <si>
    <t>length</t>
  </si>
  <si>
    <t>height</t>
  </si>
  <si>
    <t>hstab</t>
  </si>
  <si>
    <t>c4_to_wing_c4</t>
  </si>
  <si>
    <t>S_wet</t>
  </si>
  <si>
    <t>hinge_factor</t>
  </si>
  <si>
    <t>vstab</t>
  </si>
  <si>
    <t>nacelle</t>
  </si>
  <si>
    <t>dive_speed</t>
  </si>
  <si>
    <t>kn</t>
  </si>
  <si>
    <t>pressure_diff</t>
  </si>
  <si>
    <t>psi</t>
  </si>
  <si>
    <t>n_ult</t>
  </si>
  <si>
    <t>windows</t>
  </si>
  <si>
    <t>a_eff</t>
  </si>
  <si>
    <t>inch</t>
  </si>
  <si>
    <t>base_pressure</t>
  </si>
  <si>
    <t>area</t>
  </si>
  <si>
    <t>inch**2</t>
  </si>
  <si>
    <t>windshield_thickness</t>
  </si>
  <si>
    <t>windshield_surface_front</t>
  </si>
  <si>
    <t>windshield_surface_side</t>
  </si>
  <si>
    <t>apex_percentage</t>
  </si>
  <si>
    <t>strut_bracing_factor</t>
  </si>
  <si>
    <t>aeroelastic_tailoring_factor</t>
  </si>
  <si>
    <t>composite_fraction</t>
  </si>
  <si>
    <t>bending_material_weight_scaler</t>
  </si>
  <si>
    <t>load_fraction</t>
  </si>
  <si>
    <t>misc_weight_scaler</t>
  </si>
  <si>
    <t>shear_control_weight_scaler</t>
  </si>
  <si>
    <t>var_sweep_weight_penalty</t>
  </si>
  <si>
    <t>weight_scaler</t>
  </si>
  <si>
    <t>nacelle_inboard</t>
  </si>
  <si>
    <t>lbm</t>
  </si>
  <si>
    <t>ft</t>
  </si>
  <si>
    <t>nacelle_outboard</t>
  </si>
  <si>
    <t>mlg</t>
  </si>
  <si>
    <t>nlg</t>
  </si>
  <si>
    <t>flight_controls</t>
  </si>
  <si>
    <t>max_mach</t>
  </si>
  <si>
    <t>cabin</t>
  </si>
  <si>
    <t>num_passengers</t>
  </si>
  <si>
    <t>max_passengers</t>
  </si>
  <si>
    <t>business_class_pax</t>
  </si>
  <si>
    <t>num_rows_fwd</t>
  </si>
  <si>
    <t>pitch</t>
  </si>
  <si>
    <t>percent_cross_section</t>
  </si>
  <si>
    <t>electrical</t>
  </si>
  <si>
    <t>W</t>
  </si>
  <si>
    <t>nacelle_distance</t>
  </si>
  <si>
    <t>max_voltage</t>
  </si>
  <si>
    <t>V</t>
  </si>
  <si>
    <t>MTOW</t>
  </si>
  <si>
    <t>W_fuel_max</t>
  </si>
  <si>
    <t>MLW</t>
  </si>
  <si>
    <t>prop</t>
  </si>
  <si>
    <t>diameter</t>
  </si>
  <si>
    <t>num_props</t>
  </si>
  <si>
    <t>turbine</t>
  </si>
  <si>
    <t>rating</t>
  </si>
  <si>
    <t>kW</t>
  </si>
  <si>
    <t>motor</t>
  </si>
  <si>
    <t>battery</t>
  </si>
  <si>
    <t>t_cell_init</t>
  </si>
  <si>
    <t>K</t>
  </si>
  <si>
    <t>q_cool_bat</t>
  </si>
  <si>
    <t>gearbox</t>
  </si>
  <si>
    <t>max_rated_power</t>
  </si>
  <si>
    <t>max_continuous_power</t>
  </si>
  <si>
    <t>num_em_per_nac</t>
  </si>
  <si>
    <t>num_turb_per_nac</t>
  </si>
  <si>
    <t>num_nac</t>
  </si>
  <si>
    <t>num_blades</t>
  </si>
  <si>
    <t>power_density</t>
  </si>
  <si>
    <t>kW/lbm</t>
  </si>
  <si>
    <t>n_engines</t>
  </si>
  <si>
    <t>k</t>
  </si>
  <si>
    <t>RPMin</t>
  </si>
  <si>
    <t>rpm</t>
  </si>
  <si>
    <t>RPMout</t>
  </si>
  <si>
    <t>tms</t>
  </si>
  <si>
    <t>motor_efficiency</t>
  </si>
  <si>
    <t>gearbox_heat</t>
  </si>
  <si>
    <t>c0_sweep</t>
  </si>
  <si>
    <t>c2_sweep</t>
  </si>
  <si>
    <t>OEW</t>
  </si>
  <si>
    <t>turbine_heat_per_nac</t>
  </si>
  <si>
    <t>control_surface_area_ratio</t>
  </si>
  <si>
    <t>CLmax</t>
  </si>
  <si>
    <t xml:space="preserve">  </t>
  </si>
  <si>
    <t>counter_rotating</t>
  </si>
  <si>
    <t>landing_gear</t>
  </si>
  <si>
    <t>mlg_height</t>
  </si>
  <si>
    <t>nlg_height</t>
  </si>
  <si>
    <t>tail_volume</t>
  </si>
  <si>
    <t>ft**2</t>
  </si>
  <si>
    <t>batt_energy</t>
  </si>
  <si>
    <t>batt_density</t>
  </si>
  <si>
    <t>W*h</t>
  </si>
  <si>
    <t>W*h/lbm</t>
  </si>
  <si>
    <t>S_trap</t>
  </si>
  <si>
    <t>span_trap</t>
  </si>
  <si>
    <t>kW/kg</t>
  </si>
  <si>
    <t>S_plan</t>
  </si>
  <si>
    <t>span_plan</t>
  </si>
  <si>
    <t>volume_coeff</t>
  </si>
  <si>
    <t>ft**3</t>
  </si>
  <si>
    <t>sizing_method</t>
  </si>
  <si>
    <t>in</t>
  </si>
  <si>
    <t>specific_cooling_capacity_em_tms</t>
  </si>
  <si>
    <t>specific_cooling_capacity_turbine_tms</t>
  </si>
  <si>
    <t>lever_arm_fuse_length_ratio</t>
  </si>
  <si>
    <t>specific_cooling_capacity_battery_tms</t>
  </si>
  <si>
    <t>b_fairing_strt_y_loc</t>
  </si>
  <si>
    <t>y_loc</t>
  </si>
  <si>
    <t>cabin_length</t>
  </si>
  <si>
    <t>nose_tail_length</t>
  </si>
  <si>
    <t>const_sec_length</t>
  </si>
  <si>
    <t>belly_fairing_corr</t>
  </si>
  <si>
    <t>fuse w fairing / fuse_wout_fairing</t>
  </si>
  <si>
    <t>aft_fuse_area</t>
  </si>
  <si>
    <t>cockpit_area</t>
  </si>
  <si>
    <t>dorsal_fin_chord_fraction</t>
  </si>
  <si>
    <t>dorsal_fin_span_fraction</t>
  </si>
  <si>
    <t>cont_rating_per_nac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</si>
</sst>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activeCell="L16" sqref="L16"/>
    </sheetView>
  </sheetViews>
  <sheetFormatPr defaultRowHeight="14.4" x14ac:dyDescent="0.3"/>
  <cols>
    <col min="1" max="1" width="9.6640625" bestFit="1" customWidth="1"/>
    <col min="2" max="2" width="13.88671875" bestFit="1" customWidth="1"/>
    <col min="3" max="3" width="7" bestFit="1" customWidth="1"/>
    <col min="4" max="4" width="5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2.1100000000000001E-2</v>
      </c>
    </row>
    <row r="3" spans="1:4" x14ac:dyDescent="0.3">
      <c r="A3" t="s">
        <v>4</v>
      </c>
      <c r="B3" t="s">
        <v>6</v>
      </c>
      <c r="C3">
        <v>0</v>
      </c>
    </row>
    <row r="4" spans="1:4" x14ac:dyDescent="0.3">
      <c r="A4" t="s">
        <v>4</v>
      </c>
      <c r="B4" t="s">
        <v>7</v>
      </c>
      <c r="C4">
        <v>0</v>
      </c>
    </row>
    <row r="5" spans="1:4" x14ac:dyDescent="0.3">
      <c r="A5" t="s">
        <v>4</v>
      </c>
      <c r="B5" t="s">
        <v>8</v>
      </c>
      <c r="C5">
        <v>0</v>
      </c>
    </row>
    <row r="6" spans="1:4" x14ac:dyDescent="0.3">
      <c r="A6" t="s">
        <v>4</v>
      </c>
      <c r="B6" t="s">
        <v>9</v>
      </c>
      <c r="C6">
        <v>0.02</v>
      </c>
    </row>
    <row r="7" spans="1:4" x14ac:dyDescent="0.3">
      <c r="A7" t="s">
        <v>4</v>
      </c>
      <c r="B7" t="s">
        <v>10</v>
      </c>
      <c r="C7">
        <v>6.1999999999999998E-3</v>
      </c>
    </row>
    <row r="8" spans="1:4" x14ac:dyDescent="0.3">
      <c r="A8" t="s">
        <v>4</v>
      </c>
      <c r="B8" t="s">
        <v>110</v>
      </c>
      <c r="C8">
        <v>2.5579999999999998</v>
      </c>
    </row>
    <row r="9" spans="1:4" x14ac:dyDescent="0.3">
      <c r="B9" t="s">
        <v>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2"/>
  <sheetViews>
    <sheetView topLeftCell="A40" workbookViewId="0">
      <selection activeCell="C78" sqref="C78"/>
    </sheetView>
  </sheetViews>
  <sheetFormatPr defaultRowHeight="14.4" x14ac:dyDescent="0.3"/>
  <cols>
    <col min="1" max="1" width="15.44140625" bestFit="1" customWidth="1"/>
    <col min="2" max="2" width="27.6640625" bestFit="1" customWidth="1"/>
    <col min="3" max="3" width="12.5546875" bestFit="1" customWidth="1"/>
    <col min="4" max="4" width="7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3">
      <c r="A2" t="s">
        <v>11</v>
      </c>
      <c r="C2">
        <v>1.0000000000000001E-5</v>
      </c>
    </row>
    <row r="3" spans="1:5" x14ac:dyDescent="0.3">
      <c r="A3" t="s">
        <v>12</v>
      </c>
      <c r="B3" t="s">
        <v>125</v>
      </c>
      <c r="C3">
        <v>927.85</v>
      </c>
      <c r="D3" t="s">
        <v>117</v>
      </c>
    </row>
    <row r="4" spans="1:5" x14ac:dyDescent="0.3">
      <c r="A4" t="s">
        <v>12</v>
      </c>
      <c r="B4" t="s">
        <v>122</v>
      </c>
      <c r="C4">
        <v>912.91</v>
      </c>
      <c r="D4" t="s">
        <v>117</v>
      </c>
    </row>
    <row r="5" spans="1:5" x14ac:dyDescent="0.3">
      <c r="A5" t="s">
        <v>12</v>
      </c>
      <c r="B5" t="s">
        <v>126</v>
      </c>
      <c r="C5" s="3">
        <v>115.81666666666666</v>
      </c>
      <c r="D5" t="s">
        <v>56</v>
      </c>
    </row>
    <row r="6" spans="1:5" x14ac:dyDescent="0.3">
      <c r="A6" t="s">
        <v>12</v>
      </c>
      <c r="B6" t="s">
        <v>123</v>
      </c>
      <c r="C6" s="3">
        <v>110.66666666666667</v>
      </c>
      <c r="D6" t="s">
        <v>56</v>
      </c>
    </row>
    <row r="7" spans="1:5" x14ac:dyDescent="0.3">
      <c r="A7" t="s">
        <v>12</v>
      </c>
      <c r="B7" t="s">
        <v>15</v>
      </c>
      <c r="C7">
        <v>0.35599999999999998</v>
      </c>
    </row>
    <row r="8" spans="1:5" x14ac:dyDescent="0.3">
      <c r="A8" t="s">
        <v>12</v>
      </c>
      <c r="B8" t="s">
        <v>16</v>
      </c>
      <c r="C8">
        <v>0.155</v>
      </c>
    </row>
    <row r="9" spans="1:5" x14ac:dyDescent="0.3">
      <c r="A9" t="s">
        <v>12</v>
      </c>
      <c r="B9" t="s">
        <v>18</v>
      </c>
      <c r="C9">
        <v>1</v>
      </c>
      <c r="D9" t="s">
        <v>14</v>
      </c>
    </row>
    <row r="10" spans="1:5" x14ac:dyDescent="0.3">
      <c r="A10" t="s">
        <v>12</v>
      </c>
      <c r="B10" t="s">
        <v>19</v>
      </c>
      <c r="C10">
        <v>0.02</v>
      </c>
    </row>
    <row r="11" spans="1:5" x14ac:dyDescent="0.3">
      <c r="A11" t="s">
        <v>12</v>
      </c>
      <c r="B11" t="s">
        <v>135</v>
      </c>
      <c r="C11">
        <v>56</v>
      </c>
      <c r="D11" t="s">
        <v>37</v>
      </c>
    </row>
    <row r="12" spans="1:5" x14ac:dyDescent="0.3">
      <c r="A12" t="s">
        <v>20</v>
      </c>
      <c r="B12" t="s">
        <v>140</v>
      </c>
      <c r="C12">
        <v>1.0109999999999999</v>
      </c>
      <c r="D12" t="s">
        <v>117</v>
      </c>
      <c r="E12" t="s">
        <v>141</v>
      </c>
    </row>
    <row r="13" spans="1:5" x14ac:dyDescent="0.3">
      <c r="A13" t="s">
        <v>20</v>
      </c>
      <c r="B13" t="s">
        <v>21</v>
      </c>
      <c r="C13">
        <v>10.16</v>
      </c>
      <c r="D13" t="s">
        <v>56</v>
      </c>
    </row>
    <row r="14" spans="1:5" x14ac:dyDescent="0.3">
      <c r="A14" t="s">
        <v>20</v>
      </c>
      <c r="B14" t="s">
        <v>139</v>
      </c>
      <c r="C14">
        <v>56.167000000000002</v>
      </c>
      <c r="D14" t="s">
        <v>56</v>
      </c>
    </row>
    <row r="15" spans="1:5" x14ac:dyDescent="0.3">
      <c r="A15" t="s">
        <v>20</v>
      </c>
      <c r="B15" t="s">
        <v>142</v>
      </c>
      <c r="C15">
        <v>497.34</v>
      </c>
      <c r="D15" t="s">
        <v>117</v>
      </c>
    </row>
    <row r="16" spans="1:5" x14ac:dyDescent="0.3">
      <c r="A16" t="s">
        <v>20</v>
      </c>
      <c r="B16" t="s">
        <v>143</v>
      </c>
      <c r="C16">
        <v>429</v>
      </c>
      <c r="D16" t="s">
        <v>117</v>
      </c>
    </row>
    <row r="17" spans="1:4" x14ac:dyDescent="0.3">
      <c r="A17" t="s">
        <v>20</v>
      </c>
      <c r="B17" t="s">
        <v>138</v>
      </c>
      <c r="C17">
        <f>97.89-C84</f>
        <v>34.89</v>
      </c>
      <c r="D17" t="s">
        <v>56</v>
      </c>
    </row>
    <row r="18" spans="1:4" x14ac:dyDescent="0.3">
      <c r="A18" t="s">
        <v>20</v>
      </c>
      <c r="B18" t="s">
        <v>23</v>
      </c>
      <c r="C18">
        <v>9.8719999999999999</v>
      </c>
      <c r="D18" t="s">
        <v>56</v>
      </c>
    </row>
    <row r="19" spans="1:4" x14ac:dyDescent="0.3">
      <c r="A19" t="s">
        <v>20</v>
      </c>
      <c r="B19" t="s">
        <v>17</v>
      </c>
      <c r="C19">
        <v>30</v>
      </c>
      <c r="D19" t="s">
        <v>13</v>
      </c>
    </row>
    <row r="20" spans="1:4" x14ac:dyDescent="0.3">
      <c r="A20" t="s">
        <v>113</v>
      </c>
      <c r="B20" t="s">
        <v>114</v>
      </c>
      <c r="C20">
        <v>54.74</v>
      </c>
      <c r="D20" t="s">
        <v>37</v>
      </c>
    </row>
    <row r="21" spans="1:4" x14ac:dyDescent="0.3">
      <c r="A21" t="s">
        <v>113</v>
      </c>
      <c r="B21" t="s">
        <v>115</v>
      </c>
      <c r="C21">
        <v>65.400000000000006</v>
      </c>
      <c r="D21" t="s">
        <v>37</v>
      </c>
    </row>
    <row r="22" spans="1:4" x14ac:dyDescent="0.3">
      <c r="A22" t="s">
        <v>24</v>
      </c>
      <c r="B22" t="s">
        <v>25</v>
      </c>
      <c r="C22">
        <v>47.6</v>
      </c>
      <c r="D22" t="s">
        <v>56</v>
      </c>
    </row>
    <row r="23" spans="1:4" x14ac:dyDescent="0.3">
      <c r="A23" t="s">
        <v>24</v>
      </c>
      <c r="B23" t="s">
        <v>133</v>
      </c>
      <c r="C23">
        <f>C22/F41</f>
        <v>0.48625180897250364</v>
      </c>
    </row>
    <row r="24" spans="1:4" x14ac:dyDescent="0.3">
      <c r="A24" t="s">
        <v>24</v>
      </c>
      <c r="B24" t="s">
        <v>18</v>
      </c>
      <c r="C24">
        <v>0</v>
      </c>
      <c r="D24" t="s">
        <v>14</v>
      </c>
    </row>
    <row r="25" spans="1:4" x14ac:dyDescent="0.3">
      <c r="A25" t="s">
        <v>24</v>
      </c>
      <c r="B25" t="s">
        <v>16</v>
      </c>
      <c r="C25">
        <v>0.12</v>
      </c>
    </row>
    <row r="26" spans="1:4" x14ac:dyDescent="0.3">
      <c r="A26" t="s">
        <v>24</v>
      </c>
      <c r="B26" t="s">
        <v>27</v>
      </c>
      <c r="C26">
        <v>1.1000000000000001</v>
      </c>
    </row>
    <row r="27" spans="1:4" x14ac:dyDescent="0.3">
      <c r="A27" t="s">
        <v>24</v>
      </c>
      <c r="B27" t="s">
        <v>123</v>
      </c>
      <c r="C27">
        <v>384</v>
      </c>
      <c r="D27" t="s">
        <v>37</v>
      </c>
    </row>
    <row r="28" spans="1:4" x14ac:dyDescent="0.3">
      <c r="A28" t="s">
        <v>24</v>
      </c>
      <c r="B28" t="s">
        <v>126</v>
      </c>
      <c r="C28">
        <v>392.86</v>
      </c>
      <c r="D28" t="s">
        <v>37</v>
      </c>
    </row>
    <row r="29" spans="1:4" x14ac:dyDescent="0.3">
      <c r="A29" t="s">
        <v>24</v>
      </c>
      <c r="B29" t="s">
        <v>129</v>
      </c>
      <c r="C29" t="s">
        <v>116</v>
      </c>
    </row>
    <row r="30" spans="1:4" x14ac:dyDescent="0.3">
      <c r="A30" t="s">
        <v>24</v>
      </c>
      <c r="B30" t="s">
        <v>15</v>
      </c>
      <c r="C30">
        <v>0.62</v>
      </c>
    </row>
    <row r="31" spans="1:4" x14ac:dyDescent="0.3">
      <c r="A31" t="s">
        <v>24</v>
      </c>
      <c r="B31" t="s">
        <v>127</v>
      </c>
      <c r="C31">
        <v>1.2130000000000001</v>
      </c>
    </row>
    <row r="32" spans="1:4" x14ac:dyDescent="0.3">
      <c r="A32" t="s">
        <v>24</v>
      </c>
      <c r="B32" t="s">
        <v>116</v>
      </c>
      <c r="C32">
        <v>10200</v>
      </c>
      <c r="D32" t="s">
        <v>128</v>
      </c>
    </row>
    <row r="33" spans="1:7" x14ac:dyDescent="0.3">
      <c r="A33" t="s">
        <v>28</v>
      </c>
      <c r="B33" t="s">
        <v>18</v>
      </c>
      <c r="C33">
        <v>38.405999999999999</v>
      </c>
      <c r="D33" t="s">
        <v>14</v>
      </c>
    </row>
    <row r="34" spans="1:7" x14ac:dyDescent="0.3">
      <c r="A34" t="s">
        <v>28</v>
      </c>
      <c r="B34" t="s">
        <v>16</v>
      </c>
      <c r="C34">
        <v>0.12</v>
      </c>
    </row>
    <row r="35" spans="1:7" x14ac:dyDescent="0.3">
      <c r="A35" t="s">
        <v>28</v>
      </c>
      <c r="B35" t="s">
        <v>27</v>
      </c>
      <c r="C35">
        <v>1.1000000000000001</v>
      </c>
    </row>
    <row r="36" spans="1:7" x14ac:dyDescent="0.3">
      <c r="A36" t="s">
        <v>28</v>
      </c>
      <c r="B36" t="s">
        <v>123</v>
      </c>
      <c r="C36">
        <v>154.96</v>
      </c>
      <c r="D36" t="s">
        <v>37</v>
      </c>
    </row>
    <row r="37" spans="1:7" x14ac:dyDescent="0.3">
      <c r="A37" t="s">
        <v>28</v>
      </c>
      <c r="B37" t="s">
        <v>126</v>
      </c>
      <c r="C37">
        <v>166.89</v>
      </c>
      <c r="D37" t="s">
        <v>37</v>
      </c>
    </row>
    <row r="38" spans="1:7" x14ac:dyDescent="0.3">
      <c r="A38" t="s">
        <v>28</v>
      </c>
      <c r="B38" t="s">
        <v>15</v>
      </c>
      <c r="C38">
        <v>0.504</v>
      </c>
    </row>
    <row r="39" spans="1:7" x14ac:dyDescent="0.3">
      <c r="A39" t="s">
        <v>28</v>
      </c>
      <c r="B39" t="s">
        <v>25</v>
      </c>
      <c r="C39">
        <v>41.4</v>
      </c>
      <c r="D39" t="s">
        <v>56</v>
      </c>
      <c r="F39">
        <v>1174.7</v>
      </c>
      <c r="G39" t="s">
        <v>130</v>
      </c>
    </row>
    <row r="40" spans="1:7" x14ac:dyDescent="0.3">
      <c r="A40" t="s">
        <v>28</v>
      </c>
      <c r="B40" t="s">
        <v>133</v>
      </c>
      <c r="C40">
        <f>C39/F41</f>
        <v>0.42291648931642123</v>
      </c>
    </row>
    <row r="41" spans="1:7" x14ac:dyDescent="0.3">
      <c r="A41" t="s">
        <v>28</v>
      </c>
      <c r="B41" t="s">
        <v>127</v>
      </c>
      <c r="C41">
        <v>6.3E-2</v>
      </c>
      <c r="F41">
        <f>F39/12</f>
        <v>97.891666666666666</v>
      </c>
      <c r="G41" t="s">
        <v>56</v>
      </c>
    </row>
    <row r="42" spans="1:7" x14ac:dyDescent="0.3">
      <c r="A42" t="s">
        <v>28</v>
      </c>
      <c r="B42" t="s">
        <v>145</v>
      </c>
      <c r="C42">
        <v>0.1</v>
      </c>
    </row>
    <row r="43" spans="1:7" x14ac:dyDescent="0.3">
      <c r="A43" t="s">
        <v>28</v>
      </c>
      <c r="B43" t="s">
        <v>144</v>
      </c>
      <c r="C43">
        <v>0.3</v>
      </c>
    </row>
    <row r="44" spans="1:7" x14ac:dyDescent="0.3">
      <c r="A44" t="s">
        <v>28</v>
      </c>
      <c r="B44" t="s">
        <v>116</v>
      </c>
      <c r="C44">
        <v>6800</v>
      </c>
      <c r="D44" t="s">
        <v>128</v>
      </c>
      <c r="G44" t="s">
        <v>24</v>
      </c>
    </row>
    <row r="45" spans="1:7" x14ac:dyDescent="0.3">
      <c r="A45" t="s">
        <v>28</v>
      </c>
      <c r="B45" t="s">
        <v>129</v>
      </c>
      <c r="C45" t="s">
        <v>116</v>
      </c>
      <c r="G45" t="s">
        <v>28</v>
      </c>
    </row>
    <row r="46" spans="1:7" x14ac:dyDescent="0.3">
      <c r="A46" t="s">
        <v>20</v>
      </c>
      <c r="B46" t="s">
        <v>30</v>
      </c>
      <c r="C46">
        <v>315</v>
      </c>
      <c r="D46" t="s">
        <v>31</v>
      </c>
    </row>
    <row r="47" spans="1:7" x14ac:dyDescent="0.3">
      <c r="A47" t="s">
        <v>20</v>
      </c>
      <c r="B47" t="s">
        <v>32</v>
      </c>
      <c r="C47">
        <v>9.25</v>
      </c>
      <c r="D47" t="s">
        <v>33</v>
      </c>
    </row>
    <row r="48" spans="1:7" x14ac:dyDescent="0.3">
      <c r="A48" t="s">
        <v>20</v>
      </c>
      <c r="B48" t="s">
        <v>34</v>
      </c>
      <c r="C48">
        <v>1.5</v>
      </c>
    </row>
    <row r="49" spans="1:4" x14ac:dyDescent="0.3">
      <c r="A49" t="s">
        <v>35</v>
      </c>
      <c r="B49" t="s">
        <v>36</v>
      </c>
      <c r="C49">
        <v>6</v>
      </c>
      <c r="D49" t="s">
        <v>37</v>
      </c>
    </row>
    <row r="50" spans="1:4" x14ac:dyDescent="0.3">
      <c r="A50" t="s">
        <v>35</v>
      </c>
      <c r="B50" t="s">
        <v>38</v>
      </c>
      <c r="C50">
        <v>6</v>
      </c>
      <c r="D50" t="s">
        <v>33</v>
      </c>
    </row>
    <row r="51" spans="1:4" x14ac:dyDescent="0.3">
      <c r="A51" t="s">
        <v>35</v>
      </c>
      <c r="B51" t="s">
        <v>39</v>
      </c>
      <c r="C51">
        <v>175</v>
      </c>
      <c r="D51" t="s">
        <v>40</v>
      </c>
    </row>
    <row r="52" spans="1:4" x14ac:dyDescent="0.3">
      <c r="A52" t="s">
        <v>35</v>
      </c>
      <c r="B52" t="s">
        <v>41</v>
      </c>
      <c r="C52">
        <v>0.5</v>
      </c>
      <c r="D52" t="s">
        <v>37</v>
      </c>
    </row>
    <row r="53" spans="1:4" x14ac:dyDescent="0.3">
      <c r="A53" t="s">
        <v>35</v>
      </c>
      <c r="B53" t="s">
        <v>42</v>
      </c>
      <c r="C53">
        <v>1100</v>
      </c>
      <c r="D53" t="s">
        <v>40</v>
      </c>
    </row>
    <row r="54" spans="1:4" x14ac:dyDescent="0.3">
      <c r="A54" t="s">
        <v>35</v>
      </c>
      <c r="B54" t="s">
        <v>43</v>
      </c>
      <c r="C54">
        <v>928.7</v>
      </c>
      <c r="D54" t="s">
        <v>40</v>
      </c>
    </row>
    <row r="55" spans="1:4" x14ac:dyDescent="0.3">
      <c r="A55" t="s">
        <v>12</v>
      </c>
      <c r="B55" t="s">
        <v>105</v>
      </c>
      <c r="C55">
        <v>4.8540000000000001</v>
      </c>
      <c r="D55" t="s">
        <v>14</v>
      </c>
    </row>
    <row r="56" spans="1:4" x14ac:dyDescent="0.3">
      <c r="A56" t="s">
        <v>12</v>
      </c>
      <c r="B56" t="s">
        <v>44</v>
      </c>
      <c r="C56">
        <v>46.2</v>
      </c>
    </row>
    <row r="57" spans="1:4" x14ac:dyDescent="0.3">
      <c r="A57" t="s">
        <v>12</v>
      </c>
      <c r="B57" t="s">
        <v>109</v>
      </c>
      <c r="C57">
        <v>0.35393651999999998</v>
      </c>
    </row>
    <row r="58" spans="1:4" x14ac:dyDescent="0.3">
      <c r="A58" t="s">
        <v>12</v>
      </c>
      <c r="B58" t="s">
        <v>45</v>
      </c>
      <c r="C58">
        <v>0</v>
      </c>
    </row>
    <row r="59" spans="1:4" x14ac:dyDescent="0.3">
      <c r="A59" t="s">
        <v>12</v>
      </c>
      <c r="B59" t="s">
        <v>46</v>
      </c>
      <c r="C59">
        <v>0</v>
      </c>
    </row>
    <row r="60" spans="1:4" x14ac:dyDescent="0.3">
      <c r="A60" t="s">
        <v>12</v>
      </c>
      <c r="B60" t="s">
        <v>47</v>
      </c>
      <c r="C60">
        <v>0.5</v>
      </c>
    </row>
    <row r="61" spans="1:4" x14ac:dyDescent="0.3">
      <c r="A61" t="s">
        <v>12</v>
      </c>
      <c r="B61" t="s">
        <v>34</v>
      </c>
      <c r="C61">
        <v>3.75</v>
      </c>
    </row>
    <row r="62" spans="1:4" x14ac:dyDescent="0.3">
      <c r="A62" t="s">
        <v>12</v>
      </c>
      <c r="B62" t="s">
        <v>48</v>
      </c>
      <c r="C62">
        <v>1</v>
      </c>
    </row>
    <row r="63" spans="1:4" x14ac:dyDescent="0.3">
      <c r="A63" t="s">
        <v>12</v>
      </c>
      <c r="B63" t="s">
        <v>49</v>
      </c>
      <c r="C63">
        <v>1</v>
      </c>
    </row>
    <row r="64" spans="1:4" x14ac:dyDescent="0.3">
      <c r="A64" t="s">
        <v>12</v>
      </c>
      <c r="B64" t="s">
        <v>50</v>
      </c>
      <c r="C64">
        <v>1</v>
      </c>
    </row>
    <row r="65" spans="1:4" x14ac:dyDescent="0.3">
      <c r="A65" t="s">
        <v>12</v>
      </c>
      <c r="B65" t="s">
        <v>51</v>
      </c>
      <c r="C65">
        <v>1</v>
      </c>
    </row>
    <row r="66" spans="1:4" x14ac:dyDescent="0.3">
      <c r="A66" t="s">
        <v>12</v>
      </c>
      <c r="B66" t="s">
        <v>52</v>
      </c>
      <c r="C66">
        <v>0</v>
      </c>
    </row>
    <row r="67" spans="1:4" x14ac:dyDescent="0.3">
      <c r="A67" t="s">
        <v>12</v>
      </c>
      <c r="B67" t="s">
        <v>53</v>
      </c>
      <c r="C67">
        <v>1</v>
      </c>
    </row>
    <row r="68" spans="1:4" x14ac:dyDescent="0.3">
      <c r="A68" t="s">
        <v>54</v>
      </c>
      <c r="B68" t="s">
        <v>21</v>
      </c>
      <c r="C68">
        <v>3.541666666666667</v>
      </c>
      <c r="D68" t="s">
        <v>56</v>
      </c>
    </row>
    <row r="69" spans="1:4" x14ac:dyDescent="0.3">
      <c r="A69" t="s">
        <v>54</v>
      </c>
      <c r="B69" t="s">
        <v>22</v>
      </c>
      <c r="C69">
        <v>8.0878680000000003</v>
      </c>
      <c r="D69" t="s">
        <v>13</v>
      </c>
    </row>
    <row r="70" spans="1:4" x14ac:dyDescent="0.3">
      <c r="A70" t="s">
        <v>54</v>
      </c>
      <c r="B70" t="s">
        <v>23</v>
      </c>
      <c r="C70">
        <v>7.708333333333333</v>
      </c>
      <c r="D70" t="s">
        <v>56</v>
      </c>
    </row>
    <row r="71" spans="1:4" x14ac:dyDescent="0.3">
      <c r="A71" t="s">
        <v>54</v>
      </c>
      <c r="B71" t="s">
        <v>26</v>
      </c>
      <c r="C71">
        <v>401.6</v>
      </c>
      <c r="D71" t="s">
        <v>117</v>
      </c>
    </row>
    <row r="72" spans="1:4" x14ac:dyDescent="0.3">
      <c r="A72" t="s">
        <v>54</v>
      </c>
      <c r="B72" t="s">
        <v>136</v>
      </c>
      <c r="C72">
        <v>176.5</v>
      </c>
      <c r="D72" t="s">
        <v>37</v>
      </c>
    </row>
    <row r="73" spans="1:4" x14ac:dyDescent="0.3">
      <c r="A73" t="s">
        <v>57</v>
      </c>
      <c r="B73" t="s">
        <v>21</v>
      </c>
      <c r="C73">
        <v>3.191666666666666</v>
      </c>
      <c r="D73" t="s">
        <v>56</v>
      </c>
    </row>
    <row r="74" spans="1:4" x14ac:dyDescent="0.3">
      <c r="A74" t="s">
        <v>57</v>
      </c>
      <c r="B74" t="s">
        <v>22</v>
      </c>
      <c r="C74">
        <v>8.0878680000000003</v>
      </c>
      <c r="D74" t="s">
        <v>13</v>
      </c>
    </row>
    <row r="75" spans="1:4" x14ac:dyDescent="0.3">
      <c r="A75" t="s">
        <v>57</v>
      </c>
      <c r="B75" t="s">
        <v>23</v>
      </c>
      <c r="C75">
        <v>4.666666666666667</v>
      </c>
      <c r="D75" t="s">
        <v>56</v>
      </c>
    </row>
    <row r="76" spans="1:4" x14ac:dyDescent="0.3">
      <c r="A76" t="s">
        <v>57</v>
      </c>
      <c r="B76" t="s">
        <v>26</v>
      </c>
      <c r="C76">
        <v>301.8</v>
      </c>
      <c r="D76" t="s">
        <v>117</v>
      </c>
    </row>
    <row r="77" spans="1:4" x14ac:dyDescent="0.3">
      <c r="A77" t="s">
        <v>57</v>
      </c>
      <c r="B77" t="s">
        <v>136</v>
      </c>
      <c r="C77">
        <v>356</v>
      </c>
      <c r="D77" t="s">
        <v>37</v>
      </c>
    </row>
    <row r="78" spans="1:4" x14ac:dyDescent="0.3">
      <c r="A78" t="s">
        <v>57</v>
      </c>
      <c r="B78" t="s">
        <v>30</v>
      </c>
      <c r="C78">
        <v>315</v>
      </c>
      <c r="D78" t="s">
        <v>31</v>
      </c>
    </row>
    <row r="79" spans="1:4" x14ac:dyDescent="0.3">
      <c r="A79" t="s">
        <v>24</v>
      </c>
      <c r="B79" t="s">
        <v>106</v>
      </c>
      <c r="C79">
        <v>4.0999999999999996</v>
      </c>
      <c r="D79" t="s">
        <v>14</v>
      </c>
    </row>
    <row r="80" spans="1:4" x14ac:dyDescent="0.3">
      <c r="A80" t="s">
        <v>28</v>
      </c>
      <c r="B80" t="s">
        <v>106</v>
      </c>
      <c r="C80">
        <v>38.4</v>
      </c>
      <c r="D80" t="s">
        <v>14</v>
      </c>
    </row>
    <row r="81" spans="1:4" x14ac:dyDescent="0.3">
      <c r="A81" t="s">
        <v>58</v>
      </c>
      <c r="B81" t="s">
        <v>23</v>
      </c>
      <c r="C81">
        <v>54.74</v>
      </c>
      <c r="D81" t="s">
        <v>56</v>
      </c>
    </row>
    <row r="82" spans="1:4" x14ac:dyDescent="0.3">
      <c r="A82" t="s">
        <v>59</v>
      </c>
      <c r="B82" t="s">
        <v>23</v>
      </c>
      <c r="C82">
        <v>65.400000000000006</v>
      </c>
      <c r="D82" t="s">
        <v>56</v>
      </c>
    </row>
    <row r="83" spans="1:4" x14ac:dyDescent="0.3">
      <c r="A83" t="s">
        <v>60</v>
      </c>
      <c r="B83" t="s">
        <v>61</v>
      </c>
      <c r="C83">
        <v>0.69</v>
      </c>
    </row>
    <row r="84" spans="1:4" x14ac:dyDescent="0.3">
      <c r="A84" t="s">
        <v>62</v>
      </c>
      <c r="B84" t="s">
        <v>137</v>
      </c>
      <c r="C84">
        <f>756/12</f>
        <v>63</v>
      </c>
      <c r="D84" t="s">
        <v>56</v>
      </c>
    </row>
    <row r="85" spans="1:4" x14ac:dyDescent="0.3">
      <c r="A85" t="s">
        <v>62</v>
      </c>
      <c r="B85" t="s">
        <v>63</v>
      </c>
      <c r="C85">
        <v>76</v>
      </c>
    </row>
    <row r="86" spans="1:4" x14ac:dyDescent="0.3">
      <c r="A86" t="s">
        <v>62</v>
      </c>
      <c r="B86" t="s">
        <v>64</v>
      </c>
      <c r="C86">
        <v>88</v>
      </c>
    </row>
    <row r="87" spans="1:4" x14ac:dyDescent="0.3">
      <c r="A87" t="s">
        <v>62</v>
      </c>
      <c r="B87" t="s">
        <v>65</v>
      </c>
      <c r="C87">
        <v>0</v>
      </c>
    </row>
    <row r="88" spans="1:4" x14ac:dyDescent="0.3">
      <c r="A88" t="s">
        <v>62</v>
      </c>
      <c r="B88" t="s">
        <v>66</v>
      </c>
      <c r="C88">
        <v>9</v>
      </c>
    </row>
    <row r="89" spans="1:4" x14ac:dyDescent="0.3">
      <c r="A89" t="s">
        <v>62</v>
      </c>
      <c r="B89" t="s">
        <v>67</v>
      </c>
      <c r="C89">
        <v>32</v>
      </c>
      <c r="D89" t="s">
        <v>37</v>
      </c>
    </row>
    <row r="90" spans="1:4" x14ac:dyDescent="0.3">
      <c r="A90" t="s">
        <v>62</v>
      </c>
      <c r="B90" t="s">
        <v>68</v>
      </c>
      <c r="C90">
        <v>0.81</v>
      </c>
    </row>
    <row r="91" spans="1:4" x14ac:dyDescent="0.3">
      <c r="A91" t="s">
        <v>69</v>
      </c>
      <c r="B91" t="s">
        <v>71</v>
      </c>
      <c r="C91">
        <v>179.5</v>
      </c>
      <c r="D91" t="s">
        <v>56</v>
      </c>
    </row>
    <row r="92" spans="1:4" x14ac:dyDescent="0.3">
      <c r="A92" t="s">
        <v>69</v>
      </c>
      <c r="B92" t="s">
        <v>72</v>
      </c>
      <c r="C92">
        <v>570</v>
      </c>
      <c r="D92" t="s">
        <v>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>
      <selection activeCell="C7" sqref="C7"/>
    </sheetView>
  </sheetViews>
  <sheetFormatPr defaultRowHeight="14.4" x14ac:dyDescent="0.3"/>
  <cols>
    <col min="1" max="1" width="11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74</v>
      </c>
      <c r="C2">
        <v>86000</v>
      </c>
      <c r="D2" t="s">
        <v>55</v>
      </c>
    </row>
    <row r="3" spans="1:4" x14ac:dyDescent="0.3">
      <c r="A3" t="s">
        <v>75</v>
      </c>
      <c r="C3">
        <v>7500</v>
      </c>
      <c r="D3" t="s">
        <v>55</v>
      </c>
    </row>
    <row r="4" spans="1:4" x14ac:dyDescent="0.3">
      <c r="A4" t="s">
        <v>76</v>
      </c>
      <c r="C4">
        <v>86000</v>
      </c>
      <c r="D4" t="s">
        <v>55</v>
      </c>
    </row>
    <row r="5" spans="1:4" x14ac:dyDescent="0.3">
      <c r="A5" t="s">
        <v>34</v>
      </c>
      <c r="C5">
        <v>3.75</v>
      </c>
    </row>
    <row r="6" spans="1:4" x14ac:dyDescent="0.3">
      <c r="A6" t="s">
        <v>107</v>
      </c>
      <c r="C6">
        <v>63500</v>
      </c>
      <c r="D6" t="s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1"/>
  <sheetViews>
    <sheetView tabSelected="1" workbookViewId="0">
      <selection activeCell="B7" sqref="B7"/>
    </sheetView>
  </sheetViews>
  <sheetFormatPr defaultRowHeight="14.4" x14ac:dyDescent="0.3"/>
  <cols>
    <col min="1" max="1" width="7.5546875" bestFit="1" customWidth="1"/>
    <col min="2" max="2" width="36.109375" customWidth="1"/>
    <col min="3" max="3" width="7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77</v>
      </c>
      <c r="B2" t="s">
        <v>78</v>
      </c>
      <c r="C2">
        <v>13</v>
      </c>
      <c r="D2" t="s">
        <v>56</v>
      </c>
    </row>
    <row r="3" spans="1:4" x14ac:dyDescent="0.3">
      <c r="A3" t="s">
        <v>77</v>
      </c>
      <c r="B3" t="s">
        <v>79</v>
      </c>
      <c r="C3">
        <v>4</v>
      </c>
    </row>
    <row r="4" spans="1:4" x14ac:dyDescent="0.3">
      <c r="A4" t="s">
        <v>80</v>
      </c>
      <c r="B4" t="s">
        <v>81</v>
      </c>
      <c r="C4">
        <v>960</v>
      </c>
      <c r="D4" t="s">
        <v>82</v>
      </c>
    </row>
    <row r="5" spans="1:4" x14ac:dyDescent="0.3">
      <c r="A5" t="s">
        <v>83</v>
      </c>
      <c r="B5" t="s">
        <v>81</v>
      </c>
      <c r="C5">
        <v>1570</v>
      </c>
      <c r="D5" t="s">
        <v>82</v>
      </c>
    </row>
    <row r="6" spans="1:4" x14ac:dyDescent="0.3">
      <c r="A6" t="s">
        <v>83</v>
      </c>
      <c r="B6" t="s">
        <v>146</v>
      </c>
      <c r="C6">
        <v>1495</v>
      </c>
      <c r="D6" t="s">
        <v>82</v>
      </c>
    </row>
    <row r="7" spans="1:4" x14ac:dyDescent="0.3">
      <c r="A7" t="s">
        <v>84</v>
      </c>
      <c r="B7" t="s">
        <v>85</v>
      </c>
      <c r="C7">
        <v>303.14999999999998</v>
      </c>
      <c r="D7" t="s">
        <v>86</v>
      </c>
    </row>
    <row r="8" spans="1:4" x14ac:dyDescent="0.3">
      <c r="A8" t="s">
        <v>84</v>
      </c>
      <c r="B8" t="s">
        <v>87</v>
      </c>
      <c r="C8">
        <v>25</v>
      </c>
      <c r="D8" t="s">
        <v>82</v>
      </c>
    </row>
    <row r="9" spans="1:4" x14ac:dyDescent="0.3">
      <c r="A9" t="s">
        <v>84</v>
      </c>
      <c r="B9" t="s">
        <v>118</v>
      </c>
      <c r="C9">
        <v>2640588</v>
      </c>
      <c r="D9" t="s">
        <v>120</v>
      </c>
    </row>
    <row r="10" spans="1:4" x14ac:dyDescent="0.3">
      <c r="A10" t="s">
        <v>84</v>
      </c>
      <c r="B10" t="s">
        <v>119</v>
      </c>
      <c r="C10">
        <v>136.08000000000001</v>
      </c>
      <c r="D10" t="s">
        <v>121</v>
      </c>
    </row>
    <row r="11" spans="1:4" x14ac:dyDescent="0.3">
      <c r="A11" t="s">
        <v>88</v>
      </c>
      <c r="B11" t="s">
        <v>112</v>
      </c>
      <c r="C11">
        <v>1</v>
      </c>
    </row>
    <row r="12" spans="1:4" x14ac:dyDescent="0.3">
      <c r="A12" t="s">
        <v>29</v>
      </c>
      <c r="B12" t="s">
        <v>89</v>
      </c>
      <c r="C12">
        <v>2550</v>
      </c>
      <c r="D12" t="s">
        <v>82</v>
      </c>
    </row>
    <row r="13" spans="1:4" x14ac:dyDescent="0.3">
      <c r="A13" t="s">
        <v>29</v>
      </c>
      <c r="B13" t="s">
        <v>90</v>
      </c>
      <c r="C13">
        <v>1580</v>
      </c>
      <c r="D13" t="s">
        <v>82</v>
      </c>
    </row>
    <row r="14" spans="1:4" x14ac:dyDescent="0.3">
      <c r="A14" s="2" t="s">
        <v>29</v>
      </c>
      <c r="B14" s="2" t="s">
        <v>91</v>
      </c>
      <c r="C14" s="2">
        <v>1</v>
      </c>
    </row>
    <row r="15" spans="1:4" x14ac:dyDescent="0.3">
      <c r="A15" t="s">
        <v>29</v>
      </c>
      <c r="B15" t="s">
        <v>92</v>
      </c>
      <c r="C15">
        <v>1</v>
      </c>
    </row>
    <row r="16" spans="1:4" x14ac:dyDescent="0.3">
      <c r="A16" t="s">
        <v>29</v>
      </c>
      <c r="B16" t="s">
        <v>93</v>
      </c>
      <c r="C16">
        <v>4</v>
      </c>
    </row>
    <row r="17" spans="1:4" x14ac:dyDescent="0.3">
      <c r="A17" t="s">
        <v>77</v>
      </c>
      <c r="B17" t="s">
        <v>94</v>
      </c>
      <c r="C17">
        <v>6</v>
      </c>
    </row>
    <row r="18" spans="1:4" x14ac:dyDescent="0.3">
      <c r="A18" t="s">
        <v>83</v>
      </c>
      <c r="B18" t="s">
        <v>95</v>
      </c>
      <c r="C18">
        <v>4.54</v>
      </c>
      <c r="D18" t="s">
        <v>96</v>
      </c>
    </row>
    <row r="19" spans="1:4" x14ac:dyDescent="0.3">
      <c r="A19" s="2" t="s">
        <v>83</v>
      </c>
      <c r="B19" s="2" t="s">
        <v>97</v>
      </c>
      <c r="C19" s="2">
        <v>2</v>
      </c>
    </row>
    <row r="20" spans="1:4" x14ac:dyDescent="0.3">
      <c r="A20" t="s">
        <v>83</v>
      </c>
      <c r="B20" t="s">
        <v>98</v>
      </c>
      <c r="C20">
        <v>125.687</v>
      </c>
    </row>
    <row r="21" spans="1:4" x14ac:dyDescent="0.3">
      <c r="A21" t="s">
        <v>83</v>
      </c>
      <c r="B21" t="s">
        <v>99</v>
      </c>
      <c r="C21">
        <v>12240</v>
      </c>
      <c r="D21" t="s">
        <v>100</v>
      </c>
    </row>
    <row r="22" spans="1:4" x14ac:dyDescent="0.3">
      <c r="A22" t="s">
        <v>83</v>
      </c>
      <c r="B22" t="s">
        <v>101</v>
      </c>
      <c r="C22">
        <v>1200</v>
      </c>
      <c r="D22" t="s">
        <v>100</v>
      </c>
    </row>
    <row r="23" spans="1:4" x14ac:dyDescent="0.3">
      <c r="A23" t="s">
        <v>80</v>
      </c>
      <c r="B23" t="s">
        <v>98</v>
      </c>
      <c r="C23">
        <v>125.687</v>
      </c>
    </row>
    <row r="24" spans="1:4" x14ac:dyDescent="0.3">
      <c r="A24" t="s">
        <v>80</v>
      </c>
      <c r="B24" t="s">
        <v>99</v>
      </c>
      <c r="C24">
        <v>30000</v>
      </c>
      <c r="D24" t="s">
        <v>100</v>
      </c>
    </row>
    <row r="25" spans="1:4" x14ac:dyDescent="0.3">
      <c r="A25" t="s">
        <v>80</v>
      </c>
      <c r="B25" t="s">
        <v>101</v>
      </c>
      <c r="C25">
        <v>1200</v>
      </c>
      <c r="D25" t="s">
        <v>100</v>
      </c>
    </row>
    <row r="26" spans="1:4" x14ac:dyDescent="0.3">
      <c r="A26" t="s">
        <v>102</v>
      </c>
      <c r="B26" t="s">
        <v>103</v>
      </c>
      <c r="C26">
        <v>0.95</v>
      </c>
    </row>
    <row r="27" spans="1:4" x14ac:dyDescent="0.3">
      <c r="A27" t="s">
        <v>102</v>
      </c>
      <c r="B27" t="s">
        <v>104</v>
      </c>
      <c r="C27">
        <v>2500</v>
      </c>
      <c r="D27" t="s">
        <v>70</v>
      </c>
    </row>
    <row r="28" spans="1:4" x14ac:dyDescent="0.3">
      <c r="A28" t="s">
        <v>102</v>
      </c>
      <c r="B28" t="s">
        <v>108</v>
      </c>
      <c r="C28">
        <v>15000</v>
      </c>
      <c r="D28" t="s">
        <v>70</v>
      </c>
    </row>
    <row r="29" spans="1:4" x14ac:dyDescent="0.3">
      <c r="A29" t="s">
        <v>102</v>
      </c>
      <c r="B29" t="s">
        <v>131</v>
      </c>
      <c r="C29">
        <v>3.2850000000000001</v>
      </c>
      <c r="D29" t="s">
        <v>124</v>
      </c>
    </row>
    <row r="30" spans="1:4" x14ac:dyDescent="0.3">
      <c r="A30" t="s">
        <v>102</v>
      </c>
      <c r="B30" t="s">
        <v>132</v>
      </c>
      <c r="C30">
        <v>1.64</v>
      </c>
      <c r="D30" t="s">
        <v>124</v>
      </c>
    </row>
    <row r="31" spans="1:4" x14ac:dyDescent="0.3">
      <c r="A31" t="s">
        <v>102</v>
      </c>
      <c r="B31" t="s">
        <v>134</v>
      </c>
      <c r="C31">
        <v>0.84589836799999996</v>
      </c>
      <c r="D31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aero</vt:lpstr>
      <vt:lpstr>geom</vt:lpstr>
      <vt:lpstr>weights</vt:lpstr>
      <vt:lpstr>propulsion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Amos</cp:lastModifiedBy>
  <dcterms:created xsi:type="dcterms:W3CDTF">2026-01-03T21:51:55Z</dcterms:created>
  <dcterms:modified xsi:type="dcterms:W3CDTF">2026-02-14T03:39:33Z</dcterms:modified>
</cp:coreProperties>
</file>