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openconcept\openconcept\propulsion\q400\"/>
    </mc:Choice>
  </mc:AlternateContent>
  <xr:revisionPtr revIDLastSave="0" documentId="13_ncr:1_{3293D867-1676-46EA-BEA8-0ECB68520154}" xr6:coauthVersionLast="47" xr6:coauthVersionMax="47" xr10:uidLastSave="{00000000-0000-0000-0000-000000000000}"/>
  <bookViews>
    <workbookView xWindow="-23148" yWindow="-108" windowWidth="23256" windowHeight="13896" xr2:uid="{ECCB1F28-372A-4F27-9E62-8003487D0944}"/>
  </bookViews>
  <sheets>
    <sheet name="Mission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T13" i="1" l="1"/>
  <c r="T14" i="1"/>
  <c r="T15" i="1"/>
  <c r="T16" i="1"/>
  <c r="T17" i="1"/>
  <c r="T18" i="1"/>
  <c r="T19" i="1"/>
  <c r="T20" i="1"/>
  <c r="T21" i="1"/>
  <c r="T22" i="1"/>
  <c r="T12" i="1"/>
  <c r="V71" i="1"/>
  <c r="W42" i="1"/>
  <c r="E26" i="1"/>
  <c r="D5" i="1" l="1"/>
  <c r="H5" i="1"/>
  <c r="P83" i="1"/>
  <c r="P84" i="1"/>
  <c r="P85" i="1"/>
  <c r="P86" i="1"/>
  <c r="P87" i="1"/>
  <c r="P88" i="1"/>
  <c r="P89" i="1"/>
  <c r="P90" i="1"/>
  <c r="P82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L12" i="1"/>
  <c r="L13" i="1"/>
  <c r="L14" i="1"/>
  <c r="L15" i="1"/>
  <c r="L16" i="1"/>
  <c r="L17" i="1"/>
  <c r="L18" i="1"/>
  <c r="L19" i="1"/>
  <c r="L20" i="1"/>
  <c r="L21" i="1"/>
  <c r="L22" i="1"/>
  <c r="L23" i="1"/>
  <c r="L11" i="1"/>
  <c r="M11" i="1" s="1"/>
  <c r="J62" i="1"/>
  <c r="L62" i="1" l="1"/>
  <c r="L63" i="1"/>
  <c r="M70" i="1"/>
  <c r="T68" i="1"/>
  <c r="S68" i="1"/>
  <c r="R68" i="1"/>
  <c r="N68" i="1"/>
  <c r="M68" i="1"/>
  <c r="X66" i="1"/>
  <c r="W66" i="1"/>
  <c r="X65" i="1"/>
  <c r="W65" i="1"/>
  <c r="X64" i="1"/>
  <c r="W64" i="1"/>
  <c r="X63" i="1"/>
  <c r="W63" i="1"/>
  <c r="X62" i="1"/>
  <c r="W62" i="1"/>
  <c r="S62" i="1"/>
  <c r="R62" i="1"/>
  <c r="X61" i="1"/>
  <c r="W61" i="1"/>
  <c r="S61" i="1"/>
  <c r="R61" i="1"/>
  <c r="X60" i="1"/>
  <c r="W60" i="1"/>
  <c r="S60" i="1"/>
  <c r="R60" i="1"/>
  <c r="X59" i="1"/>
  <c r="W59" i="1"/>
  <c r="S59" i="1"/>
  <c r="R59" i="1"/>
  <c r="X58" i="1"/>
  <c r="W58" i="1"/>
  <c r="S58" i="1"/>
  <c r="R58" i="1"/>
  <c r="X57" i="1"/>
  <c r="W57" i="1"/>
  <c r="S57" i="1"/>
  <c r="R57" i="1"/>
  <c r="X56" i="1"/>
  <c r="W56" i="1"/>
  <c r="S56" i="1"/>
  <c r="R56" i="1"/>
  <c r="X55" i="1"/>
  <c r="P51" i="1" s="1"/>
  <c r="W55" i="1"/>
  <c r="Q51" i="1" s="1"/>
  <c r="S55" i="1"/>
  <c r="R55" i="1"/>
  <c r="S54" i="1"/>
  <c r="R54" i="1"/>
  <c r="S53" i="1"/>
  <c r="R53" i="1"/>
  <c r="S52" i="1"/>
  <c r="R52" i="1"/>
  <c r="T52" i="1" s="1"/>
  <c r="S51" i="1"/>
  <c r="R51" i="1"/>
  <c r="R50" i="1"/>
  <c r="T50" i="1" s="1"/>
  <c r="S44" i="1"/>
  <c r="S70" i="1" s="1"/>
  <c r="P42" i="1"/>
  <c r="P70" i="1" s="1"/>
  <c r="N42" i="1"/>
  <c r="N70" i="1" s="1"/>
  <c r="P41" i="1"/>
  <c r="O41" i="1" s="1"/>
  <c r="B41" i="1"/>
  <c r="P40" i="1"/>
  <c r="Q40" i="1" s="1"/>
  <c r="P39" i="1"/>
  <c r="Q39" i="1" s="1"/>
  <c r="P38" i="1"/>
  <c r="O38" i="1" s="1"/>
  <c r="B38" i="1"/>
  <c r="P37" i="1"/>
  <c r="Q37" i="1" s="1"/>
  <c r="O37" i="1"/>
  <c r="C37" i="1"/>
  <c r="P36" i="1"/>
  <c r="Q36" i="1" s="1"/>
  <c r="P35" i="1"/>
  <c r="Q35" i="1" s="1"/>
  <c r="P34" i="1"/>
  <c r="O34" i="1" s="1"/>
  <c r="P33" i="1"/>
  <c r="AC33" i="1" s="1"/>
  <c r="O33" i="1"/>
  <c r="P32" i="1"/>
  <c r="Q32" i="1" s="1"/>
  <c r="P31" i="1"/>
  <c r="AC31" i="1" s="1"/>
  <c r="O31" i="1"/>
  <c r="T29" i="1"/>
  <c r="S29" i="1"/>
  <c r="R29" i="1"/>
  <c r="N29" i="1"/>
  <c r="M29" i="1"/>
  <c r="R23" i="1"/>
  <c r="Q23" i="1"/>
  <c r="P23" i="1"/>
  <c r="O23" i="1"/>
  <c r="V23" i="1" s="1"/>
  <c r="Y23" i="1" s="1"/>
  <c r="Z23" i="1" s="1"/>
  <c r="R22" i="1"/>
  <c r="Q22" i="1"/>
  <c r="P22" i="1"/>
  <c r="O22" i="1"/>
  <c r="V22" i="1" s="1"/>
  <c r="Y22" i="1" s="1"/>
  <c r="Z22" i="1" s="1"/>
  <c r="R21" i="1"/>
  <c r="Q21" i="1"/>
  <c r="P21" i="1"/>
  <c r="O21" i="1"/>
  <c r="V21" i="1" s="1"/>
  <c r="Y21" i="1" s="1"/>
  <c r="Z21" i="1" s="1"/>
  <c r="A21" i="1"/>
  <c r="A25" i="1" s="1"/>
  <c r="A26" i="1" s="1"/>
  <c r="R20" i="1"/>
  <c r="Q20" i="1"/>
  <c r="P20" i="1"/>
  <c r="O20" i="1"/>
  <c r="V20" i="1" s="1"/>
  <c r="Y20" i="1" s="1"/>
  <c r="Z20" i="1" s="1"/>
  <c r="R19" i="1"/>
  <c r="Q19" i="1"/>
  <c r="P19" i="1"/>
  <c r="O19" i="1"/>
  <c r="V19" i="1" s="1"/>
  <c r="Y19" i="1" s="1"/>
  <c r="Z19" i="1" s="1"/>
  <c r="R18" i="1"/>
  <c r="Q18" i="1"/>
  <c r="P18" i="1"/>
  <c r="O18" i="1"/>
  <c r="V18" i="1" s="1"/>
  <c r="Y18" i="1" s="1"/>
  <c r="Z18" i="1" s="1"/>
  <c r="R17" i="1"/>
  <c r="Q17" i="1"/>
  <c r="P17" i="1"/>
  <c r="O17" i="1"/>
  <c r="V17" i="1" s="1"/>
  <c r="Y17" i="1" s="1"/>
  <c r="Z17" i="1" s="1"/>
  <c r="R16" i="1"/>
  <c r="Q16" i="1"/>
  <c r="P16" i="1"/>
  <c r="O16" i="1"/>
  <c r="V16" i="1" s="1"/>
  <c r="Y16" i="1" s="1"/>
  <c r="Z16" i="1" s="1"/>
  <c r="R15" i="1"/>
  <c r="Q15" i="1"/>
  <c r="P15" i="1"/>
  <c r="O15" i="1"/>
  <c r="V15" i="1" s="1"/>
  <c r="Y15" i="1" s="1"/>
  <c r="Z15" i="1" s="1"/>
  <c r="R14" i="1"/>
  <c r="Q14" i="1"/>
  <c r="P14" i="1"/>
  <c r="O14" i="1"/>
  <c r="V14" i="1" s="1"/>
  <c r="Y14" i="1" s="1"/>
  <c r="Z14" i="1" s="1"/>
  <c r="R13" i="1"/>
  <c r="Q13" i="1"/>
  <c r="P13" i="1"/>
  <c r="O13" i="1"/>
  <c r="V13" i="1" s="1"/>
  <c r="Y13" i="1" s="1"/>
  <c r="Z13" i="1" s="1"/>
  <c r="R12" i="1"/>
  <c r="Q12" i="1"/>
  <c r="P12" i="1"/>
  <c r="O12" i="1"/>
  <c r="V12" i="1" s="1"/>
  <c r="Y12" i="1" s="1"/>
  <c r="Z12" i="1" s="1"/>
  <c r="R11" i="1"/>
  <c r="Q11" i="1"/>
  <c r="P11" i="1"/>
  <c r="O11" i="1"/>
  <c r="V11" i="1" s="1"/>
  <c r="C9" i="1"/>
  <c r="F5" i="1"/>
  <c r="S13" i="1" l="1"/>
  <c r="E6" i="1"/>
  <c r="T60" i="1"/>
  <c r="F9" i="1"/>
  <c r="D9" i="1"/>
  <c r="O42" i="1"/>
  <c r="O70" i="1" s="1"/>
  <c r="Q52" i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E8" i="1" s="1"/>
  <c r="X11" i="1"/>
  <c r="Y11" i="1"/>
  <c r="Z11" i="1" s="1"/>
  <c r="N31" i="1"/>
  <c r="R31" i="1" s="1"/>
  <c r="V31" i="1" s="1"/>
  <c r="W31" i="1" s="1"/>
  <c r="X31" i="1" s="1"/>
  <c r="X32" i="1" s="1"/>
  <c r="T53" i="1"/>
  <c r="N33" i="1"/>
  <c r="R33" i="1" s="1"/>
  <c r="T33" i="1" s="1"/>
  <c r="T62" i="1"/>
  <c r="O36" i="1"/>
  <c r="T56" i="1"/>
  <c r="N35" i="1"/>
  <c r="R35" i="1" s="1"/>
  <c r="T35" i="1" s="1"/>
  <c r="O35" i="1"/>
  <c r="N36" i="1"/>
  <c r="R36" i="1" s="1"/>
  <c r="T36" i="1" s="1"/>
  <c r="J14" i="1"/>
  <c r="J22" i="1"/>
  <c r="T61" i="1"/>
  <c r="N32" i="1"/>
  <c r="R32" i="1" s="1"/>
  <c r="T32" i="1" s="1"/>
  <c r="O32" i="1"/>
  <c r="T54" i="1"/>
  <c r="J15" i="1"/>
  <c r="B6" i="1"/>
  <c r="J23" i="1"/>
  <c r="J24" i="1"/>
  <c r="J17" i="1"/>
  <c r="J19" i="1"/>
  <c r="J20" i="1"/>
  <c r="J21" i="1"/>
  <c r="I24" i="1"/>
  <c r="J16" i="1"/>
  <c r="J18" i="1"/>
  <c r="P52" i="1"/>
  <c r="P53" i="1" s="1"/>
  <c r="J13" i="1"/>
  <c r="T58" i="1"/>
  <c r="U51" i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N37" i="1"/>
  <c r="R37" i="1" s="1"/>
  <c r="T37" i="1" s="1"/>
  <c r="S16" i="1"/>
  <c r="J12" i="1"/>
  <c r="N40" i="1"/>
  <c r="R40" i="1" s="1"/>
  <c r="T40" i="1" s="1"/>
  <c r="O40" i="1"/>
  <c r="T55" i="1"/>
  <c r="T57" i="1"/>
  <c r="S22" i="1"/>
  <c r="AC35" i="1"/>
  <c r="AC34" i="1"/>
  <c r="S17" i="1"/>
  <c r="W18" i="1"/>
  <c r="X18" i="1" s="1"/>
  <c r="B7" i="1"/>
  <c r="S18" i="1"/>
  <c r="S19" i="1"/>
  <c r="W21" i="1"/>
  <c r="X21" i="1" s="1"/>
  <c r="S21" i="1"/>
  <c r="W14" i="1"/>
  <c r="X14" i="1" s="1"/>
  <c r="S20" i="1"/>
  <c r="S12" i="1"/>
  <c r="S14" i="1"/>
  <c r="S15" i="1"/>
  <c r="AC38" i="1"/>
  <c r="S23" i="1"/>
  <c r="B45" i="1"/>
  <c r="AC37" i="1"/>
  <c r="N41" i="1"/>
  <c r="R41" i="1" s="1"/>
  <c r="T41" i="1" s="1"/>
  <c r="T59" i="1"/>
  <c r="AC36" i="1"/>
  <c r="W19" i="1"/>
  <c r="X19" i="1" s="1"/>
  <c r="AC32" i="1"/>
  <c r="W22" i="1"/>
  <c r="X22" i="1" s="1"/>
  <c r="W12" i="1"/>
  <c r="X12" i="1" s="1"/>
  <c r="W16" i="1"/>
  <c r="X16" i="1" s="1"/>
  <c r="N39" i="1"/>
  <c r="R39" i="1" s="1"/>
  <c r="T39" i="1" s="1"/>
  <c r="Q41" i="1"/>
  <c r="W20" i="1"/>
  <c r="X20" i="1" s="1"/>
  <c r="W15" i="1"/>
  <c r="X15" i="1" s="1"/>
  <c r="W23" i="1"/>
  <c r="X23" i="1" s="1"/>
  <c r="W17" i="1"/>
  <c r="X17" i="1" s="1"/>
  <c r="O39" i="1"/>
  <c r="N34" i="1"/>
  <c r="R34" i="1" s="1"/>
  <c r="T34" i="1" s="1"/>
  <c r="W13" i="1"/>
  <c r="X13" i="1" s="1"/>
  <c r="T51" i="1"/>
  <c r="Q33" i="1"/>
  <c r="R42" i="1"/>
  <c r="Q31" i="1"/>
  <c r="O51" i="1"/>
  <c r="H51" i="1" s="1"/>
  <c r="Q42" i="1"/>
  <c r="U31" i="1"/>
  <c r="U32" i="1" s="1"/>
  <c r="N38" i="1"/>
  <c r="R38" i="1" s="1"/>
  <c r="T38" i="1" s="1"/>
  <c r="Q38" i="1"/>
  <c r="Q34" i="1"/>
  <c r="G6" i="1" l="1"/>
  <c r="A27" i="1"/>
  <c r="A28" i="1" s="1"/>
  <c r="K24" i="1"/>
  <c r="T31" i="1"/>
  <c r="T44" i="1" s="1"/>
  <c r="C7" i="1" s="1"/>
  <c r="D7" i="1" s="1"/>
  <c r="I21" i="1"/>
  <c r="K21" i="1" s="1"/>
  <c r="M21" i="1" s="1"/>
  <c r="I17" i="1"/>
  <c r="K17" i="1" s="1"/>
  <c r="M17" i="1" s="1"/>
  <c r="I15" i="1"/>
  <c r="K15" i="1" s="1"/>
  <c r="M15" i="1" s="1"/>
  <c r="I23" i="1"/>
  <c r="K23" i="1" s="1"/>
  <c r="M23" i="1" s="1"/>
  <c r="I13" i="1"/>
  <c r="K13" i="1" s="1"/>
  <c r="M13" i="1" s="1"/>
  <c r="I12" i="1"/>
  <c r="K12" i="1" s="1"/>
  <c r="M12" i="1" s="1"/>
  <c r="I14" i="1"/>
  <c r="K14" i="1" s="1"/>
  <c r="M14" i="1" s="1"/>
  <c r="P54" i="1"/>
  <c r="O52" i="1"/>
  <c r="O53" i="1" s="1"/>
  <c r="I51" i="1"/>
  <c r="J51" i="1" s="1"/>
  <c r="L51" i="1" s="1"/>
  <c r="I20" i="1"/>
  <c r="K20" i="1" s="1"/>
  <c r="M20" i="1" s="1"/>
  <c r="I18" i="1"/>
  <c r="K18" i="1" s="1"/>
  <c r="M18" i="1" s="1"/>
  <c r="I16" i="1"/>
  <c r="K16" i="1" s="1"/>
  <c r="M16" i="1" s="1"/>
  <c r="T64" i="1"/>
  <c r="C8" i="1" s="1"/>
  <c r="I19" i="1"/>
  <c r="K19" i="1" s="1"/>
  <c r="M19" i="1" s="1"/>
  <c r="U33" i="1"/>
  <c r="H32" i="1"/>
  <c r="J32" i="1" s="1"/>
  <c r="I22" i="1"/>
  <c r="K22" i="1" s="1"/>
  <c r="M22" i="1" s="1"/>
  <c r="W25" i="1"/>
  <c r="C6" i="1" s="1"/>
  <c r="D6" i="1" s="1"/>
  <c r="Q44" i="1"/>
  <c r="T42" i="1"/>
  <c r="R70" i="1"/>
  <c r="F6" i="1"/>
  <c r="F8" i="1" l="1"/>
  <c r="O54" i="1"/>
  <c r="I52" i="1"/>
  <c r="P55" i="1"/>
  <c r="U34" i="1"/>
  <c r="H33" i="1"/>
  <c r="J33" i="1" s="1"/>
  <c r="H52" i="1"/>
  <c r="H53" i="1"/>
  <c r="T70" i="1"/>
  <c r="Q70" i="1"/>
  <c r="E7" i="1"/>
  <c r="P56" i="1" l="1"/>
  <c r="O55" i="1"/>
  <c r="I53" i="1"/>
  <c r="J53" i="1"/>
  <c r="L53" i="1" s="1"/>
  <c r="J52" i="1"/>
  <c r="L52" i="1" s="1"/>
  <c r="U35" i="1"/>
  <c r="H34" i="1"/>
  <c r="J34" i="1" s="1"/>
  <c r="H54" i="1"/>
  <c r="G7" i="1"/>
  <c r="E11" i="1"/>
  <c r="F7" i="1"/>
  <c r="C11" i="1"/>
  <c r="O56" i="1" l="1"/>
  <c r="I54" i="1"/>
  <c r="J54" i="1" s="1"/>
  <c r="L54" i="1" s="1"/>
  <c r="H55" i="1"/>
  <c r="P57" i="1"/>
  <c r="U36" i="1"/>
  <c r="H35" i="1"/>
  <c r="J35" i="1" s="1"/>
  <c r="C15" i="1"/>
  <c r="A30" i="1"/>
  <c r="D18" i="1"/>
  <c r="O57" i="1" l="1"/>
  <c r="I55" i="1"/>
  <c r="J55" i="1" s="1"/>
  <c r="L55" i="1" s="1"/>
  <c r="U37" i="1"/>
  <c r="H36" i="1"/>
  <c r="J36" i="1" s="1"/>
  <c r="H56" i="1"/>
  <c r="P58" i="1"/>
  <c r="U38" i="1" l="1"/>
  <c r="H37" i="1"/>
  <c r="J37" i="1" s="1"/>
  <c r="O58" i="1"/>
  <c r="I56" i="1"/>
  <c r="H57" i="1"/>
  <c r="P59" i="1"/>
  <c r="H58" i="1"/>
  <c r="J56" i="1"/>
  <c r="L56" i="1" s="1"/>
  <c r="P60" i="1" l="1"/>
  <c r="O59" i="1"/>
  <c r="I57" i="1"/>
  <c r="J57" i="1" s="1"/>
  <c r="L57" i="1" s="1"/>
  <c r="U39" i="1"/>
  <c r="H38" i="1"/>
  <c r="J38" i="1" s="1"/>
  <c r="H39" i="1" l="1"/>
  <c r="J39" i="1" s="1"/>
  <c r="U40" i="1"/>
  <c r="O60" i="1"/>
  <c r="I58" i="1"/>
  <c r="J58" i="1" s="1"/>
  <c r="L58" i="1" s="1"/>
  <c r="H59" i="1"/>
  <c r="P61" i="1"/>
  <c r="H60" i="1"/>
  <c r="P62" i="1" l="1"/>
  <c r="O4" i="1" s="1"/>
  <c r="O61" i="1"/>
  <c r="I59" i="1"/>
  <c r="J59" i="1" s="1"/>
  <c r="L59" i="1" s="1"/>
  <c r="U41" i="1"/>
  <c r="H40" i="1"/>
  <c r="J40" i="1" s="1"/>
  <c r="U42" i="1" l="1"/>
  <c r="H41" i="1"/>
  <c r="J41" i="1" s="1"/>
  <c r="O62" i="1"/>
  <c r="I60" i="1"/>
  <c r="J60" i="1" s="1"/>
  <c r="L60" i="1" s="1"/>
  <c r="H61" i="1"/>
  <c r="B8" i="1" l="1"/>
  <c r="D8" i="1" s="1"/>
  <c r="I61" i="1"/>
  <c r="J61" i="1" s="1"/>
  <c r="L61" i="1" s="1"/>
  <c r="U70" i="1"/>
  <c r="H42" i="1"/>
  <c r="J42" i="1" s="1"/>
  <c r="G8" i="1" l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tc={CBCEE141-3181-43EC-AFD9-B74F32F593E3}</author>
  </authors>
  <commentList>
    <comment ref="T47" authorId="0" shapeId="0" xr:uid="{CBCEE141-3181-43EC-AFD9-B74F32F593E3}">
      <text>
        <t>[Threaded comment]
Your version of Excel allows you to read this threaded comment; however, any edits to it will get removed if the file is opened in a newer version of Excel. Learn more: https://go.microsoft.com/fwlink/?linkid=870924
Comment:
    Engine or propeller rpm?</t>
      </text>
    </comment>
  </commentList>
</comments>
</file>

<file path=xl/sharedStrings.xml><?xml version="1.0" encoding="utf-8"?>
<sst xmlns="http://schemas.openxmlformats.org/spreadsheetml/2006/main" count="166" uniqueCount="72">
  <si>
    <t>SEGMENT</t>
  </si>
  <si>
    <t>DURATION</t>
  </si>
  <si>
    <t>ENERGY</t>
  </si>
  <si>
    <t>FUEL</t>
  </si>
  <si>
    <t>RANGE</t>
  </si>
  <si>
    <t>nm</t>
  </si>
  <si>
    <t>min</t>
  </si>
  <si>
    <t>kWh</t>
  </si>
  <si>
    <t>lb</t>
  </si>
  <si>
    <t>kWh/lb</t>
  </si>
  <si>
    <t>lb/hr</t>
  </si>
  <si>
    <t>CRUISE</t>
  </si>
  <si>
    <t>TAKEOFF</t>
  </si>
  <si>
    <t>CLIMB</t>
  </si>
  <si>
    <t>DESCENT</t>
  </si>
  <si>
    <t>TYPE III</t>
  </si>
  <si>
    <t>ISA</t>
  </si>
  <si>
    <t>ICE OFF</t>
  </si>
  <si>
    <t>RPM</t>
  </si>
  <si>
    <t>LAND</t>
  </si>
  <si>
    <t>FL</t>
  </si>
  <si>
    <t>TRQ</t>
  </si>
  <si>
    <t>TIME</t>
  </si>
  <si>
    <t>POWER</t>
  </si>
  <si>
    <t>%</t>
  </si>
  <si>
    <t>kW/eng</t>
  </si>
  <si>
    <t>hr</t>
  </si>
  <si>
    <t>TOTAL</t>
  </si>
  <si>
    <t>kWh for the E50 at 64400 lb</t>
  </si>
  <si>
    <t>RESERVES</t>
  </si>
  <si>
    <t>KTAS</t>
  </si>
  <si>
    <t>kW</t>
  </si>
  <si>
    <t>TYPE LRC</t>
  </si>
  <si>
    <t>SPEED</t>
  </si>
  <si>
    <t>WEIGHT</t>
  </si>
  <si>
    <t>FF</t>
  </si>
  <si>
    <t>Jet fuel reserves</t>
  </si>
  <si>
    <t>Jet fuel total (mission + res)</t>
  </si>
  <si>
    <t>MTOW</t>
  </si>
  <si>
    <t>OEW</t>
  </si>
  <si>
    <t>Useful</t>
  </si>
  <si>
    <t>Pax</t>
  </si>
  <si>
    <t>lb/pax</t>
  </si>
  <si>
    <t>Payload</t>
  </si>
  <si>
    <t>MaxFuel</t>
  </si>
  <si>
    <t>Fuel with max payload</t>
  </si>
  <si>
    <t>TYPE IV</t>
  </si>
  <si>
    <t>DISTANCE</t>
  </si>
  <si>
    <t>58000 LB</t>
  </si>
  <si>
    <t>Fuel Delta</t>
  </si>
  <si>
    <t>PSFC</t>
  </si>
  <si>
    <t xml:space="preserve">How to extract fuel flow data during climb and descent </t>
  </si>
  <si>
    <t>Propeller efficiency ?</t>
  </si>
  <si>
    <t>Aerodata -&gt; Empirical drag curves?</t>
  </si>
  <si>
    <t>True Airspeed (kn)</t>
  </si>
  <si>
    <t>Horizontal Speed (kn)</t>
  </si>
  <si>
    <t>Vertical Speed (ft/min)</t>
  </si>
  <si>
    <t>Density</t>
  </si>
  <si>
    <t>EAS</t>
  </si>
  <si>
    <t>Torque</t>
  </si>
  <si>
    <t>Max Torque</t>
  </si>
  <si>
    <t>Nm</t>
  </si>
  <si>
    <t>T/P</t>
  </si>
  <si>
    <t>lbf/SHP</t>
  </si>
  <si>
    <t>Efficiency</t>
  </si>
  <si>
    <t>Shaft Power</t>
  </si>
  <si>
    <t>W</t>
  </si>
  <si>
    <t>Thrust</t>
  </si>
  <si>
    <t>N</t>
  </si>
  <si>
    <t>Average Unit Power</t>
  </si>
  <si>
    <t>Max Power</t>
  </si>
  <si>
    <t>Fuel Flow (lb/h)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</si>
</sst>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  <xf numFmtId="1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4" fontId="0" fillId="2" borderId="0" xfId="0" applyNumberFormat="1" applyFill="1"/>
    <xf numFmtId="164" fontId="0" fillId="3" borderId="0" xfId="0" applyNumberFormat="1" applyFill="1"/>
    <xf numFmtId="164" fontId="1" fillId="0" borderId="1" xfId="0" applyNumberFormat="1" applyFont="1" applyBorder="1"/>
    <xf numFmtId="1" fontId="1" fillId="0" borderId="1" xfId="0" applyNumberFormat="1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Mission!$Y$31:$Y$38</c:f>
              <c:numCache>
                <c:formatCode>General</c:formatCode>
                <c:ptCount val="8"/>
                <c:pt idx="0">
                  <c:v>65200</c:v>
                </c:pt>
                <c:pt idx="1">
                  <c:v>64000</c:v>
                </c:pt>
                <c:pt idx="2">
                  <c:v>62000</c:v>
                </c:pt>
                <c:pt idx="3">
                  <c:v>58000</c:v>
                </c:pt>
                <c:pt idx="4">
                  <c:v>54000</c:v>
                </c:pt>
                <c:pt idx="5">
                  <c:v>50000</c:v>
                </c:pt>
                <c:pt idx="6">
                  <c:v>46000</c:v>
                </c:pt>
                <c:pt idx="7">
                  <c:v>42000</c:v>
                </c:pt>
              </c:numCache>
            </c:numRef>
          </c:xVal>
          <c:yVal>
            <c:numRef>
              <c:f>Mission!$Z$31:$Z$38</c:f>
              <c:numCache>
                <c:formatCode>General</c:formatCode>
                <c:ptCount val="8"/>
                <c:pt idx="0">
                  <c:v>50.7</c:v>
                </c:pt>
                <c:pt idx="1">
                  <c:v>49.9</c:v>
                </c:pt>
                <c:pt idx="2">
                  <c:v>47.9</c:v>
                </c:pt>
                <c:pt idx="3">
                  <c:v>43.2</c:v>
                </c:pt>
                <c:pt idx="4">
                  <c:v>39.5</c:v>
                </c:pt>
                <c:pt idx="5">
                  <c:v>37.1</c:v>
                </c:pt>
                <c:pt idx="6">
                  <c:v>34.6</c:v>
                </c:pt>
                <c:pt idx="7">
                  <c:v>32.5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D-4948-BCF7-AC8B031BB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76120"/>
        <c:axId val="576675136"/>
      </c:scatterChart>
      <c:valAx>
        <c:axId val="576676120"/>
        <c:scaling>
          <c:orientation val="minMax"/>
          <c:min val="4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75136"/>
        <c:crosses val="autoZero"/>
        <c:crossBetween val="midCat"/>
      </c:valAx>
      <c:valAx>
        <c:axId val="57667513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7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Mission!$P$80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Mission!$N$82:$N$90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Mission!$P$82:$P$90</c:f>
              <c:numCache>
                <c:formatCode>General</c:formatCode>
                <c:ptCount val="9"/>
                <c:pt idx="0">
                  <c:v>0</c:v>
                </c:pt>
                <c:pt idx="1">
                  <c:v>0.38359314934118088</c:v>
                </c:pt>
                <c:pt idx="2">
                  <c:v>0.6137490389458895</c:v>
                </c:pt>
                <c:pt idx="3">
                  <c:v>0.75951443569553811</c:v>
                </c:pt>
                <c:pt idx="4">
                  <c:v>0.83469869296640964</c:v>
                </c:pt>
                <c:pt idx="5">
                  <c:v>0.86692051751106869</c:v>
                </c:pt>
                <c:pt idx="6">
                  <c:v>0.87459238049789234</c:v>
                </c:pt>
                <c:pt idx="7">
                  <c:v>0.85924865452424526</c:v>
                </c:pt>
                <c:pt idx="8">
                  <c:v>0.84697367374532739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6-47EB-83CE-2D5E83DCB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538479"/>
        <c:axId val="1345537039"/>
      </c:scatterChart>
      <c:valAx>
        <c:axId val="134553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 (KTAS)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37039"/>
        <c:crosses val="autoZero"/>
        <c:crossBetween val="midCat"/>
      </c:valAx>
      <c:valAx>
        <c:axId val="134553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Efficiency </a:t>
                </a:r>
                <a:r>
                  <a:rPr lang="en-CA" baseline="0"/>
                  <a:t>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3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304800</xdr:colOff>
      <xdr:row>30</xdr:row>
      <xdr:rowOff>157162</xdr:rowOff>
    </xdr:from>
    <xdr:to>
      <xdr:col>37</xdr:col>
      <xdr:colOff>0</xdr:colOff>
      <xdr:row>45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8BE95-585D-4F98-BC99-7491C4973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526443</xdr:colOff>
      <xdr:row>77</xdr:row>
      <xdr:rowOff>76959</xdr:rowOff>
    </xdr:from>
    <xdr:to>
      <xdr:col>24</xdr:col>
      <xdr:colOff>119733</xdr:colOff>
      <xdr:row>96</xdr:row>
      <xdr:rowOff>20375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0E5912-D2AB-AA11-ED06-47EC0B914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02%20AIRCRAFT%20DATABASE\Bombardier\Q400\Performance%20data%202.xlsx" TargetMode="External"/><Relationship Id="rId1" Type="http://schemas.openxmlformats.org/officeDocument/2006/relationships/externalLinkPath" Target="file:///E:\002%20AIRCRAFT%20DATABASE\Bombardier\Q400\Performance%20data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gine"/>
      <sheetName val="climb"/>
      <sheetName val="cruise"/>
      <sheetName val="takeoff"/>
      <sheetName val="Propeller"/>
      <sheetName val="SR"/>
      <sheetName val="Mission 100nm"/>
      <sheetName val="Mission"/>
      <sheetName val="H2"/>
      <sheetName val="Power required"/>
      <sheetName val="Mission (2)"/>
    </sheetNames>
    <sheetDataSet>
      <sheetData sheetId="0"/>
      <sheetData sheetId="1">
        <row r="100">
          <cell r="E100">
            <v>90.7</v>
          </cell>
          <cell r="AA100">
            <v>0</v>
          </cell>
          <cell r="AB100">
            <v>0</v>
          </cell>
          <cell r="AC100">
            <v>0</v>
          </cell>
        </row>
        <row r="101">
          <cell r="E101">
            <v>90.7</v>
          </cell>
          <cell r="AA101">
            <v>0.9</v>
          </cell>
          <cell r="AB101">
            <v>2</v>
          </cell>
          <cell r="AC101">
            <v>59</v>
          </cell>
        </row>
        <row r="102">
          <cell r="E102">
            <v>90.7</v>
          </cell>
          <cell r="AA102">
            <v>1.8</v>
          </cell>
          <cell r="AB102">
            <v>5</v>
          </cell>
          <cell r="AC102">
            <v>118</v>
          </cell>
        </row>
        <row r="103">
          <cell r="E103">
            <v>90.7</v>
          </cell>
          <cell r="AA103">
            <v>2.8</v>
          </cell>
          <cell r="AB103">
            <v>8</v>
          </cell>
          <cell r="AC103">
            <v>177</v>
          </cell>
        </row>
        <row r="104">
          <cell r="E104">
            <v>90.7</v>
          </cell>
          <cell r="AA104">
            <v>3.7</v>
          </cell>
          <cell r="AB104">
            <v>10</v>
          </cell>
          <cell r="AC104">
            <v>237</v>
          </cell>
        </row>
        <row r="105">
          <cell r="E105">
            <v>90.7</v>
          </cell>
          <cell r="AA105">
            <v>4.7</v>
          </cell>
          <cell r="AB105">
            <v>14</v>
          </cell>
          <cell r="AC105">
            <v>296</v>
          </cell>
        </row>
        <row r="106">
          <cell r="E106">
            <v>87.8</v>
          </cell>
          <cell r="AA106">
            <v>5.7</v>
          </cell>
          <cell r="AB106">
            <v>17</v>
          </cell>
          <cell r="AC106">
            <v>357</v>
          </cell>
        </row>
        <row r="107">
          <cell r="E107">
            <v>83.5</v>
          </cell>
          <cell r="AA107">
            <v>6.8</v>
          </cell>
          <cell r="AB107">
            <v>20</v>
          </cell>
          <cell r="AC107">
            <v>420</v>
          </cell>
        </row>
        <row r="108">
          <cell r="E108">
            <v>79.3</v>
          </cell>
          <cell r="AA108">
            <v>8</v>
          </cell>
          <cell r="AB108">
            <v>24</v>
          </cell>
          <cell r="AC108">
            <v>485</v>
          </cell>
        </row>
        <row r="109">
          <cell r="E109">
            <v>75.099999999999994</v>
          </cell>
          <cell r="AA109">
            <v>9.4</v>
          </cell>
          <cell r="AB109">
            <v>29</v>
          </cell>
          <cell r="AC109">
            <v>554</v>
          </cell>
        </row>
        <row r="110">
          <cell r="E110">
            <v>70.900000000000006</v>
          </cell>
          <cell r="AA110">
            <v>10.9</v>
          </cell>
          <cell r="AB110">
            <v>34</v>
          </cell>
          <cell r="AC110">
            <v>627</v>
          </cell>
        </row>
        <row r="111">
          <cell r="E111">
            <v>66.2</v>
          </cell>
          <cell r="AA111">
            <v>12.7</v>
          </cell>
          <cell r="AB111">
            <v>41</v>
          </cell>
          <cell r="AC111">
            <v>708</v>
          </cell>
        </row>
        <row r="112">
          <cell r="E112">
            <v>62.1</v>
          </cell>
          <cell r="AA112">
            <v>14.8</v>
          </cell>
          <cell r="AB112">
            <v>49</v>
          </cell>
          <cell r="AC112">
            <v>798</v>
          </cell>
        </row>
      </sheetData>
      <sheetData sheetId="2"/>
      <sheetData sheetId="3"/>
      <sheetData sheetId="4"/>
      <sheetData sheetId="5"/>
      <sheetData sheetId="6"/>
      <sheetData sheetId="7">
        <row r="31">
          <cell r="U31">
            <v>65200</v>
          </cell>
        </row>
      </sheetData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exander Amos" id="{3C074A26-92F3-404D-92F7-5B2BDAD5F039}" userId="S::aamos@eos.aero::4c8b2da7-42d1-41cf-b914-ea1f9bafe98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47" dT="2025-12-03T21:02:40.51" personId="{3C074A26-92F3-404D-92F7-5B2BDAD5F039}" id="{CBCEE141-3181-43EC-AFD9-B74F32F593E3}">
    <text>Engine or propeller rpm?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95D7-9281-4547-AE8A-E71D62621FA3}">
  <dimension ref="A3:AJ90"/>
  <sheetViews>
    <sheetView tabSelected="1" topLeftCell="J24" zoomScale="91" zoomScaleNormal="89" workbookViewId="0">
      <selection activeCell="Y45" sqref="Y45"/>
    </sheetView>
  </sheetViews>
  <sheetFormatPr defaultRowHeight="12" customHeight="1" x14ac:dyDescent="0.25"/>
  <cols>
    <col min="1" max="1" width="24.140625" bestFit="1" customWidth="1"/>
    <col min="2" max="2" width="10.42578125" bestFit="1" customWidth="1"/>
    <col min="3" max="3" width="12.42578125" bestFit="1" customWidth="1"/>
    <col min="4" max="4" width="24.42578125" bestFit="1" customWidth="1"/>
    <col min="5" max="5" width="8" bestFit="1" customWidth="1"/>
    <col min="6" max="6" width="12.28515625" bestFit="1" customWidth="1"/>
    <col min="8" max="8" width="20.7109375" customWidth="1"/>
    <col min="9" max="9" width="22.28515625" customWidth="1"/>
    <col min="10" max="12" width="16.85546875" customWidth="1"/>
    <col min="13" max="13" width="12.140625" bestFit="1" customWidth="1"/>
    <col min="14" max="14" width="9.140625" bestFit="1" customWidth="1"/>
    <col min="15" max="15" width="9.85546875" customWidth="1"/>
    <col min="16" max="16" width="10" bestFit="1" customWidth="1"/>
    <col min="17" max="17" width="13.7109375" customWidth="1"/>
    <col min="18" max="18" width="14.28515625" customWidth="1"/>
    <col min="19" max="19" width="10.85546875" bestFit="1" customWidth="1"/>
    <col min="20" max="20" width="14.140625" customWidth="1"/>
    <col min="21" max="21" width="7.42578125" bestFit="1" customWidth="1"/>
    <col min="22" max="22" width="12.28515625" bestFit="1" customWidth="1"/>
    <col min="23" max="23" width="12.140625" bestFit="1" customWidth="1"/>
    <col min="24" max="24" width="19" customWidth="1"/>
    <col min="25" max="25" width="10" bestFit="1" customWidth="1"/>
    <col min="26" max="26" width="11" bestFit="1" customWidth="1"/>
    <col min="27" max="27" width="7.42578125" bestFit="1" customWidth="1"/>
    <col min="28" max="28" width="5.85546875" bestFit="1" customWidth="1"/>
    <col min="29" max="29" width="9.42578125" bestFit="1" customWidth="1"/>
  </cols>
  <sheetData>
    <row r="3" spans="1:36" ht="12" customHeight="1" x14ac:dyDescent="0.25">
      <c r="A3" s="1" t="s">
        <v>0</v>
      </c>
      <c r="B3" s="1" t="s">
        <v>1</v>
      </c>
      <c r="C3" s="1" t="s">
        <v>2</v>
      </c>
      <c r="D3" s="1" t="s">
        <v>69</v>
      </c>
      <c r="E3" s="1" t="s">
        <v>3</v>
      </c>
      <c r="N3" t="s">
        <v>4</v>
      </c>
      <c r="O3">
        <v>500</v>
      </c>
      <c r="P3" t="s">
        <v>5</v>
      </c>
    </row>
    <row r="4" spans="1:36" ht="12" customHeight="1" x14ac:dyDescent="0.25">
      <c r="A4" s="1"/>
      <c r="B4" s="2" t="s">
        <v>6</v>
      </c>
      <c r="C4" s="2" t="s">
        <v>7</v>
      </c>
      <c r="D4" s="2" t="s">
        <v>31</v>
      </c>
      <c r="E4" s="2" t="s">
        <v>8</v>
      </c>
      <c r="F4" s="3" t="s">
        <v>9</v>
      </c>
      <c r="G4" s="3" t="s">
        <v>10</v>
      </c>
      <c r="N4" t="s">
        <v>11</v>
      </c>
      <c r="O4" s="4">
        <f>O3-Q23-P62</f>
        <v>378</v>
      </c>
      <c r="P4" t="s">
        <v>5</v>
      </c>
    </row>
    <row r="5" spans="1:36" ht="12" customHeight="1" x14ac:dyDescent="0.25">
      <c r="A5" s="1" t="s">
        <v>12</v>
      </c>
      <c r="B5" s="1">
        <v>1</v>
      </c>
      <c r="C5" s="1">
        <v>73</v>
      </c>
      <c r="D5" s="1">
        <f>C5/(B5/60)/2</f>
        <v>2190</v>
      </c>
      <c r="E5" s="1">
        <v>62</v>
      </c>
      <c r="F5" s="5">
        <f>C5/E5</f>
        <v>1.1774193548387097</v>
      </c>
      <c r="H5">
        <f>C5/(1/60)</f>
        <v>4380</v>
      </c>
    </row>
    <row r="6" spans="1:36" ht="12" customHeight="1" x14ac:dyDescent="0.25">
      <c r="A6" s="1" t="s">
        <v>13</v>
      </c>
      <c r="B6" s="1">
        <f>P23</f>
        <v>14.8</v>
      </c>
      <c r="C6" s="6">
        <f>W25</f>
        <v>0.24666666666666667</v>
      </c>
      <c r="D6" s="1">
        <f t="shared" ref="D6:D9" si="0">C6/(B6/60)/2</f>
        <v>0.5</v>
      </c>
      <c r="E6" s="1">
        <f>R23</f>
        <v>798</v>
      </c>
      <c r="F6" s="5">
        <f>C6/E6</f>
        <v>3.0910609857978281E-4</v>
      </c>
      <c r="G6" s="4">
        <f>E6/B6*60</f>
        <v>3235.135135135135</v>
      </c>
    </row>
    <row r="7" spans="1:36" ht="12" customHeight="1" x14ac:dyDescent="0.25">
      <c r="A7" s="1" t="s">
        <v>11</v>
      </c>
      <c r="B7" s="7">
        <f>S44*60</f>
        <v>72</v>
      </c>
      <c r="C7" s="6">
        <f>T44</f>
        <v>3790.6242148503165</v>
      </c>
      <c r="D7" s="1">
        <f t="shared" si="0"/>
        <v>1579.426756187632</v>
      </c>
      <c r="E7" s="6">
        <f>Q44</f>
        <v>2263.5117469879519</v>
      </c>
      <c r="F7" s="5">
        <f>C7/E7</f>
        <v>1.674665139199957</v>
      </c>
      <c r="G7" s="4">
        <f>E7/B7*60</f>
        <v>1886.2597891566265</v>
      </c>
    </row>
    <row r="8" spans="1:36" ht="12" customHeight="1" x14ac:dyDescent="0.25">
      <c r="A8" s="1" t="s">
        <v>14</v>
      </c>
      <c r="B8" s="7">
        <f>O62</f>
        <v>13.7</v>
      </c>
      <c r="C8" s="6">
        <f>T64</f>
        <v>371.71587562442659</v>
      </c>
      <c r="D8" s="1">
        <f t="shared" si="0"/>
        <v>813.9763699804962</v>
      </c>
      <c r="E8" s="6">
        <f>Q62</f>
        <v>353</v>
      </c>
      <c r="F8" s="5">
        <f>C8/E8</f>
        <v>1.0530194776895938</v>
      </c>
      <c r="G8" s="4">
        <f>E8/B8*60</f>
        <v>1545.9854014598541</v>
      </c>
      <c r="N8" s="1" t="s">
        <v>13</v>
      </c>
      <c r="O8" s="1" t="s">
        <v>15</v>
      </c>
      <c r="P8" s="1" t="s">
        <v>16</v>
      </c>
      <c r="Q8" s="1" t="s">
        <v>17</v>
      </c>
      <c r="R8" s="1">
        <v>65200</v>
      </c>
      <c r="S8" s="1" t="s">
        <v>8</v>
      </c>
      <c r="T8" s="1">
        <v>900</v>
      </c>
      <c r="U8" s="1" t="s">
        <v>18</v>
      </c>
      <c r="V8" s="1"/>
    </row>
    <row r="9" spans="1:36" ht="12" customHeight="1" x14ac:dyDescent="0.25">
      <c r="A9" s="1" t="s">
        <v>19</v>
      </c>
      <c r="B9" s="1">
        <v>2</v>
      </c>
      <c r="C9" s="1">
        <f>5257-5165</f>
        <v>92</v>
      </c>
      <c r="D9" s="1">
        <f t="shared" si="0"/>
        <v>1380</v>
      </c>
      <c r="E9" s="1">
        <v>49</v>
      </c>
      <c r="F9" s="5">
        <f>C9/E9</f>
        <v>1.8775510204081634</v>
      </c>
      <c r="I9" t="s">
        <v>55</v>
      </c>
      <c r="J9" t="s">
        <v>56</v>
      </c>
      <c r="K9" t="s">
        <v>54</v>
      </c>
      <c r="L9" t="s">
        <v>57</v>
      </c>
      <c r="M9" t="s">
        <v>58</v>
      </c>
      <c r="N9" s="1" t="s">
        <v>20</v>
      </c>
      <c r="O9" s="1" t="s">
        <v>21</v>
      </c>
      <c r="P9" s="1" t="s">
        <v>22</v>
      </c>
      <c r="Q9" s="1" t="s">
        <v>4</v>
      </c>
      <c r="R9" s="1" t="s">
        <v>3</v>
      </c>
      <c r="S9" s="1" t="s">
        <v>49</v>
      </c>
      <c r="T9" s="1" t="s">
        <v>71</v>
      </c>
      <c r="U9" s="1" t="s">
        <v>50</v>
      </c>
      <c r="V9" s="1" t="s">
        <v>23</v>
      </c>
      <c r="W9" s="1" t="s">
        <v>1</v>
      </c>
      <c r="X9" s="1" t="s">
        <v>2</v>
      </c>
      <c r="Y9" s="14" t="s">
        <v>59</v>
      </c>
      <c r="Z9" s="14" t="s">
        <v>60</v>
      </c>
      <c r="AJ9" t="s">
        <v>51</v>
      </c>
    </row>
    <row r="10" spans="1:36" ht="12" customHeight="1" x14ac:dyDescent="0.25">
      <c r="A10" s="1"/>
      <c r="B10" s="1"/>
      <c r="C10" s="1"/>
      <c r="D10" s="1"/>
      <c r="E10" s="1"/>
      <c r="N10" s="1"/>
      <c r="O10" s="1" t="s">
        <v>24</v>
      </c>
      <c r="P10" s="1" t="s">
        <v>6</v>
      </c>
      <c r="Q10" s="1" t="s">
        <v>5</v>
      </c>
      <c r="R10" s="1" t="s">
        <v>8</v>
      </c>
      <c r="S10" s="1"/>
      <c r="T10" s="1"/>
      <c r="U10" s="1"/>
      <c r="V10" s="1" t="s">
        <v>25</v>
      </c>
      <c r="W10" s="1" t="s">
        <v>26</v>
      </c>
      <c r="X10" s="1" t="s">
        <v>7</v>
      </c>
      <c r="Y10" s="14" t="s">
        <v>61</v>
      </c>
      <c r="Z10" s="14" t="s">
        <v>61</v>
      </c>
      <c r="AJ10" t="s">
        <v>52</v>
      </c>
    </row>
    <row r="11" spans="1:36" ht="12" customHeight="1" x14ac:dyDescent="0.25">
      <c r="A11" s="1" t="s">
        <v>27</v>
      </c>
      <c r="B11" s="1">
        <f>SUM(B5:B10)</f>
        <v>103.5</v>
      </c>
      <c r="C11" s="6">
        <f>SUM(C5:C10)</f>
        <v>4327.5867571414092</v>
      </c>
      <c r="D11" s="6"/>
      <c r="E11" s="6">
        <f>SUM(E5:E10)</f>
        <v>3525.5117469879519</v>
      </c>
      <c r="L11">
        <f>1.225*(1 - 0.0000068756 * N11*100)^4.2561</f>
        <v>1.2250000000000001</v>
      </c>
      <c r="M11">
        <f t="shared" ref="M11:M23" si="1">K11/SQRT($L$11/L11)</f>
        <v>0</v>
      </c>
      <c r="N11" s="1">
        <v>0</v>
      </c>
      <c r="O11" s="1">
        <f>[1]climb!E100</f>
        <v>90.7</v>
      </c>
      <c r="P11" s="1">
        <f>[1]climb!AA100</f>
        <v>0</v>
      </c>
      <c r="Q11" s="1">
        <f>[1]climb!AB100</f>
        <v>0</v>
      </c>
      <c r="R11" s="1">
        <f>[1]climb!AC100</f>
        <v>0</v>
      </c>
      <c r="S11" s="1"/>
      <c r="T11" s="1"/>
      <c r="U11" s="1"/>
      <c r="V11" s="6">
        <f>35404*O11%*T$8*0.10472/1000</f>
        <v>3026.4378661439996</v>
      </c>
      <c r="W11" s="1">
        <v>0</v>
      </c>
      <c r="X11" s="6">
        <f>V11*W11*2</f>
        <v>0</v>
      </c>
      <c r="Y11">
        <f t="shared" ref="Y11:Y23" si="2">V11*1000/($T$8/60*2*PI())</f>
        <v>32111.503090487033</v>
      </c>
      <c r="Z11">
        <f>Y11/(O11/100)</f>
        <v>35404.082789952627</v>
      </c>
      <c r="AJ11" t="s">
        <v>53</v>
      </c>
    </row>
    <row r="12" spans="1:36" ht="12" customHeight="1" x14ac:dyDescent="0.25">
      <c r="I12">
        <f>(Q12-Q11)/(W12)</f>
        <v>133.33333333333331</v>
      </c>
      <c r="J12">
        <f>(N12-N11)*100/(P12-P11)</f>
        <v>2222.2222222222222</v>
      </c>
      <c r="K12">
        <f>SQRT(I12^2+(CONVERT(J12,"ft","Nmi")*60)^2)</f>
        <v>135.12701465246019</v>
      </c>
      <c r="L12">
        <f t="shared" ref="L12:L23" si="3">1.225*(1 - 0.0000068756 * N12*100)^4.2561</f>
        <v>1.154893612675268</v>
      </c>
      <c r="M12">
        <f t="shared" si="1"/>
        <v>131.20341145860854</v>
      </c>
      <c r="N12" s="1">
        <v>20</v>
      </c>
      <c r="O12" s="1">
        <f>[1]climb!E101</f>
        <v>90.7</v>
      </c>
      <c r="P12" s="1">
        <f>[1]climb!AA101</f>
        <v>0.9</v>
      </c>
      <c r="Q12" s="1">
        <f>[1]climb!AB101</f>
        <v>2</v>
      </c>
      <c r="R12" s="1">
        <f>[1]climb!AC101</f>
        <v>59</v>
      </c>
      <c r="S12" s="1">
        <f>R12-R11</f>
        <v>59</v>
      </c>
      <c r="T12" s="1">
        <f>S12/((P12-P11)/60)</f>
        <v>3933.333333333333</v>
      </c>
      <c r="U12" s="1"/>
      <c r="V12" s="6">
        <f>35404*O12%*T$8*0.10472/1000</f>
        <v>3026.4378661439996</v>
      </c>
      <c r="W12" s="8">
        <f>(P12-P11)/60</f>
        <v>1.5000000000000001E-2</v>
      </c>
      <c r="X12" s="6">
        <f t="shared" ref="X12:X23" si="4">V12*W12*2</f>
        <v>90.793135984319989</v>
      </c>
      <c r="Y12">
        <f t="shared" si="2"/>
        <v>32111.503090487033</v>
      </c>
      <c r="Z12">
        <f>Y12/(O12/100)</f>
        <v>35404.082789952627</v>
      </c>
    </row>
    <row r="13" spans="1:36" ht="12" customHeight="1" x14ac:dyDescent="0.25">
      <c r="C13">
        <v>5165</v>
      </c>
      <c r="D13" t="s">
        <v>28</v>
      </c>
      <c r="I13">
        <f>(Q13-Q12)/(W13)</f>
        <v>199.99999999999997</v>
      </c>
      <c r="J13">
        <f t="shared" ref="J13:J24" si="5">(N13-N12)*100/(P13-P12)</f>
        <v>2222.2222222222222</v>
      </c>
      <c r="K13">
        <f t="shared" ref="K13:K24" si="6">SQRT(I13^2+(CONVERT(J13,"ft","Nmi")*60)^2)</f>
        <v>201.20022940123204</v>
      </c>
      <c r="L13">
        <f t="shared" si="3"/>
        <v>1.0878987962188151</v>
      </c>
      <c r="M13">
        <f t="shared" si="1"/>
        <v>189.60713469385746</v>
      </c>
      <c r="N13" s="1">
        <v>40</v>
      </c>
      <c r="O13" s="1">
        <f>[1]climb!E102</f>
        <v>90.7</v>
      </c>
      <c r="P13" s="1">
        <f>[1]climb!AA102</f>
        <v>1.8</v>
      </c>
      <c r="Q13" s="1">
        <f>[1]climb!AB102</f>
        <v>5</v>
      </c>
      <c r="R13" s="1">
        <f>[1]climb!AC102</f>
        <v>118</v>
      </c>
      <c r="S13" s="1">
        <f>R13-R12</f>
        <v>59</v>
      </c>
      <c r="T13" s="1">
        <f t="shared" ref="T13:T22" si="7">S13/((P13-P12)/60)</f>
        <v>3933.333333333333</v>
      </c>
      <c r="U13" s="1"/>
      <c r="V13" s="6">
        <f>35404*O13%*T$8*0.10472/1000</f>
        <v>3026.4378661439996</v>
      </c>
      <c r="W13" s="8">
        <f>(P13-P12)/60</f>
        <v>1.5000000000000001E-2</v>
      </c>
      <c r="X13" s="6">
        <f t="shared" si="4"/>
        <v>90.793135984319989</v>
      </c>
      <c r="Y13">
        <f t="shared" si="2"/>
        <v>32111.503090487033</v>
      </c>
      <c r="Z13">
        <f>Y13/(O13/100)</f>
        <v>35404.082789952627</v>
      </c>
    </row>
    <row r="14" spans="1:36" ht="12" customHeight="1" x14ac:dyDescent="0.25">
      <c r="I14">
        <f>(Q14-Q13)/(W14)</f>
        <v>180.00000000000003</v>
      </c>
      <c r="J14">
        <f t="shared" si="5"/>
        <v>2000.0000000000005</v>
      </c>
      <c r="K14">
        <f t="shared" si="6"/>
        <v>181.0802064611089</v>
      </c>
      <c r="L14">
        <f t="shared" si="3"/>
        <v>1.0239185310743304</v>
      </c>
      <c r="M14">
        <f t="shared" si="1"/>
        <v>165.55245987903365</v>
      </c>
      <c r="N14" s="1">
        <v>60</v>
      </c>
      <c r="O14" s="1">
        <f>[1]climb!E103</f>
        <v>90.7</v>
      </c>
      <c r="P14" s="1">
        <f>[1]climb!AA103</f>
        <v>2.8</v>
      </c>
      <c r="Q14" s="1">
        <f>[1]climb!AB103</f>
        <v>8</v>
      </c>
      <c r="R14" s="1">
        <f>[1]climb!AC103</f>
        <v>177</v>
      </c>
      <c r="S14" s="1">
        <f t="shared" ref="S14:S23" si="8">R14-R13</f>
        <v>59</v>
      </c>
      <c r="T14" s="1">
        <f t="shared" si="7"/>
        <v>3540.0000000000009</v>
      </c>
      <c r="U14" s="1"/>
      <c r="V14" s="6">
        <f>35404*O14%*T$8*0.10472/1000</f>
        <v>3026.4378661439996</v>
      </c>
      <c r="W14" s="8">
        <f>(P14-P13)/60</f>
        <v>1.6666666666666663E-2</v>
      </c>
      <c r="X14" s="6">
        <f t="shared" si="4"/>
        <v>100.88126220479997</v>
      </c>
      <c r="Y14">
        <f t="shared" si="2"/>
        <v>32111.503090487033</v>
      </c>
      <c r="Z14">
        <f>Y14/(O14/100)</f>
        <v>35404.082789952627</v>
      </c>
    </row>
    <row r="15" spans="1:36" ht="12" customHeight="1" x14ac:dyDescent="0.25">
      <c r="C15">
        <f>C13/C11</f>
        <v>1.1935058243434835</v>
      </c>
      <c r="I15">
        <f>(Q15-Q14)/(W15)</f>
        <v>133.33333333333329</v>
      </c>
      <c r="J15">
        <f t="shared" si="5"/>
        <v>2222.2222222222213</v>
      </c>
      <c r="K15">
        <f t="shared" si="6"/>
        <v>135.12701465246016</v>
      </c>
      <c r="L15">
        <f t="shared" si="3"/>
        <v>0.962857505678551</v>
      </c>
      <c r="M15">
        <f t="shared" si="1"/>
        <v>119.79953925704783</v>
      </c>
      <c r="N15" s="1">
        <v>80</v>
      </c>
      <c r="O15" s="1">
        <f>[1]climb!E104</f>
        <v>90.7</v>
      </c>
      <c r="P15" s="1">
        <f>[1]climb!AA104</f>
        <v>3.7</v>
      </c>
      <c r="Q15" s="1">
        <f>[1]climb!AB104</f>
        <v>10</v>
      </c>
      <c r="R15" s="1">
        <f>[1]climb!AC104</f>
        <v>237</v>
      </c>
      <c r="S15" s="1">
        <f t="shared" si="8"/>
        <v>60</v>
      </c>
      <c r="T15" s="1">
        <f t="shared" si="7"/>
        <v>3999.9999999999982</v>
      </c>
      <c r="U15" s="1"/>
      <c r="V15" s="6">
        <f>35404*O15%*T$8*0.10472/1000</f>
        <v>3026.4378661439996</v>
      </c>
      <c r="W15" s="8">
        <f>(P15-P14)/60</f>
        <v>1.5000000000000006E-2</v>
      </c>
      <c r="X15" s="6">
        <f t="shared" si="4"/>
        <v>90.793135984320031</v>
      </c>
      <c r="Y15">
        <f t="shared" si="2"/>
        <v>32111.503090487033</v>
      </c>
      <c r="Z15">
        <f>Y15/(O15/100)</f>
        <v>35404.082789952627</v>
      </c>
    </row>
    <row r="16" spans="1:36" ht="12" customHeight="1" x14ac:dyDescent="0.25">
      <c r="I16">
        <f>(Q16-Q15)/(W16)</f>
        <v>240</v>
      </c>
      <c r="J16">
        <f t="shared" si="5"/>
        <v>2000</v>
      </c>
      <c r="K16">
        <f t="shared" si="6"/>
        <v>240.8112147969812</v>
      </c>
      <c r="L16">
        <f t="shared" si="3"/>
        <v>0.90462211024303785</v>
      </c>
      <c r="M16">
        <f t="shared" si="1"/>
        <v>206.93896057177139</v>
      </c>
      <c r="N16" s="1">
        <v>100</v>
      </c>
      <c r="O16" s="1">
        <f>[1]climb!E105</f>
        <v>90.7</v>
      </c>
      <c r="P16" s="1">
        <f>[1]climb!AA105</f>
        <v>4.7</v>
      </c>
      <c r="Q16" s="1">
        <f>[1]climb!AB105</f>
        <v>14</v>
      </c>
      <c r="R16" s="1">
        <f>[1]climb!AC105</f>
        <v>296</v>
      </c>
      <c r="S16" s="1">
        <f t="shared" si="8"/>
        <v>59</v>
      </c>
      <c r="T16" s="1">
        <f t="shared" si="7"/>
        <v>3540</v>
      </c>
      <c r="U16" s="1"/>
      <c r="V16" s="6">
        <f>35404*O16%*T$8*0.10472/1000</f>
        <v>3026.4378661439996</v>
      </c>
      <c r="W16" s="8">
        <f>(P16-P15)/60</f>
        <v>1.6666666666666666E-2</v>
      </c>
      <c r="X16" s="6">
        <f t="shared" si="4"/>
        <v>100.88126220479998</v>
      </c>
      <c r="Y16">
        <f t="shared" si="2"/>
        <v>32111.503090487033</v>
      </c>
      <c r="Z16">
        <f>Y16/(O16/100)</f>
        <v>35404.082789952627</v>
      </c>
    </row>
    <row r="17" spans="1:29" ht="12" customHeight="1" x14ac:dyDescent="0.25">
      <c r="I17">
        <f>(Q17-Q16)/(W17)</f>
        <v>180</v>
      </c>
      <c r="J17">
        <f t="shared" si="5"/>
        <v>2000</v>
      </c>
      <c r="K17">
        <f t="shared" si="6"/>
        <v>181.08020646110887</v>
      </c>
      <c r="L17">
        <f t="shared" si="3"/>
        <v>0.8491204304692368</v>
      </c>
      <c r="M17">
        <f t="shared" si="1"/>
        <v>150.76050442319212</v>
      </c>
      <c r="N17" s="1">
        <v>120</v>
      </c>
      <c r="O17" s="1">
        <f>[1]climb!E106</f>
        <v>87.8</v>
      </c>
      <c r="P17" s="1">
        <f>[1]climb!AA106</f>
        <v>5.7</v>
      </c>
      <c r="Q17" s="1">
        <f>[1]climb!AB106</f>
        <v>17</v>
      </c>
      <c r="R17" s="1">
        <f>[1]climb!AC106</f>
        <v>357</v>
      </c>
      <c r="S17" s="1">
        <f t="shared" si="8"/>
        <v>61</v>
      </c>
      <c r="T17" s="1">
        <f t="shared" si="7"/>
        <v>3660</v>
      </c>
      <c r="U17" s="1"/>
      <c r="V17" s="6">
        <f>35404*O17%*T$8*0.10472/1000</f>
        <v>2929.671936576</v>
      </c>
      <c r="W17" s="8">
        <f>(P17-P16)/60</f>
        <v>1.6666666666666666E-2</v>
      </c>
      <c r="X17" s="6">
        <f t="shared" si="4"/>
        <v>97.655731219199993</v>
      </c>
      <c r="Y17">
        <f t="shared" si="2"/>
        <v>31084.78468957841</v>
      </c>
      <c r="Z17">
        <f>Y17/(O17/100)</f>
        <v>35404.082789952634</v>
      </c>
    </row>
    <row r="18" spans="1:29" ht="12" customHeight="1" x14ac:dyDescent="0.25">
      <c r="A18" t="s">
        <v>29</v>
      </c>
      <c r="D18">
        <f>E11/2.204</f>
        <v>1599.5969813919926</v>
      </c>
      <c r="I18">
        <f>(Q18-Q17)/(W18)</f>
        <v>163.63636363636371</v>
      </c>
      <c r="J18">
        <f t="shared" si="5"/>
        <v>1818.1818181818187</v>
      </c>
      <c r="K18">
        <f t="shared" si="6"/>
        <v>164.61836951009906</v>
      </c>
      <c r="L18">
        <f t="shared" si="3"/>
        <v>0.79626224119512157</v>
      </c>
      <c r="M18">
        <f t="shared" si="1"/>
        <v>132.72059269157256</v>
      </c>
      <c r="N18" s="1">
        <v>140</v>
      </c>
      <c r="O18" s="1">
        <f>[1]climb!E107</f>
        <v>83.5</v>
      </c>
      <c r="P18" s="1">
        <f>[1]climb!AA107</f>
        <v>6.8</v>
      </c>
      <c r="Q18" s="1">
        <f>[1]climb!AB107</f>
        <v>20</v>
      </c>
      <c r="R18" s="1">
        <f>[1]climb!AC107</f>
        <v>420</v>
      </c>
      <c r="S18" s="1">
        <f t="shared" si="8"/>
        <v>63</v>
      </c>
      <c r="T18" s="1">
        <f t="shared" si="7"/>
        <v>3436.3636363636379</v>
      </c>
      <c r="U18" s="1"/>
      <c r="V18" s="6">
        <f>35404*O18%*T$8*0.10472/1000</f>
        <v>2786.1914203199999</v>
      </c>
      <c r="W18" s="8">
        <f>(P18-P17)/60</f>
        <v>1.8333333333333326E-2</v>
      </c>
      <c r="X18" s="6">
        <f t="shared" si="4"/>
        <v>102.16035207839995</v>
      </c>
      <c r="Y18">
        <f t="shared" si="2"/>
        <v>29562.409129610445</v>
      </c>
      <c r="Z18">
        <f>Y18/(O18/100)</f>
        <v>35404.082789952634</v>
      </c>
    </row>
    <row r="19" spans="1:29" ht="12" customHeight="1" x14ac:dyDescent="0.25">
      <c r="A19">
        <v>100</v>
      </c>
      <c r="B19" t="s">
        <v>5</v>
      </c>
      <c r="I19">
        <f>(Q19-Q18)/(W19)</f>
        <v>199.99999999999997</v>
      </c>
      <c r="J19">
        <f t="shared" si="5"/>
        <v>1666.6666666666665</v>
      </c>
      <c r="K19">
        <f t="shared" si="6"/>
        <v>200.67601233081763</v>
      </c>
      <c r="L19">
        <f t="shared" si="3"/>
        <v>0.74595899997165216</v>
      </c>
      <c r="M19">
        <f t="shared" si="1"/>
        <v>156.5975262128178</v>
      </c>
      <c r="N19" s="1">
        <v>160</v>
      </c>
      <c r="O19" s="1">
        <f>[1]climb!E108</f>
        <v>79.3</v>
      </c>
      <c r="P19" s="1">
        <f>[1]climb!AA108</f>
        <v>8</v>
      </c>
      <c r="Q19" s="1">
        <f>[1]climb!AB108</f>
        <v>24</v>
      </c>
      <c r="R19" s="1">
        <f>[1]climb!AC108</f>
        <v>485</v>
      </c>
      <c r="S19" s="1">
        <f t="shared" si="8"/>
        <v>65</v>
      </c>
      <c r="T19" s="1">
        <f t="shared" si="7"/>
        <v>3249.9999999999995</v>
      </c>
      <c r="U19" s="1"/>
      <c r="V19" s="6">
        <f>35404*O19%*T$8*0.10472/1000</f>
        <v>2646.0476602559993</v>
      </c>
      <c r="W19" s="8">
        <f>(P19-P18)/60</f>
        <v>2.0000000000000004E-2</v>
      </c>
      <c r="X19" s="6">
        <f t="shared" si="4"/>
        <v>105.84190641023999</v>
      </c>
      <c r="Y19">
        <f t="shared" si="2"/>
        <v>28075.437652432429</v>
      </c>
      <c r="Z19">
        <f>Y19/(O19/100)</f>
        <v>35404.082789952627</v>
      </c>
    </row>
    <row r="20" spans="1:29" ht="12" customHeight="1" x14ac:dyDescent="0.25">
      <c r="A20">
        <v>300</v>
      </c>
      <c r="B20" t="s">
        <v>30</v>
      </c>
      <c r="I20">
        <f>(Q20-Q19)/(W20)</f>
        <v>214.28571428571425</v>
      </c>
      <c r="J20">
        <f t="shared" si="5"/>
        <v>1428.5714285714282</v>
      </c>
      <c r="K20">
        <f t="shared" si="6"/>
        <v>214.74954701907248</v>
      </c>
      <c r="L20">
        <f t="shared" si="3"/>
        <v>0.698123840567201</v>
      </c>
      <c r="M20">
        <f t="shared" si="1"/>
        <v>162.11770484974383</v>
      </c>
      <c r="N20" s="1">
        <v>180</v>
      </c>
      <c r="O20" s="1">
        <f>[1]climb!E109</f>
        <v>75.099999999999994</v>
      </c>
      <c r="P20" s="1">
        <f>[1]climb!AA109</f>
        <v>9.4</v>
      </c>
      <c r="Q20" s="1">
        <f>[1]climb!AB109</f>
        <v>29</v>
      </c>
      <c r="R20" s="1">
        <f>[1]climb!AC109</f>
        <v>554</v>
      </c>
      <c r="S20" s="1">
        <f t="shared" si="8"/>
        <v>69</v>
      </c>
      <c r="T20" s="1">
        <f t="shared" si="7"/>
        <v>2957.1428571428564</v>
      </c>
      <c r="U20" s="1"/>
      <c r="V20" s="6">
        <f>35404*O20%*T$8*0.10472/1000</f>
        <v>2505.9039001919991</v>
      </c>
      <c r="W20" s="8">
        <f>(P20-P19)/60</f>
        <v>2.3333333333333338E-2</v>
      </c>
      <c r="X20" s="6">
        <f t="shared" si="4"/>
        <v>116.94218200895999</v>
      </c>
      <c r="Y20">
        <f t="shared" si="2"/>
        <v>26588.466175254416</v>
      </c>
      <c r="Z20">
        <f>Y20/(O20/100)</f>
        <v>35404.082789952627</v>
      </c>
    </row>
    <row r="21" spans="1:29" ht="12" customHeight="1" x14ac:dyDescent="0.25">
      <c r="A21">
        <f>A19/A20*60</f>
        <v>20</v>
      </c>
      <c r="B21" t="s">
        <v>6</v>
      </c>
      <c r="I21">
        <f>(Q21-Q20)/(W21)</f>
        <v>200</v>
      </c>
      <c r="J21">
        <f t="shared" si="5"/>
        <v>1333.3333333333333</v>
      </c>
      <c r="K21">
        <f t="shared" si="6"/>
        <v>200.43291055113437</v>
      </c>
      <c r="L21">
        <f t="shared" si="3"/>
        <v>0.65267156639802015</v>
      </c>
      <c r="M21">
        <f t="shared" si="1"/>
        <v>146.3013505513716</v>
      </c>
      <c r="N21" s="1">
        <v>200</v>
      </c>
      <c r="O21" s="1">
        <f>[1]climb!E110</f>
        <v>70.900000000000006</v>
      </c>
      <c r="P21" s="1">
        <f>[1]climb!AA110</f>
        <v>10.9</v>
      </c>
      <c r="Q21" s="1">
        <f>[1]climb!AB110</f>
        <v>34</v>
      </c>
      <c r="R21" s="1">
        <f>[1]climb!AC110</f>
        <v>627</v>
      </c>
      <c r="S21" s="1">
        <f t="shared" si="8"/>
        <v>73</v>
      </c>
      <c r="T21" s="1">
        <f t="shared" si="7"/>
        <v>2920</v>
      </c>
      <c r="U21" s="1"/>
      <c r="V21" s="6">
        <f>35404*O21%*T$8*0.10472/1000</f>
        <v>2365.7601401280003</v>
      </c>
      <c r="W21" s="8">
        <f>(P21-P20)/60</f>
        <v>2.5000000000000001E-2</v>
      </c>
      <c r="X21" s="6">
        <f t="shared" si="4"/>
        <v>118.28800700640002</v>
      </c>
      <c r="Y21">
        <f t="shared" si="2"/>
        <v>25101.494698076418</v>
      </c>
      <c r="Z21">
        <f>Y21/(O21/100)</f>
        <v>35404.082789952634</v>
      </c>
    </row>
    <row r="22" spans="1:29" ht="12" customHeight="1" x14ac:dyDescent="0.25">
      <c r="E22" s="4"/>
      <c r="I22">
        <f>(Q22-Q21)/(W22)</f>
        <v>233.33333333333348</v>
      </c>
      <c r="J22">
        <f t="shared" si="5"/>
        <v>1111.1111111111118</v>
      </c>
      <c r="K22">
        <f t="shared" si="6"/>
        <v>233.59115463180882</v>
      </c>
      <c r="L22">
        <f t="shared" si="3"/>
        <v>0.60951864388275112</v>
      </c>
      <c r="M22">
        <f t="shared" si="1"/>
        <v>164.77140547211988</v>
      </c>
      <c r="N22" s="1">
        <v>220</v>
      </c>
      <c r="O22" s="1">
        <f>[1]climb!E111</f>
        <v>66.2</v>
      </c>
      <c r="P22" s="1">
        <f>[1]climb!AA111</f>
        <v>12.7</v>
      </c>
      <c r="Q22" s="1">
        <f>[1]climb!AB111</f>
        <v>41</v>
      </c>
      <c r="R22" s="1">
        <f>[1]climb!AC111</f>
        <v>708</v>
      </c>
      <c r="S22" s="1">
        <f t="shared" si="8"/>
        <v>81</v>
      </c>
      <c r="T22" s="1">
        <f t="shared" si="7"/>
        <v>2700.0000000000018</v>
      </c>
      <c r="U22" s="1"/>
      <c r="V22" s="6">
        <f>35404*O22%*T$8*0.10472/1000</f>
        <v>2208.9325991039996</v>
      </c>
      <c r="W22" s="8">
        <f>(P22-P21)/60</f>
        <v>2.9999999999999982E-2</v>
      </c>
      <c r="X22" s="6">
        <f t="shared" si="4"/>
        <v>132.53595594623988</v>
      </c>
      <c r="Y22">
        <f t="shared" si="2"/>
        <v>23437.50280694864</v>
      </c>
      <c r="Z22">
        <f>Y22/(O22/100)</f>
        <v>35404.082789952627</v>
      </c>
    </row>
    <row r="23" spans="1:29" ht="12" customHeight="1" x14ac:dyDescent="0.25">
      <c r="A23">
        <v>45</v>
      </c>
      <c r="B23" t="s">
        <v>6</v>
      </c>
      <c r="I23">
        <f>(Q23-Q22)/(W23)</f>
        <v>228.57142857142841</v>
      </c>
      <c r="J23">
        <f t="shared" si="5"/>
        <v>952.38095238095173</v>
      </c>
      <c r="K23">
        <f t="shared" si="6"/>
        <v>228.76481956233391</v>
      </c>
      <c r="L23">
        <f t="shared" si="3"/>
        <v>0.56858319571888283</v>
      </c>
      <c r="M23">
        <f t="shared" si="1"/>
        <v>155.8540898420674</v>
      </c>
      <c r="N23" s="1">
        <v>240</v>
      </c>
      <c r="O23" s="1">
        <f>[1]climb!E112</f>
        <v>62.1</v>
      </c>
      <c r="P23" s="1">
        <f>[1]climb!AA112</f>
        <v>14.8</v>
      </c>
      <c r="Q23" s="1">
        <f>[1]climb!AB112</f>
        <v>49</v>
      </c>
      <c r="R23" s="1">
        <f>[1]climb!AC112</f>
        <v>798</v>
      </c>
      <c r="S23" s="1">
        <f t="shared" si="8"/>
        <v>90</v>
      </c>
      <c r="T23" s="1"/>
      <c r="U23" s="1"/>
      <c r="V23" s="6">
        <f>35404*O23%*T$8*0.10472/1000</f>
        <v>2072.1255952319998</v>
      </c>
      <c r="W23" s="8">
        <f>(P23-P22)/60</f>
        <v>3.5000000000000024E-2</v>
      </c>
      <c r="X23" s="6">
        <f t="shared" si="4"/>
        <v>145.04879166624008</v>
      </c>
      <c r="Y23">
        <f t="shared" si="2"/>
        <v>21985.935412560582</v>
      </c>
      <c r="Z23">
        <f>Y23/(O23/100)</f>
        <v>35404.082789952627</v>
      </c>
    </row>
    <row r="24" spans="1:29" ht="12" customHeight="1" x14ac:dyDescent="0.25">
      <c r="I24" t="e">
        <f>(Q24-Q23)/(W24)</f>
        <v>#DIV/0!</v>
      </c>
      <c r="J24">
        <f t="shared" si="5"/>
        <v>1621.6216216216214</v>
      </c>
      <c r="K24" t="e">
        <f t="shared" si="6"/>
        <v>#DIV/0!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9" ht="12" customHeight="1" x14ac:dyDescent="0.25">
      <c r="A25">
        <f>SUM(A21:A24)</f>
        <v>65</v>
      </c>
      <c r="B25" t="s">
        <v>6</v>
      </c>
      <c r="M25" s="1"/>
      <c r="N25" s="1"/>
      <c r="O25" s="1"/>
      <c r="P25" s="1"/>
      <c r="Q25" s="1"/>
      <c r="R25" s="1">
        <f>R23/2.2048</f>
        <v>361.93759071117557</v>
      </c>
      <c r="S25" s="1"/>
      <c r="T25" s="1"/>
      <c r="U25" s="1"/>
      <c r="V25" s="1" t="s">
        <v>27</v>
      </c>
      <c r="W25" s="6">
        <f>SUM(W11:W24)</f>
        <v>0.24666666666666667</v>
      </c>
      <c r="X25" s="1" t="s">
        <v>7</v>
      </c>
    </row>
    <row r="26" spans="1:29" ht="12" customHeight="1" x14ac:dyDescent="0.25">
      <c r="A26">
        <f>A25/60</f>
        <v>1.0833333333333333</v>
      </c>
      <c r="B26" t="s">
        <v>26</v>
      </c>
      <c r="E26">
        <f>4580*0.7457</f>
        <v>3415.306</v>
      </c>
    </row>
    <row r="27" spans="1:29" ht="12" customHeight="1" x14ac:dyDescent="0.25">
      <c r="A27" s="4">
        <f>R31</f>
        <v>1579.426756187632</v>
      </c>
      <c r="B27" t="s">
        <v>31</v>
      </c>
    </row>
    <row r="28" spans="1:29" ht="12" customHeight="1" x14ac:dyDescent="0.25">
      <c r="A28">
        <f>2*A27*A26</f>
        <v>3422.0913050732024</v>
      </c>
      <c r="B28" t="s">
        <v>7</v>
      </c>
      <c r="M28" s="1" t="s">
        <v>11</v>
      </c>
      <c r="N28" s="1" t="s">
        <v>32</v>
      </c>
      <c r="O28" s="1" t="s">
        <v>16</v>
      </c>
      <c r="P28" s="1" t="s">
        <v>17</v>
      </c>
      <c r="Q28" s="1"/>
      <c r="R28" s="1"/>
      <c r="S28" s="1">
        <v>850</v>
      </c>
      <c r="T28" s="1" t="s">
        <v>18</v>
      </c>
      <c r="U28" s="1"/>
    </row>
    <row r="29" spans="1:29" ht="12" customHeight="1" x14ac:dyDescent="0.25">
      <c r="M29" s="1" t="str">
        <f>N9</f>
        <v>FL</v>
      </c>
      <c r="N29" s="1" t="str">
        <f>O9</f>
        <v>TRQ</v>
      </c>
      <c r="O29" s="1" t="s">
        <v>33</v>
      </c>
      <c r="P29" s="1" t="s">
        <v>34</v>
      </c>
      <c r="Q29" s="1" t="s">
        <v>35</v>
      </c>
      <c r="R29" s="1" t="str">
        <f>V9</f>
        <v>POWER</v>
      </c>
      <c r="S29" s="1" t="str">
        <f>W9</f>
        <v>DURATION</v>
      </c>
      <c r="T29" s="1" t="str">
        <f>X9</f>
        <v>ENERGY</v>
      </c>
      <c r="U29" s="1" t="s">
        <v>4</v>
      </c>
    </row>
    <row r="30" spans="1:29" ht="12" customHeight="1" x14ac:dyDescent="0.25">
      <c r="A30" s="4">
        <f>A28+C11+E30</f>
        <v>7749.6780622146116</v>
      </c>
      <c r="H30" t="s">
        <v>55</v>
      </c>
      <c r="I30" t="s">
        <v>56</v>
      </c>
      <c r="J30" t="s">
        <v>54</v>
      </c>
      <c r="M30" s="1"/>
      <c r="N30" s="1" t="s">
        <v>24</v>
      </c>
      <c r="O30" s="1" t="s">
        <v>30</v>
      </c>
      <c r="P30" s="1" t="s">
        <v>8</v>
      </c>
      <c r="Q30" s="1" t="s">
        <v>10</v>
      </c>
      <c r="R30" s="1" t="s">
        <v>25</v>
      </c>
      <c r="S30" s="1" t="s">
        <v>26</v>
      </c>
      <c r="T30" s="1" t="s">
        <v>7</v>
      </c>
      <c r="U30" s="1" t="s">
        <v>5</v>
      </c>
      <c r="V30" s="14" t="s">
        <v>59</v>
      </c>
      <c r="W30" s="14" t="s">
        <v>60</v>
      </c>
      <c r="X30" s="14" t="s">
        <v>70</v>
      </c>
      <c r="Z30" t="s">
        <v>21</v>
      </c>
      <c r="AA30" t="s">
        <v>30</v>
      </c>
      <c r="AB30" t="s">
        <v>35</v>
      </c>
    </row>
    <row r="31" spans="1:29" ht="12" customHeight="1" x14ac:dyDescent="0.25">
      <c r="M31" s="1">
        <v>240</v>
      </c>
      <c r="N31" s="12">
        <f t="shared" ref="N31:N42" si="9">_xlfn.FORECAST.LINEAR($P31,$Z$31:$Z$35,$Y$31:$Y$35)</f>
        <v>50.118561746987943</v>
      </c>
      <c r="O31" s="6">
        <f t="shared" ref="O31:O42" si="10">_xlfn.FORECAST.LINEAR($P31,$AA$31:$AA$35,$Y$31:$Y$35)</f>
        <v>304.77371987951813</v>
      </c>
      <c r="P31" s="1">
        <f>65200-800</f>
        <v>64400</v>
      </c>
      <c r="Q31" s="13">
        <f t="shared" ref="Q31:Q42" si="11">_xlfn.FORECAST.LINEAR($P31,$AB$31:$AB$35,$Y$31:$Y$35)</f>
        <v>1886.2597891566265</v>
      </c>
      <c r="R31" s="6">
        <f>35404*N31%*S$28*0.10472/1000</f>
        <v>1579.426756187632</v>
      </c>
      <c r="S31" s="9">
        <v>0.1</v>
      </c>
      <c r="T31" s="6">
        <f>R31*S31*2</f>
        <v>315.88535123752644</v>
      </c>
      <c r="U31" s="1">
        <f>Q23</f>
        <v>49</v>
      </c>
      <c r="V31">
        <f>R31*1000/(S28/60*2*PI())</f>
        <v>17744.017094037139</v>
      </c>
      <c r="W31">
        <f>V31/(N31/100)</f>
        <v>35404.082789952627</v>
      </c>
      <c r="X31">
        <f>W31*1020/60*2*PI()/1000</f>
        <v>3781.6570176</v>
      </c>
      <c r="Y31">
        <v>65200</v>
      </c>
      <c r="Z31">
        <v>50.7</v>
      </c>
      <c r="AA31">
        <v>305</v>
      </c>
      <c r="AB31">
        <v>1904</v>
      </c>
      <c r="AC31" s="10">
        <f>_xlfn.FORECAST.LINEAR(P31,Z$31:Z$35,Y$31:Y$35)</f>
        <v>50.118561746987943</v>
      </c>
    </row>
    <row r="32" spans="1:29" ht="12" customHeight="1" x14ac:dyDescent="0.25">
      <c r="A32" t="s">
        <v>36</v>
      </c>
      <c r="D32" s="4"/>
      <c r="H32">
        <f>(U32-U31)/S32</f>
        <v>304.77371987951813</v>
      </c>
      <c r="I32">
        <v>0</v>
      </c>
      <c r="J32">
        <f>SQRT(H32^2+(CONVERT(I32,"ft","Nmi")*60)^2)</f>
        <v>304.77371987951813</v>
      </c>
      <c r="M32" s="1">
        <v>240</v>
      </c>
      <c r="N32" s="12">
        <f t="shared" si="9"/>
        <v>50.118561746987943</v>
      </c>
      <c r="O32" s="6">
        <f t="shared" si="10"/>
        <v>304.77371987951813</v>
      </c>
      <c r="P32" s="1">
        <f t="shared" ref="P32:P42" si="12">65200-800</f>
        <v>64400</v>
      </c>
      <c r="Q32" s="13">
        <f t="shared" si="11"/>
        <v>1886.2597891566265</v>
      </c>
      <c r="R32" s="6">
        <f>35404*N32%*S$28*0.10472/1000</f>
        <v>1579.426756187632</v>
      </c>
      <c r="S32" s="9">
        <v>0.1</v>
      </c>
      <c r="T32" s="6">
        <f t="shared" ref="T32:T42" si="13">R32*S32*2</f>
        <v>315.88535123752644</v>
      </c>
      <c r="U32" s="6">
        <f>U31+S31*O31</f>
        <v>79.477371987951813</v>
      </c>
      <c r="X32">
        <f>CONVERT(X31,"W","HP")*1000</f>
        <v>5071.2855958736527</v>
      </c>
      <c r="Y32">
        <v>64000</v>
      </c>
      <c r="Z32">
        <v>49.9</v>
      </c>
      <c r="AA32">
        <v>305</v>
      </c>
      <c r="AB32">
        <v>1879</v>
      </c>
      <c r="AC32" s="10">
        <f>_xlfn.FORECAST.LINEAR(P32,Z$31:Z$35,Y$31:Y$35)</f>
        <v>50.118561746987943</v>
      </c>
    </row>
    <row r="33" spans="1:29" ht="12" customHeight="1" x14ac:dyDescent="0.25">
      <c r="A33" t="s">
        <v>37</v>
      </c>
      <c r="D33" s="4"/>
      <c r="H33">
        <f t="shared" ref="H33:H42" si="14">(U33-U32)/S33</f>
        <v>304.77371987951813</v>
      </c>
      <c r="I33">
        <v>0</v>
      </c>
      <c r="J33">
        <f t="shared" ref="J33:J42" si="15">SQRT(H33^2+(CONVERT(I33,"ft","Nmi")*60)^2)</f>
        <v>304.77371987951813</v>
      </c>
      <c r="M33" s="1">
        <v>240</v>
      </c>
      <c r="N33" s="12">
        <f t="shared" si="9"/>
        <v>50.118561746987943</v>
      </c>
      <c r="O33" s="6">
        <f t="shared" si="10"/>
        <v>304.77371987951813</v>
      </c>
      <c r="P33" s="1">
        <f t="shared" si="12"/>
        <v>64400</v>
      </c>
      <c r="Q33" s="13">
        <f t="shared" si="11"/>
        <v>1886.2597891566265</v>
      </c>
      <c r="R33" s="6">
        <f t="shared" ref="R33:R41" si="16">35404*N33%*S$28*0.10472/1000</f>
        <v>1579.426756187632</v>
      </c>
      <c r="S33" s="9">
        <v>0.1</v>
      </c>
      <c r="T33" s="6">
        <f t="shared" si="13"/>
        <v>315.88535123752644</v>
      </c>
      <c r="U33" s="6">
        <f t="shared" ref="U33:U41" si="17">U32+S32*O32</f>
        <v>109.95474397590363</v>
      </c>
      <c r="Y33">
        <v>62000</v>
      </c>
      <c r="Z33">
        <v>47.9</v>
      </c>
      <c r="AA33">
        <v>301</v>
      </c>
      <c r="AB33">
        <v>1820</v>
      </c>
      <c r="AC33" s="10">
        <f>_xlfn.FORECAST.LINEAR(P33,Z$31:Z$35,Y$31:Y$35)</f>
        <v>50.118561746987943</v>
      </c>
    </row>
    <row r="34" spans="1:29" ht="12" customHeight="1" x14ac:dyDescent="0.25">
      <c r="H34">
        <f t="shared" si="14"/>
        <v>304.77371987951813</v>
      </c>
      <c r="I34">
        <v>0</v>
      </c>
      <c r="J34">
        <f t="shared" si="15"/>
        <v>304.77371987951813</v>
      </c>
      <c r="M34" s="1">
        <v>240</v>
      </c>
      <c r="N34" s="12">
        <f t="shared" si="9"/>
        <v>50.118561746987943</v>
      </c>
      <c r="O34" s="6">
        <f t="shared" si="10"/>
        <v>304.77371987951813</v>
      </c>
      <c r="P34" s="1">
        <f t="shared" si="12"/>
        <v>64400</v>
      </c>
      <c r="Q34" s="13">
        <f t="shared" si="11"/>
        <v>1886.2597891566265</v>
      </c>
      <c r="R34" s="6">
        <f t="shared" si="16"/>
        <v>1579.426756187632</v>
      </c>
      <c r="S34" s="9">
        <v>0.1</v>
      </c>
      <c r="T34" s="6">
        <f t="shared" si="13"/>
        <v>315.88535123752644</v>
      </c>
      <c r="U34" s="6">
        <f t="shared" si="17"/>
        <v>140.43211596385544</v>
      </c>
      <c r="Y34">
        <v>58000</v>
      </c>
      <c r="Z34">
        <v>43.2</v>
      </c>
      <c r="AA34">
        <v>290</v>
      </c>
      <c r="AB34">
        <v>1683</v>
      </c>
      <c r="AC34" s="10">
        <f>_xlfn.FORECAST.LINEAR(P34,Z$31:Z$35,Y$31:Y$35)</f>
        <v>50.118561746987943</v>
      </c>
    </row>
    <row r="35" spans="1:29" ht="12" customHeight="1" x14ac:dyDescent="0.25">
      <c r="H35">
        <f t="shared" si="14"/>
        <v>304.77371987951813</v>
      </c>
      <c r="I35">
        <v>0</v>
      </c>
      <c r="J35">
        <f t="shared" si="15"/>
        <v>304.77371987951813</v>
      </c>
      <c r="M35" s="1">
        <v>240</v>
      </c>
      <c r="N35" s="12">
        <f t="shared" si="9"/>
        <v>50.118561746987943</v>
      </c>
      <c r="O35" s="6">
        <f t="shared" si="10"/>
        <v>304.77371987951813</v>
      </c>
      <c r="P35" s="1">
        <f t="shared" si="12"/>
        <v>64400</v>
      </c>
      <c r="Q35" s="13">
        <f t="shared" si="11"/>
        <v>1886.2597891566265</v>
      </c>
      <c r="R35" s="6">
        <f t="shared" si="16"/>
        <v>1579.426756187632</v>
      </c>
      <c r="S35" s="9">
        <v>0.1</v>
      </c>
      <c r="T35" s="6">
        <f t="shared" si="13"/>
        <v>315.88535123752644</v>
      </c>
      <c r="U35" s="6">
        <f t="shared" si="17"/>
        <v>170.90948795180725</v>
      </c>
      <c r="Y35">
        <v>54000</v>
      </c>
      <c r="Z35">
        <v>39.5</v>
      </c>
      <c r="AA35">
        <v>283</v>
      </c>
      <c r="AB35">
        <v>1571</v>
      </c>
      <c r="AC35" s="11">
        <f>_xlfn.FORECAST.LINEAR(P35,Z$35:Z$38,Y$35:Y$38)</f>
        <v>45.559999999999995</v>
      </c>
    </row>
    <row r="36" spans="1:29" ht="12" customHeight="1" x14ac:dyDescent="0.25">
      <c r="A36" t="s">
        <v>38</v>
      </c>
      <c r="B36">
        <v>64500</v>
      </c>
      <c r="H36">
        <f t="shared" si="14"/>
        <v>304.77371987951813</v>
      </c>
      <c r="I36">
        <v>0</v>
      </c>
      <c r="J36">
        <f t="shared" si="15"/>
        <v>304.77371987951813</v>
      </c>
      <c r="M36" s="1">
        <v>240</v>
      </c>
      <c r="N36" s="12">
        <f t="shared" si="9"/>
        <v>50.118561746987943</v>
      </c>
      <c r="O36" s="6">
        <f t="shared" si="10"/>
        <v>304.77371987951813</v>
      </c>
      <c r="P36" s="1">
        <f t="shared" si="12"/>
        <v>64400</v>
      </c>
      <c r="Q36" s="13">
        <f t="shared" si="11"/>
        <v>1886.2597891566265</v>
      </c>
      <c r="R36" s="6">
        <f t="shared" si="16"/>
        <v>1579.426756187632</v>
      </c>
      <c r="S36" s="9">
        <v>0.1</v>
      </c>
      <c r="T36" s="6">
        <f t="shared" si="13"/>
        <v>315.88535123752644</v>
      </c>
      <c r="U36" s="6">
        <f t="shared" si="17"/>
        <v>201.38685993975906</v>
      </c>
      <c r="Y36">
        <v>50000</v>
      </c>
      <c r="Z36">
        <v>37.1</v>
      </c>
      <c r="AA36">
        <v>280</v>
      </c>
      <c r="AB36">
        <v>1498</v>
      </c>
      <c r="AC36" s="11">
        <f>_xlfn.FORECAST.LINEAR(P36,Z$35:Z$38,Y$35:Y$38)</f>
        <v>45.559999999999995</v>
      </c>
    </row>
    <row r="37" spans="1:29" ht="12" customHeight="1" x14ac:dyDescent="0.25">
      <c r="A37" t="s">
        <v>39</v>
      </c>
      <c r="B37">
        <v>39300</v>
      </c>
      <c r="C37">
        <f>B37/B36</f>
        <v>0.6093023255813953</v>
      </c>
      <c r="H37">
        <f t="shared" si="14"/>
        <v>304.77371987951813</v>
      </c>
      <c r="I37">
        <v>0</v>
      </c>
      <c r="J37">
        <f t="shared" si="15"/>
        <v>304.77371987951813</v>
      </c>
      <c r="M37" s="1">
        <v>240</v>
      </c>
      <c r="N37" s="12">
        <f t="shared" si="9"/>
        <v>50.118561746987943</v>
      </c>
      <c r="O37" s="6">
        <f t="shared" si="10"/>
        <v>304.77371987951813</v>
      </c>
      <c r="P37" s="1">
        <f t="shared" si="12"/>
        <v>64400</v>
      </c>
      <c r="Q37" s="13">
        <f t="shared" si="11"/>
        <v>1886.2597891566265</v>
      </c>
      <c r="R37" s="6">
        <f t="shared" si="16"/>
        <v>1579.426756187632</v>
      </c>
      <c r="S37" s="9">
        <v>0.1</v>
      </c>
      <c r="T37" s="6">
        <f t="shared" si="13"/>
        <v>315.88535123752644</v>
      </c>
      <c r="U37" s="6">
        <f t="shared" si="17"/>
        <v>231.86423192771088</v>
      </c>
      <c r="Y37">
        <v>46000</v>
      </c>
      <c r="Z37">
        <v>34.6</v>
      </c>
      <c r="AA37">
        <v>276</v>
      </c>
      <c r="AB37">
        <v>1426</v>
      </c>
      <c r="AC37" s="11">
        <f>_xlfn.FORECAST.LINEAR(P37,Z$35:Z$38,Y$35:Y$38)</f>
        <v>45.559999999999995</v>
      </c>
    </row>
    <row r="38" spans="1:29" ht="12" customHeight="1" x14ac:dyDescent="0.25">
      <c r="A38" t="s">
        <v>40</v>
      </c>
      <c r="B38">
        <f>B36-B37</f>
        <v>25200</v>
      </c>
      <c r="H38">
        <f t="shared" si="14"/>
        <v>304.77371987951813</v>
      </c>
      <c r="I38">
        <v>0</v>
      </c>
      <c r="J38">
        <f t="shared" si="15"/>
        <v>304.77371987951813</v>
      </c>
      <c r="M38" s="1">
        <v>240</v>
      </c>
      <c r="N38" s="12">
        <f t="shared" si="9"/>
        <v>50.118561746987943</v>
      </c>
      <c r="O38" s="6">
        <f t="shared" si="10"/>
        <v>304.77371987951813</v>
      </c>
      <c r="P38" s="1">
        <f t="shared" si="12"/>
        <v>64400</v>
      </c>
      <c r="Q38" s="13">
        <f t="shared" si="11"/>
        <v>1886.2597891566265</v>
      </c>
      <c r="R38" s="6">
        <f t="shared" si="16"/>
        <v>1579.426756187632</v>
      </c>
      <c r="S38" s="9">
        <v>0.1</v>
      </c>
      <c r="T38" s="6">
        <f t="shared" si="13"/>
        <v>315.88535123752644</v>
      </c>
      <c r="U38" s="6">
        <f t="shared" si="17"/>
        <v>262.34160391566269</v>
      </c>
      <c r="Y38">
        <v>42000</v>
      </c>
      <c r="Z38">
        <v>32.5</v>
      </c>
      <c r="AA38">
        <v>273</v>
      </c>
      <c r="AB38">
        <v>1368</v>
      </c>
      <c r="AC38" s="11">
        <f>_xlfn.FORECAST.LINEAR(P38,Z$35:Z$38,Y$35:Y$38)</f>
        <v>45.559999999999995</v>
      </c>
    </row>
    <row r="39" spans="1:29" ht="12" customHeight="1" x14ac:dyDescent="0.25">
      <c r="A39" t="s">
        <v>41</v>
      </c>
      <c r="B39">
        <v>76</v>
      </c>
      <c r="H39">
        <f t="shared" si="14"/>
        <v>304.77371987951813</v>
      </c>
      <c r="I39">
        <v>0</v>
      </c>
      <c r="J39">
        <f t="shared" si="15"/>
        <v>304.77371987951813</v>
      </c>
      <c r="M39" s="1">
        <v>240</v>
      </c>
      <c r="N39" s="12">
        <f t="shared" si="9"/>
        <v>50.118561746987943</v>
      </c>
      <c r="O39" s="6">
        <f t="shared" si="10"/>
        <v>304.77371987951813</v>
      </c>
      <c r="P39" s="1">
        <f t="shared" si="12"/>
        <v>64400</v>
      </c>
      <c r="Q39" s="13">
        <f t="shared" si="11"/>
        <v>1886.2597891566265</v>
      </c>
      <c r="R39" s="6">
        <f t="shared" si="16"/>
        <v>1579.426756187632</v>
      </c>
      <c r="S39" s="9">
        <v>0.1</v>
      </c>
      <c r="T39" s="6">
        <f t="shared" si="13"/>
        <v>315.88535123752644</v>
      </c>
      <c r="U39" s="6">
        <f t="shared" si="17"/>
        <v>292.8189759036145</v>
      </c>
    </row>
    <row r="40" spans="1:29" ht="12" customHeight="1" x14ac:dyDescent="0.25">
      <c r="B40">
        <v>220</v>
      </c>
      <c r="C40" t="s">
        <v>42</v>
      </c>
      <c r="H40">
        <f t="shared" si="14"/>
        <v>304.77371987951813</v>
      </c>
      <c r="I40">
        <v>0</v>
      </c>
      <c r="J40">
        <f t="shared" si="15"/>
        <v>304.77371987951813</v>
      </c>
      <c r="M40" s="1">
        <v>240</v>
      </c>
      <c r="N40" s="12">
        <f t="shared" si="9"/>
        <v>50.118561746987943</v>
      </c>
      <c r="O40" s="6">
        <f t="shared" si="10"/>
        <v>304.77371987951813</v>
      </c>
      <c r="P40" s="1">
        <f t="shared" si="12"/>
        <v>64400</v>
      </c>
      <c r="Q40" s="13">
        <f t="shared" si="11"/>
        <v>1886.2597891566265</v>
      </c>
      <c r="R40" s="6">
        <f t="shared" si="16"/>
        <v>1579.426756187632</v>
      </c>
      <c r="S40" s="9">
        <v>0.1</v>
      </c>
      <c r="T40" s="6">
        <f t="shared" si="13"/>
        <v>315.88535123752644</v>
      </c>
      <c r="U40" s="6">
        <f t="shared" si="17"/>
        <v>323.29634789156631</v>
      </c>
    </row>
    <row r="41" spans="1:29" ht="12" customHeight="1" x14ac:dyDescent="0.25">
      <c r="A41" t="s">
        <v>43</v>
      </c>
      <c r="B41">
        <f>B40*B39</f>
        <v>16720</v>
      </c>
      <c r="H41">
        <f t="shared" si="14"/>
        <v>304.77371987951813</v>
      </c>
      <c r="I41">
        <v>0</v>
      </c>
      <c r="J41">
        <f t="shared" si="15"/>
        <v>304.77371987951813</v>
      </c>
      <c r="M41" s="1">
        <v>240</v>
      </c>
      <c r="N41" s="12">
        <f t="shared" si="9"/>
        <v>50.118561746987943</v>
      </c>
      <c r="O41" s="6">
        <f t="shared" si="10"/>
        <v>304.77371987951813</v>
      </c>
      <c r="P41" s="1">
        <f t="shared" si="12"/>
        <v>64400</v>
      </c>
      <c r="Q41" s="13">
        <f t="shared" si="11"/>
        <v>1886.2597891566265</v>
      </c>
      <c r="R41" s="6">
        <f t="shared" si="16"/>
        <v>1579.426756187632</v>
      </c>
      <c r="S41" s="9">
        <v>0.1</v>
      </c>
      <c r="T41" s="6">
        <f t="shared" si="13"/>
        <v>315.88535123752644</v>
      </c>
      <c r="U41" s="6">
        <f t="shared" si="17"/>
        <v>353.77371987951813</v>
      </c>
    </row>
    <row r="42" spans="1:29" ht="12" customHeight="1" x14ac:dyDescent="0.25">
      <c r="A42" t="s">
        <v>44</v>
      </c>
      <c r="B42">
        <v>11700</v>
      </c>
      <c r="H42">
        <f t="shared" si="14"/>
        <v>304.77371987951813</v>
      </c>
      <c r="I42">
        <v>0</v>
      </c>
      <c r="J42">
        <f t="shared" si="15"/>
        <v>304.77371987951813</v>
      </c>
      <c r="M42" s="1">
        <v>240</v>
      </c>
      <c r="N42" s="12">
        <f t="shared" si="9"/>
        <v>50.118561746987943</v>
      </c>
      <c r="O42" s="6">
        <f t="shared" si="10"/>
        <v>304.77371987951813</v>
      </c>
      <c r="P42" s="1">
        <f t="shared" si="12"/>
        <v>64400</v>
      </c>
      <c r="Q42" s="13">
        <f t="shared" si="11"/>
        <v>1886.2597891566265</v>
      </c>
      <c r="R42" s="6">
        <f>35404*N42%*S$28*0.10472/1000</f>
        <v>1579.426756187632</v>
      </c>
      <c r="S42" s="9">
        <v>0.1</v>
      </c>
      <c r="T42" s="6">
        <f t="shared" si="13"/>
        <v>315.88535123752644</v>
      </c>
      <c r="U42" s="6">
        <f>U41+S41*O41</f>
        <v>384.25109186746994</v>
      </c>
      <c r="W42">
        <f>384-49</f>
        <v>335</v>
      </c>
    </row>
    <row r="43" spans="1:29" ht="12" customHeight="1" x14ac:dyDescent="0.25">
      <c r="M43" s="1"/>
      <c r="N43" s="1"/>
      <c r="O43" s="1"/>
      <c r="P43" s="1"/>
      <c r="Q43" s="1"/>
      <c r="R43" s="1"/>
      <c r="S43" s="1"/>
      <c r="T43" s="1"/>
      <c r="U43" s="1"/>
    </row>
    <row r="44" spans="1:29" ht="12" customHeight="1" x14ac:dyDescent="0.25">
      <c r="A44" t="s">
        <v>45</v>
      </c>
      <c r="M44" s="1"/>
      <c r="N44" s="1"/>
      <c r="O44" s="1"/>
      <c r="P44" s="1"/>
      <c r="Q44" s="6">
        <f>SUMPRODUCT(Q31:Q42,S31:S42)</f>
        <v>2263.5117469879519</v>
      </c>
      <c r="R44" s="1"/>
      <c r="S44" s="9">
        <f>SUM(S31:S43)</f>
        <v>1.2</v>
      </c>
      <c r="T44" s="6">
        <f>SUM(T31:T43)</f>
        <v>3790.6242148503165</v>
      </c>
      <c r="U44" s="1" t="s">
        <v>7</v>
      </c>
    </row>
    <row r="45" spans="1:29" ht="12" customHeight="1" x14ac:dyDescent="0.25">
      <c r="B45">
        <f>B38-B41</f>
        <v>8480</v>
      </c>
    </row>
    <row r="47" spans="1:29" ht="12" customHeight="1" x14ac:dyDescent="0.25">
      <c r="M47" s="1" t="s">
        <v>14</v>
      </c>
      <c r="N47" s="1" t="s">
        <v>46</v>
      </c>
      <c r="O47" s="1" t="s">
        <v>16</v>
      </c>
      <c r="P47" s="1" t="s">
        <v>17</v>
      </c>
      <c r="Q47" s="1"/>
      <c r="R47" s="1"/>
      <c r="S47" s="6">
        <v>850</v>
      </c>
      <c r="T47" s="1" t="s">
        <v>18</v>
      </c>
      <c r="U47" s="1"/>
    </row>
    <row r="48" spans="1:29" ht="12" customHeight="1" x14ac:dyDescent="0.25">
      <c r="M48" s="1" t="s">
        <v>20</v>
      </c>
      <c r="N48" s="1" t="s">
        <v>21</v>
      </c>
      <c r="O48" s="1" t="s">
        <v>22</v>
      </c>
      <c r="P48" s="1" t="s">
        <v>47</v>
      </c>
      <c r="Q48" s="1" t="s">
        <v>3</v>
      </c>
      <c r="R48" s="1" t="s">
        <v>23</v>
      </c>
      <c r="S48" s="1" t="s">
        <v>1</v>
      </c>
      <c r="T48" s="1" t="s">
        <v>2</v>
      </c>
      <c r="U48" s="1" t="s">
        <v>4</v>
      </c>
    </row>
    <row r="49" spans="8:28" ht="12" customHeight="1" x14ac:dyDescent="0.25">
      <c r="H49" t="s">
        <v>55</v>
      </c>
      <c r="I49" t="s">
        <v>56</v>
      </c>
      <c r="J49" t="s">
        <v>54</v>
      </c>
      <c r="K49" t="s">
        <v>57</v>
      </c>
      <c r="L49" t="s">
        <v>58</v>
      </c>
      <c r="M49" s="1"/>
      <c r="N49" s="1" t="s">
        <v>24</v>
      </c>
      <c r="O49" s="1" t="s">
        <v>6</v>
      </c>
      <c r="P49" s="1" t="s">
        <v>5</v>
      </c>
      <c r="Q49" s="1" t="s">
        <v>8</v>
      </c>
      <c r="R49" s="1" t="s">
        <v>31</v>
      </c>
      <c r="S49" s="1" t="s">
        <v>6</v>
      </c>
      <c r="T49" s="1" t="s">
        <v>7</v>
      </c>
      <c r="U49" s="1" t="s">
        <v>5</v>
      </c>
    </row>
    <row r="50" spans="8:28" ht="12" customHeight="1" x14ac:dyDescent="0.25">
      <c r="M50" s="1">
        <v>240</v>
      </c>
      <c r="N50" s="7">
        <v>45.1</v>
      </c>
      <c r="O50" s="1">
        <v>0</v>
      </c>
      <c r="P50" s="1">
        <v>0</v>
      </c>
      <c r="Q50" s="1">
        <v>0</v>
      </c>
      <c r="R50" s="6">
        <f t="shared" ref="R50:R62" si="18">35404*N50%*S$47*0.10472/1000</f>
        <v>1421.2727624480001</v>
      </c>
      <c r="S50" s="7">
        <v>0</v>
      </c>
      <c r="T50" s="6">
        <f>R50*S50*2</f>
        <v>0</v>
      </c>
      <c r="U50" s="1">
        <v>0</v>
      </c>
      <c r="Z50" t="s">
        <v>48</v>
      </c>
    </row>
    <row r="51" spans="8:28" ht="12" customHeight="1" x14ac:dyDescent="0.25">
      <c r="H51">
        <f>(P51-P50)/((O51-O50)/60)</f>
        <v>360</v>
      </c>
      <c r="I51">
        <f>(M50-M51)*100/(O50-O51)</f>
        <v>-1000</v>
      </c>
      <c r="J51">
        <f>SQRT(H51^2+(CONVERT(I51,"ft","Nmi")*60)^2)</f>
        <v>360.13540549770926</v>
      </c>
      <c r="K51">
        <f>1.225*(1 - 0.0000068756 * M51*100)^4.2561</f>
        <v>0.60951864388275112</v>
      </c>
      <c r="L51">
        <f t="shared" ref="L51:L63" si="19">J51/SQRT($L$11/K51)</f>
        <v>254.03366414992178</v>
      </c>
      <c r="M51" s="1">
        <v>220</v>
      </c>
      <c r="N51" s="7">
        <v>51</v>
      </c>
      <c r="O51" s="7">
        <f>O50+S51</f>
        <v>2</v>
      </c>
      <c r="P51" s="6">
        <f t="shared" ref="P51:P62" si="20">P50+X55</f>
        <v>12</v>
      </c>
      <c r="Q51" s="6">
        <f t="shared" ref="Q51:Q62" si="21">Q50+W55</f>
        <v>59</v>
      </c>
      <c r="R51" s="6">
        <f t="shared" si="18"/>
        <v>1607.20423248</v>
      </c>
      <c r="S51" s="7">
        <f>Z64-Z63</f>
        <v>2</v>
      </c>
      <c r="T51" s="6">
        <f>R51*S51/60*2</f>
        <v>107.14694883199999</v>
      </c>
      <c r="U51" s="6">
        <f t="shared" ref="U51:U62" si="22">U50+X55</f>
        <v>12</v>
      </c>
      <c r="Z51" t="s">
        <v>22</v>
      </c>
      <c r="AA51" t="s">
        <v>4</v>
      </c>
      <c r="AB51" t="s">
        <v>3</v>
      </c>
    </row>
    <row r="52" spans="8:28" ht="12" customHeight="1" x14ac:dyDescent="0.25">
      <c r="H52">
        <f t="shared" ref="H52:H61" si="23">(P52-P51)/((O52-O51)/60)</f>
        <v>352.9411764705884</v>
      </c>
      <c r="I52">
        <f t="shared" ref="I52:I61" si="24">(M53-M52)*100/(O53-O52)</f>
        <v>-2000</v>
      </c>
      <c r="J52">
        <f t="shared" ref="J52:J62" si="25">SQRT(H52^2+(CONVERT(I52,"ft","Nmi")*60)^2)</f>
        <v>353.49330293577111</v>
      </c>
      <c r="K52">
        <f t="shared" ref="K52:K63" si="26">1.225*(1 - 0.0000068756 * M52*100)^4.2561</f>
        <v>0.65267156639802015</v>
      </c>
      <c r="L52">
        <f t="shared" si="19"/>
        <v>258.02423109140324</v>
      </c>
      <c r="M52" s="1">
        <v>200</v>
      </c>
      <c r="N52" s="7">
        <v>38.799999999999997</v>
      </c>
      <c r="O52" s="7">
        <f t="shared" ref="O52:O62" si="27">O51+S52</f>
        <v>3.6999999999999993</v>
      </c>
      <c r="P52" s="6">
        <f t="shared" si="20"/>
        <v>22</v>
      </c>
      <c r="Q52" s="6">
        <f t="shared" si="21"/>
        <v>114</v>
      </c>
      <c r="R52" s="6">
        <f t="shared" si="18"/>
        <v>1222.7357690239999</v>
      </c>
      <c r="S52" s="7">
        <f>Z63-Z62</f>
        <v>1.6999999999999993</v>
      </c>
      <c r="T52" s="6">
        <f t="shared" ref="T52:T62" si="28">R52*S52/60*2</f>
        <v>69.288360244693294</v>
      </c>
      <c r="U52" s="6">
        <f t="shared" si="22"/>
        <v>22</v>
      </c>
      <c r="Y52">
        <v>0</v>
      </c>
      <c r="Z52">
        <v>0</v>
      </c>
      <c r="AA52">
        <v>0</v>
      </c>
      <c r="AB52">
        <v>0</v>
      </c>
    </row>
    <row r="53" spans="8:28" ht="12" customHeight="1" x14ac:dyDescent="0.25">
      <c r="H53">
        <f t="shared" si="23"/>
        <v>360</v>
      </c>
      <c r="I53">
        <f t="shared" si="24"/>
        <v>-2000</v>
      </c>
      <c r="J53">
        <f t="shared" si="25"/>
        <v>360.54131687227999</v>
      </c>
      <c r="K53">
        <f t="shared" si="26"/>
        <v>0.698123840567201</v>
      </c>
      <c r="L53">
        <f t="shared" si="19"/>
        <v>272.17813311451192</v>
      </c>
      <c r="M53" s="1">
        <v>180</v>
      </c>
      <c r="N53" s="7">
        <v>35.700000000000003</v>
      </c>
      <c r="O53" s="7">
        <f t="shared" si="27"/>
        <v>4.6999999999999993</v>
      </c>
      <c r="P53" s="6">
        <f t="shared" si="20"/>
        <v>28</v>
      </c>
      <c r="Q53" s="6">
        <f t="shared" si="21"/>
        <v>142</v>
      </c>
      <c r="R53" s="6">
        <f t="shared" si="18"/>
        <v>1125.0429627360002</v>
      </c>
      <c r="S53" s="7">
        <f>Z62-Z61</f>
        <v>1</v>
      </c>
      <c r="T53" s="6">
        <f t="shared" si="28"/>
        <v>37.501432091200009</v>
      </c>
      <c r="U53" s="6">
        <f t="shared" si="22"/>
        <v>28</v>
      </c>
      <c r="Y53">
        <v>20</v>
      </c>
      <c r="Z53">
        <v>1</v>
      </c>
      <c r="AA53">
        <v>4</v>
      </c>
      <c r="AB53">
        <v>19</v>
      </c>
    </row>
    <row r="54" spans="8:28" ht="12" customHeight="1" x14ac:dyDescent="0.25">
      <c r="H54">
        <f t="shared" si="23"/>
        <v>360</v>
      </c>
      <c r="I54">
        <f t="shared" si="24"/>
        <v>-2000</v>
      </c>
      <c r="J54">
        <f t="shared" si="25"/>
        <v>360.54131687227999</v>
      </c>
      <c r="K54">
        <f t="shared" si="26"/>
        <v>0.74595899997165216</v>
      </c>
      <c r="L54">
        <f t="shared" si="19"/>
        <v>281.34841660415145</v>
      </c>
      <c r="M54" s="1">
        <v>160</v>
      </c>
      <c r="N54" s="7">
        <v>33</v>
      </c>
      <c r="O54" s="7">
        <f t="shared" si="27"/>
        <v>5.6999999999999993</v>
      </c>
      <c r="P54" s="6">
        <f t="shared" si="20"/>
        <v>34</v>
      </c>
      <c r="Q54" s="6">
        <f t="shared" si="21"/>
        <v>169</v>
      </c>
      <c r="R54" s="6">
        <f t="shared" si="18"/>
        <v>1039.9556798399999</v>
      </c>
      <c r="S54" s="7">
        <f>Z61-Z60</f>
        <v>1</v>
      </c>
      <c r="T54" s="6">
        <f t="shared" si="28"/>
        <v>34.665189327999997</v>
      </c>
      <c r="U54" s="6">
        <f t="shared" si="22"/>
        <v>34</v>
      </c>
      <c r="W54" s="1">
        <v>0</v>
      </c>
      <c r="X54" s="1">
        <v>0</v>
      </c>
      <c r="Y54">
        <v>40</v>
      </c>
      <c r="Z54">
        <v>2</v>
      </c>
      <c r="AA54">
        <v>8</v>
      </c>
      <c r="AB54">
        <v>37</v>
      </c>
    </row>
    <row r="55" spans="8:28" ht="12" customHeight="1" x14ac:dyDescent="0.25">
      <c r="H55">
        <f t="shared" si="23"/>
        <v>360</v>
      </c>
      <c r="I55">
        <f t="shared" si="24"/>
        <v>-2000</v>
      </c>
      <c r="J55">
        <f t="shared" si="25"/>
        <v>360.54131687227999</v>
      </c>
      <c r="K55">
        <f t="shared" si="26"/>
        <v>0.79626224119512157</v>
      </c>
      <c r="L55">
        <f t="shared" si="19"/>
        <v>290.67993692012288</v>
      </c>
      <c r="M55" s="1">
        <v>140</v>
      </c>
      <c r="N55" s="7">
        <v>30.4</v>
      </c>
      <c r="O55" s="7">
        <f t="shared" si="27"/>
        <v>6.6999999999999993</v>
      </c>
      <c r="P55" s="6">
        <f t="shared" si="20"/>
        <v>40</v>
      </c>
      <c r="Q55" s="6">
        <f t="shared" si="21"/>
        <v>196</v>
      </c>
      <c r="R55" s="6">
        <f t="shared" si="18"/>
        <v>958.0197777919999</v>
      </c>
      <c r="S55" s="7">
        <f>Z60-Z59</f>
        <v>1</v>
      </c>
      <c r="T55" s="6">
        <f t="shared" si="28"/>
        <v>31.933992593066662</v>
      </c>
      <c r="U55" s="6">
        <f t="shared" si="22"/>
        <v>40</v>
      </c>
      <c r="W55" s="6">
        <f>AB64-AB63</f>
        <v>59</v>
      </c>
      <c r="X55" s="7">
        <f>AA64-AA63</f>
        <v>12</v>
      </c>
      <c r="Y55">
        <v>60</v>
      </c>
      <c r="Z55">
        <v>3</v>
      </c>
      <c r="AA55">
        <v>13</v>
      </c>
      <c r="AB55">
        <v>56</v>
      </c>
    </row>
    <row r="56" spans="8:28" ht="12" customHeight="1" x14ac:dyDescent="0.25">
      <c r="H56">
        <f t="shared" si="23"/>
        <v>360</v>
      </c>
      <c r="I56">
        <f t="shared" si="24"/>
        <v>-2000</v>
      </c>
      <c r="J56">
        <f t="shared" si="25"/>
        <v>360.54131687227999</v>
      </c>
      <c r="K56">
        <f t="shared" si="26"/>
        <v>0.8491204304692368</v>
      </c>
      <c r="L56">
        <f t="shared" si="19"/>
        <v>300.1730109510392</v>
      </c>
      <c r="M56" s="1">
        <v>120</v>
      </c>
      <c r="N56" s="7">
        <v>28.5</v>
      </c>
      <c r="O56" s="7">
        <f t="shared" si="27"/>
        <v>7.6999999999999993</v>
      </c>
      <c r="P56" s="6">
        <f t="shared" si="20"/>
        <v>46</v>
      </c>
      <c r="Q56" s="6">
        <f t="shared" si="21"/>
        <v>225</v>
      </c>
      <c r="R56" s="6">
        <f t="shared" si="18"/>
        <v>898.14354167999988</v>
      </c>
      <c r="S56" s="7">
        <f>Z59-Z58</f>
        <v>1</v>
      </c>
      <c r="T56" s="6">
        <f t="shared" si="28"/>
        <v>29.938118055999997</v>
      </c>
      <c r="U56" s="6">
        <f t="shared" si="22"/>
        <v>46</v>
      </c>
      <c r="W56" s="6">
        <f>AB63-AB62</f>
        <v>55</v>
      </c>
      <c r="X56" s="7">
        <f>AA63-AA62</f>
        <v>10</v>
      </c>
      <c r="Y56">
        <v>80</v>
      </c>
      <c r="Z56">
        <v>4</v>
      </c>
      <c r="AA56">
        <v>17</v>
      </c>
      <c r="AB56">
        <v>74</v>
      </c>
    </row>
    <row r="57" spans="8:28" ht="12" customHeight="1" x14ac:dyDescent="0.25">
      <c r="H57">
        <f t="shared" si="23"/>
        <v>300</v>
      </c>
      <c r="I57">
        <f t="shared" si="24"/>
        <v>-2000</v>
      </c>
      <c r="J57">
        <f t="shared" si="25"/>
        <v>300.64936582670157</v>
      </c>
      <c r="K57">
        <f t="shared" si="26"/>
        <v>0.90462211024303785</v>
      </c>
      <c r="L57">
        <f t="shared" si="19"/>
        <v>258.36033970922773</v>
      </c>
      <c r="M57" s="1">
        <v>100</v>
      </c>
      <c r="N57" s="7">
        <v>29.8</v>
      </c>
      <c r="O57" s="7">
        <f t="shared" si="27"/>
        <v>8.6999999999999993</v>
      </c>
      <c r="P57" s="6">
        <f t="shared" si="20"/>
        <v>51</v>
      </c>
      <c r="Q57" s="6">
        <f t="shared" si="21"/>
        <v>254</v>
      </c>
      <c r="R57" s="6">
        <f t="shared" si="18"/>
        <v>939.11149270399983</v>
      </c>
      <c r="S57" s="7">
        <f>Z58-Z57</f>
        <v>1</v>
      </c>
      <c r="T57" s="6">
        <f t="shared" si="28"/>
        <v>31.303716423466661</v>
      </c>
      <c r="U57" s="6">
        <f t="shared" si="22"/>
        <v>51</v>
      </c>
      <c r="W57" s="6">
        <f>AB62-AB61</f>
        <v>28</v>
      </c>
      <c r="X57" s="7">
        <f>AA62-AA61</f>
        <v>6</v>
      </c>
      <c r="Y57">
        <v>100</v>
      </c>
      <c r="Z57">
        <v>5</v>
      </c>
      <c r="AA57">
        <v>22</v>
      </c>
      <c r="AB57">
        <v>99</v>
      </c>
    </row>
    <row r="58" spans="8:28" ht="12" customHeight="1" x14ac:dyDescent="0.25">
      <c r="H58">
        <f t="shared" si="23"/>
        <v>300</v>
      </c>
      <c r="I58">
        <f t="shared" si="24"/>
        <v>-2000</v>
      </c>
      <c r="J58">
        <f t="shared" si="25"/>
        <v>300.64936582670157</v>
      </c>
      <c r="K58">
        <f t="shared" si="26"/>
        <v>0.962857505678551</v>
      </c>
      <c r="L58">
        <f t="shared" si="19"/>
        <v>266.5466679375553</v>
      </c>
      <c r="M58" s="1">
        <v>80</v>
      </c>
      <c r="N58" s="7">
        <v>7.7</v>
      </c>
      <c r="O58" s="7">
        <f t="shared" si="27"/>
        <v>9.6999999999999993</v>
      </c>
      <c r="P58" s="6">
        <f t="shared" si="20"/>
        <v>56</v>
      </c>
      <c r="Q58" s="6">
        <f t="shared" si="21"/>
        <v>279</v>
      </c>
      <c r="R58" s="6">
        <f t="shared" si="18"/>
        <v>242.65632529600003</v>
      </c>
      <c r="S58" s="7">
        <f>Z57-Z56</f>
        <v>1</v>
      </c>
      <c r="T58" s="6">
        <f t="shared" si="28"/>
        <v>8.0885441765333344</v>
      </c>
      <c r="U58" s="6">
        <f t="shared" si="22"/>
        <v>56</v>
      </c>
      <c r="W58" s="6">
        <f>AB61-AB60</f>
        <v>27</v>
      </c>
      <c r="X58" s="7">
        <f>AA61-AA60</f>
        <v>6</v>
      </c>
      <c r="Y58">
        <v>120</v>
      </c>
      <c r="Z58">
        <v>6</v>
      </c>
      <c r="AA58">
        <v>27</v>
      </c>
      <c r="AB58">
        <v>128</v>
      </c>
    </row>
    <row r="59" spans="8:28" ht="12" customHeight="1" x14ac:dyDescent="0.25">
      <c r="H59">
        <f t="shared" si="23"/>
        <v>240</v>
      </c>
      <c r="I59">
        <f t="shared" si="24"/>
        <v>-2000</v>
      </c>
      <c r="J59">
        <f t="shared" si="25"/>
        <v>240.8112147969812</v>
      </c>
      <c r="K59">
        <f t="shared" si="26"/>
        <v>1.0239185310743304</v>
      </c>
      <c r="L59">
        <f t="shared" si="19"/>
        <v>220.16149503706748</v>
      </c>
      <c r="M59" s="1">
        <v>60</v>
      </c>
      <c r="N59" s="7">
        <v>6.7</v>
      </c>
      <c r="O59" s="7">
        <f t="shared" si="27"/>
        <v>10.7</v>
      </c>
      <c r="P59" s="6">
        <f t="shared" si="20"/>
        <v>60</v>
      </c>
      <c r="Q59" s="6">
        <f t="shared" si="21"/>
        <v>297</v>
      </c>
      <c r="R59" s="6">
        <f t="shared" si="18"/>
        <v>211.14251681600001</v>
      </c>
      <c r="S59" s="7">
        <f>Z56-Z55</f>
        <v>1</v>
      </c>
      <c r="T59" s="6">
        <f t="shared" si="28"/>
        <v>7.0380838938666672</v>
      </c>
      <c r="U59" s="6">
        <f t="shared" si="22"/>
        <v>60</v>
      </c>
      <c r="W59" s="6">
        <f>AB60-AB59</f>
        <v>27</v>
      </c>
      <c r="X59" s="7">
        <f>AA60-AA59</f>
        <v>6</v>
      </c>
      <c r="Y59">
        <v>140</v>
      </c>
      <c r="Z59">
        <v>7</v>
      </c>
      <c r="AA59">
        <v>33</v>
      </c>
      <c r="AB59">
        <v>157</v>
      </c>
    </row>
    <row r="60" spans="8:28" ht="12" customHeight="1" x14ac:dyDescent="0.25">
      <c r="H60">
        <f t="shared" si="23"/>
        <v>300</v>
      </c>
      <c r="I60">
        <f t="shared" si="24"/>
        <v>-2000</v>
      </c>
      <c r="J60">
        <f t="shared" si="25"/>
        <v>300.64936582670157</v>
      </c>
      <c r="K60">
        <f t="shared" si="26"/>
        <v>1.0878987962188151</v>
      </c>
      <c r="L60">
        <f t="shared" si="19"/>
        <v>283.32604277625722</v>
      </c>
      <c r="M60" s="1">
        <v>40</v>
      </c>
      <c r="N60" s="7">
        <v>5.7</v>
      </c>
      <c r="O60" s="7">
        <f t="shared" si="27"/>
        <v>11.7</v>
      </c>
      <c r="P60" s="6">
        <f t="shared" si="20"/>
        <v>65</v>
      </c>
      <c r="Q60" s="6">
        <f t="shared" si="21"/>
        <v>316</v>
      </c>
      <c r="R60" s="6">
        <f t="shared" si="18"/>
        <v>179.62870833599999</v>
      </c>
      <c r="S60" s="7">
        <f>Z55-Z54</f>
        <v>1</v>
      </c>
      <c r="T60" s="6">
        <f t="shared" si="28"/>
        <v>5.9876236111999992</v>
      </c>
      <c r="U60" s="6">
        <f t="shared" si="22"/>
        <v>65</v>
      </c>
      <c r="W60" s="6">
        <f>AB59-AB58</f>
        <v>29</v>
      </c>
      <c r="X60" s="7">
        <f>AA59-AA58</f>
        <v>6</v>
      </c>
      <c r="Y60">
        <v>160</v>
      </c>
      <c r="Z60">
        <v>8</v>
      </c>
      <c r="AA60">
        <v>39</v>
      </c>
      <c r="AB60">
        <v>184</v>
      </c>
    </row>
    <row r="61" spans="8:28" ht="12" customHeight="1" x14ac:dyDescent="0.25">
      <c r="H61">
        <f t="shared" si="23"/>
        <v>240</v>
      </c>
      <c r="I61">
        <f t="shared" si="24"/>
        <v>-2000</v>
      </c>
      <c r="J61">
        <f t="shared" si="25"/>
        <v>240.8112147969812</v>
      </c>
      <c r="K61">
        <f t="shared" si="26"/>
        <v>1.154893612675268</v>
      </c>
      <c r="L61">
        <f t="shared" si="19"/>
        <v>233.81892199807027</v>
      </c>
      <c r="M61" s="1">
        <v>20</v>
      </c>
      <c r="N61" s="7">
        <v>4.7</v>
      </c>
      <c r="O61" s="7">
        <f t="shared" si="27"/>
        <v>12.7</v>
      </c>
      <c r="P61" s="6">
        <f t="shared" si="20"/>
        <v>69</v>
      </c>
      <c r="Q61" s="6">
        <f t="shared" si="21"/>
        <v>334</v>
      </c>
      <c r="R61" s="6">
        <f t="shared" si="18"/>
        <v>148.11489985599999</v>
      </c>
      <c r="S61" s="7">
        <f>Z54-Z53</f>
        <v>1</v>
      </c>
      <c r="T61" s="6">
        <f t="shared" si="28"/>
        <v>4.937163328533333</v>
      </c>
      <c r="U61" s="6">
        <f t="shared" si="22"/>
        <v>69</v>
      </c>
      <c r="W61" s="6">
        <f>AB58-AB57</f>
        <v>29</v>
      </c>
      <c r="X61" s="7">
        <f>AA58-AA57</f>
        <v>5</v>
      </c>
      <c r="Y61">
        <v>180</v>
      </c>
      <c r="Z61">
        <v>9</v>
      </c>
      <c r="AA61">
        <v>45</v>
      </c>
      <c r="AB61">
        <v>211</v>
      </c>
    </row>
    <row r="62" spans="8:28" ht="12" customHeight="1" x14ac:dyDescent="0.25">
      <c r="J62">
        <f t="shared" si="25"/>
        <v>0</v>
      </c>
      <c r="K62">
        <f t="shared" si="26"/>
        <v>1.2250000000000001</v>
      </c>
      <c r="L62">
        <f t="shared" si="19"/>
        <v>0</v>
      </c>
      <c r="M62" s="1">
        <v>0</v>
      </c>
      <c r="N62" s="7">
        <v>3.7</v>
      </c>
      <c r="O62" s="7">
        <f t="shared" si="27"/>
        <v>13.7</v>
      </c>
      <c r="P62" s="6">
        <f t="shared" si="20"/>
        <v>73</v>
      </c>
      <c r="Q62" s="6">
        <f t="shared" si="21"/>
        <v>353</v>
      </c>
      <c r="R62" s="6">
        <f t="shared" si="18"/>
        <v>116.601091376</v>
      </c>
      <c r="S62" s="7">
        <f>Z53-Z52</f>
        <v>1</v>
      </c>
      <c r="T62" s="6">
        <f t="shared" si="28"/>
        <v>3.8867030458666667</v>
      </c>
      <c r="U62" s="6">
        <f t="shared" si="22"/>
        <v>73</v>
      </c>
      <c r="W62" s="6">
        <f>AB57-AB56</f>
        <v>25</v>
      </c>
      <c r="X62" s="7">
        <f>AA57-AA56</f>
        <v>5</v>
      </c>
      <c r="Y62">
        <v>200</v>
      </c>
      <c r="Z62">
        <v>10</v>
      </c>
      <c r="AA62">
        <v>51</v>
      </c>
      <c r="AB62">
        <v>239</v>
      </c>
    </row>
    <row r="63" spans="8:28" ht="12" customHeight="1" x14ac:dyDescent="0.25">
      <c r="K63">
        <f t="shared" si="26"/>
        <v>1.2250000000000001</v>
      </c>
      <c r="L63">
        <f t="shared" si="19"/>
        <v>0</v>
      </c>
      <c r="M63" s="1"/>
      <c r="N63" s="1"/>
      <c r="O63" s="1"/>
      <c r="P63" s="1"/>
      <c r="Q63" s="1"/>
      <c r="R63" s="1"/>
      <c r="S63" s="1"/>
      <c r="T63" s="1"/>
      <c r="U63" s="1"/>
      <c r="W63" s="6">
        <f>AB56-AB55</f>
        <v>18</v>
      </c>
      <c r="X63" s="7">
        <f>AA56-AA55</f>
        <v>4</v>
      </c>
      <c r="Y63">
        <v>220</v>
      </c>
      <c r="Z63">
        <v>11.7</v>
      </c>
      <c r="AA63">
        <v>61</v>
      </c>
      <c r="AB63">
        <v>294</v>
      </c>
    </row>
    <row r="64" spans="8:28" ht="12" customHeight="1" x14ac:dyDescent="0.25">
      <c r="M64" s="1"/>
      <c r="N64" s="1"/>
      <c r="O64" s="1"/>
      <c r="P64" s="1"/>
      <c r="Q64" s="6"/>
      <c r="R64" s="1"/>
      <c r="S64" s="1" t="s">
        <v>27</v>
      </c>
      <c r="T64" s="6">
        <f>SUM(T50:T63)</f>
        <v>371.71587562442659</v>
      </c>
      <c r="U64" s="1" t="s">
        <v>7</v>
      </c>
      <c r="W64" s="6">
        <f>AB55-AB54</f>
        <v>19</v>
      </c>
      <c r="X64" s="7">
        <f>AA55-AA54</f>
        <v>5</v>
      </c>
      <c r="Y64">
        <v>240</v>
      </c>
      <c r="Z64">
        <v>13.7</v>
      </c>
      <c r="AA64">
        <v>73</v>
      </c>
      <c r="AB64">
        <v>353</v>
      </c>
    </row>
    <row r="65" spans="13:24" ht="12" customHeight="1" x14ac:dyDescent="0.25">
      <c r="W65" s="6">
        <f>AB54-AB53</f>
        <v>18</v>
      </c>
      <c r="X65" s="7">
        <f>AA54-AA53</f>
        <v>4</v>
      </c>
    </row>
    <row r="66" spans="13:24" ht="12" customHeight="1" x14ac:dyDescent="0.25">
      <c r="W66" s="6">
        <f>AB53-AB52</f>
        <v>19</v>
      </c>
      <c r="X66" s="7">
        <f>AA53-AA52</f>
        <v>4</v>
      </c>
    </row>
    <row r="67" spans="13:24" ht="12" customHeight="1" x14ac:dyDescent="0.25">
      <c r="M67" s="1" t="s">
        <v>11</v>
      </c>
      <c r="N67" s="1" t="s">
        <v>32</v>
      </c>
      <c r="O67" s="1" t="s">
        <v>16</v>
      </c>
      <c r="P67" s="1" t="s">
        <v>17</v>
      </c>
      <c r="Q67" s="1"/>
      <c r="R67" s="1"/>
      <c r="S67" s="1">
        <v>850</v>
      </c>
      <c r="T67" s="1" t="s">
        <v>18</v>
      </c>
      <c r="U67" s="1"/>
    </row>
    <row r="68" spans="13:24" ht="12" customHeight="1" x14ac:dyDescent="0.25">
      <c r="M68" s="1" t="str">
        <f>M48</f>
        <v>FL</v>
      </c>
      <c r="N68" s="1" t="str">
        <f>N48</f>
        <v>TRQ</v>
      </c>
      <c r="O68" s="1" t="s">
        <v>33</v>
      </c>
      <c r="P68" s="1" t="s">
        <v>34</v>
      </c>
      <c r="Q68" s="1" t="s">
        <v>35</v>
      </c>
      <c r="R68" s="1" t="str">
        <f>R48</f>
        <v>POWER</v>
      </c>
      <c r="S68" s="1" t="str">
        <f>S48</f>
        <v>DURATION</v>
      </c>
      <c r="T68" s="1" t="str">
        <f>T48</f>
        <v>ENERGY</v>
      </c>
      <c r="U68" s="1" t="s">
        <v>4</v>
      </c>
    </row>
    <row r="69" spans="13:24" ht="12" customHeight="1" x14ac:dyDescent="0.25">
      <c r="M69" s="1"/>
      <c r="N69" s="1" t="s">
        <v>24</v>
      </c>
      <c r="O69" s="1" t="s">
        <v>30</v>
      </c>
      <c r="P69" s="1" t="s">
        <v>8</v>
      </c>
      <c r="Q69" s="1" t="s">
        <v>10</v>
      </c>
      <c r="R69" s="1" t="s">
        <v>31</v>
      </c>
      <c r="S69" s="1" t="s">
        <v>26</v>
      </c>
      <c r="T69" s="1" t="s">
        <v>7</v>
      </c>
      <c r="U69" s="1" t="s">
        <v>5</v>
      </c>
    </row>
    <row r="70" spans="13:24" ht="12" customHeight="1" x14ac:dyDescent="0.25">
      <c r="M70" s="1">
        <f>M42</f>
        <v>240</v>
      </c>
      <c r="N70" s="7">
        <f>N42</f>
        <v>50.118561746987943</v>
      </c>
      <c r="O70" s="6">
        <f>O42</f>
        <v>304.77371987951813</v>
      </c>
      <c r="P70" s="1">
        <f>P42</f>
        <v>64400</v>
      </c>
      <c r="Q70" s="6">
        <f>Q44</f>
        <v>2263.5117469879519</v>
      </c>
      <c r="R70" s="6">
        <f>R42</f>
        <v>1579.426756187632</v>
      </c>
      <c r="S70" s="9">
        <f>S44</f>
        <v>1.2</v>
      </c>
      <c r="T70" s="6">
        <f>T44</f>
        <v>3790.6242148503165</v>
      </c>
      <c r="U70" s="6">
        <f>U42</f>
        <v>384.25109186746994</v>
      </c>
    </row>
    <row r="71" spans="13:24" ht="12" customHeight="1" x14ac:dyDescent="0.25">
      <c r="V71">
        <f>384+73</f>
        <v>457</v>
      </c>
    </row>
    <row r="80" spans="13:24" ht="12" customHeight="1" x14ac:dyDescent="0.25">
      <c r="N80" t="s">
        <v>33</v>
      </c>
      <c r="O80" t="s">
        <v>62</v>
      </c>
      <c r="P80" t="s">
        <v>64</v>
      </c>
      <c r="Q80" t="s">
        <v>65</v>
      </c>
      <c r="R80" t="s">
        <v>67</v>
      </c>
    </row>
    <row r="81" spans="14:18" ht="12" customHeight="1" x14ac:dyDescent="0.25">
      <c r="N81" t="s">
        <v>30</v>
      </c>
      <c r="O81" t="s">
        <v>63</v>
      </c>
      <c r="P81" t="s">
        <v>24</v>
      </c>
      <c r="Q81" t="s">
        <v>66</v>
      </c>
      <c r="R81" t="s">
        <v>68</v>
      </c>
    </row>
    <row r="82" spans="14:18" ht="12" customHeight="1" x14ac:dyDescent="0.25">
      <c r="N82">
        <v>0</v>
      </c>
      <c r="O82">
        <v>3.2</v>
      </c>
      <c r="P82">
        <f>CONVERT(N82,"kn","m/sec")*CONVERT(O82,"lbf","N")/CONVERT(1,"HP","W")</f>
        <v>0</v>
      </c>
    </row>
    <row r="83" spans="14:18" ht="12" customHeight="1" x14ac:dyDescent="0.25">
      <c r="N83">
        <v>50</v>
      </c>
      <c r="O83">
        <v>2.5</v>
      </c>
      <c r="P83">
        <f t="shared" ref="P83:P90" si="29">CONVERT(N83,"kn","m/sec")*CONVERT(O83,"lbf","N")/CONVERT(1,"HP","W")</f>
        <v>0.38359314934118088</v>
      </c>
    </row>
    <row r="84" spans="14:18" ht="12" customHeight="1" x14ac:dyDescent="0.25">
      <c r="N84">
        <v>100</v>
      </c>
      <c r="O84">
        <v>2</v>
      </c>
      <c r="P84">
        <f t="shared" si="29"/>
        <v>0.6137490389458895</v>
      </c>
    </row>
    <row r="85" spans="14:18" ht="12" customHeight="1" x14ac:dyDescent="0.25">
      <c r="N85">
        <v>150</v>
      </c>
      <c r="O85">
        <v>1.65</v>
      </c>
      <c r="P85">
        <f t="shared" si="29"/>
        <v>0.75951443569553811</v>
      </c>
    </row>
    <row r="86" spans="14:18" ht="12" customHeight="1" x14ac:dyDescent="0.25">
      <c r="N86">
        <v>200</v>
      </c>
      <c r="O86">
        <v>1.36</v>
      </c>
      <c r="P86">
        <f t="shared" si="29"/>
        <v>0.83469869296640964</v>
      </c>
    </row>
    <row r="87" spans="14:18" ht="12" customHeight="1" x14ac:dyDescent="0.25">
      <c r="N87">
        <v>250</v>
      </c>
      <c r="O87">
        <v>1.1299999999999999</v>
      </c>
      <c r="P87">
        <f t="shared" si="29"/>
        <v>0.86692051751106869</v>
      </c>
    </row>
    <row r="88" spans="14:18" ht="12" customHeight="1" x14ac:dyDescent="0.25">
      <c r="N88">
        <v>300</v>
      </c>
      <c r="O88">
        <v>0.95</v>
      </c>
      <c r="P88">
        <f t="shared" si="29"/>
        <v>0.87459238049789234</v>
      </c>
    </row>
    <row r="89" spans="14:18" ht="12" customHeight="1" x14ac:dyDescent="0.25">
      <c r="N89">
        <v>350</v>
      </c>
      <c r="O89">
        <v>0.8</v>
      </c>
      <c r="P89">
        <f t="shared" si="29"/>
        <v>0.85924865452424526</v>
      </c>
    </row>
    <row r="90" spans="14:18" ht="12" customHeight="1" x14ac:dyDescent="0.25">
      <c r="N90">
        <v>400</v>
      </c>
      <c r="O90">
        <v>0.69</v>
      </c>
      <c r="P90">
        <f t="shared" si="29"/>
        <v>0.84697367374532739</v>
      </c>
    </row>
  </sheetData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Van Bavel</dc:creator>
  <cp:lastModifiedBy>Alexander Amos</cp:lastModifiedBy>
  <dcterms:created xsi:type="dcterms:W3CDTF">2025-11-15T18:08:44Z</dcterms:created>
  <dcterms:modified xsi:type="dcterms:W3CDTF">2025-12-18T00:47:56Z</dcterms:modified>
</cp:coreProperties>
</file>