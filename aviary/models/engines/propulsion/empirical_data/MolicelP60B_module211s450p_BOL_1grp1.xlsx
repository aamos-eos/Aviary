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lucstmich\repos\aircraft_performance\models\apolo\PerfData\battery\"/>
    </mc:Choice>
  </mc:AlternateContent>
  <xr:revisionPtr revIDLastSave="0" documentId="13_ncr:1_{213CC1FB-B7C1-490C-95BD-2EE3836086F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battery_config" sheetId="1" r:id="rId1"/>
    <sheet name="BOL_cell_fct_CRate" sheetId="2" r:id="rId2"/>
    <sheet name="cables" sheetId="3" r:id="rId3"/>
    <sheet name="EOL_quickCh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4" l="1"/>
  <c r="B87" i="4" s="1"/>
  <c r="B89" i="4" s="1"/>
  <c r="C83" i="4"/>
  <c r="B81" i="4"/>
  <c r="F56" i="4"/>
  <c r="E56" i="4"/>
  <c r="O51" i="4"/>
  <c r="N51" i="4"/>
  <c r="M51" i="4"/>
  <c r="O50" i="4"/>
  <c r="N50" i="4"/>
  <c r="M50" i="4"/>
  <c r="L50" i="4"/>
  <c r="L51" i="4" s="1"/>
  <c r="C47" i="4"/>
  <c r="L47" i="4" s="1"/>
  <c r="L46" i="4"/>
  <c r="D46" i="4"/>
  <c r="M46" i="4" s="1"/>
  <c r="C46" i="4"/>
  <c r="L45" i="4"/>
  <c r="D45" i="4"/>
  <c r="M45" i="4" s="1"/>
  <c r="C45" i="4"/>
  <c r="C44" i="4"/>
  <c r="L44" i="4" s="1"/>
  <c r="L43" i="4"/>
  <c r="C43" i="4"/>
  <c r="L42" i="4"/>
  <c r="C42" i="4"/>
  <c r="D41" i="4"/>
  <c r="M41" i="4" s="1"/>
  <c r="C41" i="4"/>
  <c r="L41" i="4" s="1"/>
  <c r="M40" i="4"/>
  <c r="L40" i="4"/>
  <c r="D40" i="4"/>
  <c r="C40" i="4"/>
  <c r="L39" i="4"/>
  <c r="C39" i="4"/>
  <c r="L38" i="4"/>
  <c r="C38" i="4"/>
  <c r="U37" i="4"/>
  <c r="T37" i="4"/>
  <c r="L37" i="4"/>
  <c r="D37" i="4"/>
  <c r="M37" i="4" s="1"/>
  <c r="C37" i="4"/>
  <c r="C36" i="4"/>
  <c r="L36" i="4" s="1"/>
  <c r="U35" i="4"/>
  <c r="U36" i="4" s="1"/>
  <c r="U38" i="4" s="1"/>
  <c r="T35" i="4"/>
  <c r="T36" i="4" s="1"/>
  <c r="T38" i="4" s="1"/>
  <c r="L35" i="4"/>
  <c r="D35" i="4"/>
  <c r="M35" i="4" s="1"/>
  <c r="C35" i="4"/>
  <c r="U34" i="4"/>
  <c r="D34" i="4"/>
  <c r="M34" i="4" s="1"/>
  <c r="C34" i="4"/>
  <c r="L34" i="4" s="1"/>
  <c r="M33" i="4"/>
  <c r="L33" i="4"/>
  <c r="D33" i="4"/>
  <c r="C33" i="4"/>
  <c r="M32" i="4"/>
  <c r="L32" i="4"/>
  <c r="D32" i="4"/>
  <c r="C32" i="4"/>
  <c r="D31" i="4"/>
  <c r="M31" i="4" s="1"/>
  <c r="C31" i="4"/>
  <c r="L31" i="4" s="1"/>
  <c r="L30" i="4"/>
  <c r="C30" i="4"/>
  <c r="C29" i="4"/>
  <c r="L29" i="4" s="1"/>
  <c r="F28" i="4"/>
  <c r="O28" i="4" s="1"/>
  <c r="D28" i="4"/>
  <c r="M28" i="4" s="1"/>
  <c r="C28" i="4"/>
  <c r="L28" i="4" s="1"/>
  <c r="F27" i="4"/>
  <c r="D27" i="4"/>
  <c r="C27" i="4"/>
  <c r="Q25" i="4"/>
  <c r="Q24" i="4"/>
  <c r="Q23" i="4"/>
  <c r="R22" i="4"/>
  <c r="Q22" i="4"/>
  <c r="D22" i="4"/>
  <c r="E22" i="4" s="1"/>
  <c r="Q21" i="4"/>
  <c r="F21" i="4"/>
  <c r="F46" i="4" s="1"/>
  <c r="O46" i="4" s="1"/>
  <c r="E21" i="4"/>
  <c r="E46" i="4" s="1"/>
  <c r="N46" i="4" s="1"/>
  <c r="D21" i="4"/>
  <c r="Q20" i="4"/>
  <c r="E20" i="4"/>
  <c r="E45" i="4" s="1"/>
  <c r="N45" i="4" s="1"/>
  <c r="D20" i="4"/>
  <c r="Q19" i="4"/>
  <c r="F19" i="4"/>
  <c r="F44" i="4" s="1"/>
  <c r="O44" i="4" s="1"/>
  <c r="E19" i="4"/>
  <c r="E44" i="4" s="1"/>
  <c r="N44" i="4" s="1"/>
  <c r="D19" i="4"/>
  <c r="D44" i="4" s="1"/>
  <c r="M44" i="4" s="1"/>
  <c r="Q18" i="4"/>
  <c r="H18" i="4"/>
  <c r="H19" i="4" s="1"/>
  <c r="H20" i="4" s="1"/>
  <c r="H21" i="4" s="1"/>
  <c r="H22" i="4" s="1"/>
  <c r="E18" i="4"/>
  <c r="F18" i="4" s="1"/>
  <c r="F43" i="4" s="1"/>
  <c r="O43" i="4" s="1"/>
  <c r="D18" i="4"/>
  <c r="D43" i="4" s="1"/>
  <c r="M43" i="4" s="1"/>
  <c r="Q17" i="4"/>
  <c r="H17" i="4"/>
  <c r="G17" i="4"/>
  <c r="G18" i="4" s="1"/>
  <c r="G19" i="4" s="1"/>
  <c r="G20" i="4" s="1"/>
  <c r="G21" i="4" s="1"/>
  <c r="G22" i="4" s="1"/>
  <c r="D17" i="4"/>
  <c r="E17" i="4" s="1"/>
  <c r="Q16" i="4"/>
  <c r="H16" i="4"/>
  <c r="G16" i="4"/>
  <c r="E16" i="4"/>
  <c r="R19" i="4" s="1"/>
  <c r="D16" i="4"/>
  <c r="Q15" i="4"/>
  <c r="E15" i="4"/>
  <c r="E40" i="4" s="1"/>
  <c r="N40" i="4" s="1"/>
  <c r="D15" i="4"/>
  <c r="Q14" i="4"/>
  <c r="D14" i="4"/>
  <c r="E14" i="4" s="1"/>
  <c r="Q13" i="4"/>
  <c r="D13" i="4"/>
  <c r="D38" i="4" s="1"/>
  <c r="M38" i="4" s="1"/>
  <c r="Q12" i="4"/>
  <c r="D12" i="4"/>
  <c r="E12" i="4" s="1"/>
  <c r="R11" i="4"/>
  <c r="Q11" i="4"/>
  <c r="D11" i="4"/>
  <c r="D36" i="4" s="1"/>
  <c r="M36" i="4" s="1"/>
  <c r="R10" i="4"/>
  <c r="Q10" i="4"/>
  <c r="E10" i="4"/>
  <c r="F10" i="4" s="1"/>
  <c r="F35" i="4" s="1"/>
  <c r="O35" i="4" s="1"/>
  <c r="D10" i="4"/>
  <c r="Q9" i="4"/>
  <c r="F9" i="4"/>
  <c r="F34" i="4" s="1"/>
  <c r="O34" i="4" s="1"/>
  <c r="E9" i="4"/>
  <c r="E34" i="4" s="1"/>
  <c r="N34" i="4" s="1"/>
  <c r="D9" i="4"/>
  <c r="Q8" i="4"/>
  <c r="E8" i="4"/>
  <c r="F8" i="4" s="1"/>
  <c r="F33" i="4" s="1"/>
  <c r="O33" i="4" s="1"/>
  <c r="D8" i="4"/>
  <c r="Q7" i="4"/>
  <c r="F7" i="4"/>
  <c r="F32" i="4" s="1"/>
  <c r="O32" i="4" s="1"/>
  <c r="E7" i="4"/>
  <c r="D7" i="4"/>
  <c r="R6" i="4"/>
  <c r="Q6" i="4"/>
  <c r="D6" i="4"/>
  <c r="E6" i="4" s="1"/>
  <c r="R5" i="4"/>
  <c r="Q5" i="4"/>
  <c r="J5" i="4"/>
  <c r="E5" i="4"/>
  <c r="F5" i="4" s="1"/>
  <c r="F30" i="4" s="1"/>
  <c r="O30" i="4" s="1"/>
  <c r="D5" i="4"/>
  <c r="D30" i="4" s="1"/>
  <c r="M30" i="4" s="1"/>
  <c r="J4" i="4"/>
  <c r="E4" i="4"/>
  <c r="F4" i="4" s="1"/>
  <c r="F29" i="4" s="1"/>
  <c r="O29" i="4" s="1"/>
  <c r="D4" i="4"/>
  <c r="D29" i="4" s="1"/>
  <c r="M29" i="4" s="1"/>
  <c r="F3" i="4"/>
  <c r="E3" i="4"/>
  <c r="E28" i="4" s="1"/>
  <c r="N28" i="4" s="1"/>
  <c r="D3" i="4"/>
  <c r="K2" i="4"/>
  <c r="E2" i="4"/>
  <c r="D2" i="4"/>
  <c r="F1" i="4"/>
  <c r="E1" i="4"/>
  <c r="E33" i="4" s="1"/>
  <c r="N33" i="4" s="1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  <c r="H16" i="2"/>
  <c r="H17" i="2" s="1"/>
  <c r="H18" i="2" s="1"/>
  <c r="H19" i="2" s="1"/>
  <c r="H20" i="2" s="1"/>
  <c r="H21" i="2" s="1"/>
  <c r="H22" i="2" s="1"/>
  <c r="G16" i="2"/>
  <c r="G17" i="2" s="1"/>
  <c r="G18" i="2" s="1"/>
  <c r="G19" i="2" s="1"/>
  <c r="G20" i="2" s="1"/>
  <c r="G21" i="2" s="1"/>
  <c r="G22" i="2" s="1"/>
  <c r="J5" i="2"/>
  <c r="I5" i="2"/>
  <c r="J4" i="2"/>
  <c r="I4" i="2"/>
  <c r="I3" i="2"/>
  <c r="R15" i="4" l="1"/>
  <c r="E37" i="4"/>
  <c r="N37" i="4" s="1"/>
  <c r="F12" i="4"/>
  <c r="F37" i="4" s="1"/>
  <c r="O37" i="4" s="1"/>
  <c r="F6" i="4"/>
  <c r="F31" i="4" s="1"/>
  <c r="O31" i="4" s="1"/>
  <c r="R9" i="4"/>
  <c r="E31" i="4"/>
  <c r="N31" i="4" s="1"/>
  <c r="F14" i="4"/>
  <c r="F39" i="4" s="1"/>
  <c r="O39" i="4" s="1"/>
  <c r="R17" i="4"/>
  <c r="E39" i="4"/>
  <c r="N39" i="4" s="1"/>
  <c r="F22" i="4"/>
  <c r="F47" i="4" s="1"/>
  <c r="O47" i="4" s="1"/>
  <c r="R25" i="4"/>
  <c r="E47" i="4"/>
  <c r="N47" i="4" s="1"/>
  <c r="R20" i="4"/>
  <c r="F17" i="4"/>
  <c r="F42" i="4" s="1"/>
  <c r="O42" i="4" s="1"/>
  <c r="E42" i="4"/>
  <c r="N42" i="4" s="1"/>
  <c r="F16" i="4"/>
  <c r="F41" i="4" s="1"/>
  <c r="O41" i="4" s="1"/>
  <c r="R7" i="4"/>
  <c r="E29" i="4"/>
  <c r="N29" i="4" s="1"/>
  <c r="D39" i="4"/>
  <c r="M39" i="4" s="1"/>
  <c r="F15" i="4"/>
  <c r="F40" i="4" s="1"/>
  <c r="O40" i="4" s="1"/>
  <c r="R21" i="4"/>
  <c r="E11" i="4"/>
  <c r="R18" i="4"/>
  <c r="E41" i="4"/>
  <c r="N41" i="4" s="1"/>
  <c r="D47" i="4"/>
  <c r="M47" i="4" s="1"/>
  <c r="E32" i="4"/>
  <c r="N32" i="4" s="1"/>
  <c r="D42" i="4"/>
  <c r="M42" i="4" s="1"/>
  <c r="R12" i="4"/>
  <c r="R23" i="4"/>
  <c r="R8" i="4"/>
  <c r="E13" i="4"/>
  <c r="F20" i="4"/>
  <c r="F45" i="4" s="1"/>
  <c r="O45" i="4" s="1"/>
  <c r="R24" i="4"/>
  <c r="E35" i="4"/>
  <c r="N35" i="4" s="1"/>
  <c r="R13" i="4"/>
  <c r="E30" i="4"/>
  <c r="N30" i="4" s="1"/>
  <c r="E27" i="4"/>
  <c r="E43" i="4"/>
  <c r="N43" i="4" s="1"/>
  <c r="B86" i="4"/>
  <c r="E38" i="4" l="1"/>
  <c r="N38" i="4" s="1"/>
  <c r="F13" i="4"/>
  <c r="F38" i="4" s="1"/>
  <c r="O38" i="4" s="1"/>
  <c r="R16" i="4"/>
  <c r="F11" i="4"/>
  <c r="F36" i="4" s="1"/>
  <c r="O36" i="4" s="1"/>
  <c r="E36" i="4"/>
  <c r="N36" i="4" s="1"/>
  <c r="R14" i="4"/>
</calcChain>
</file>

<file path=xl/sharedStrings.xml><?xml version="1.0" encoding="utf-8"?>
<sst xmlns="http://schemas.openxmlformats.org/spreadsheetml/2006/main" count="74" uniqueCount="41">
  <si>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</si>
  <si>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</si>
  <si>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</si>
  <si>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</si>
  <si>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</si>
  <si>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</si>
  <si>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</si>
  <si>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</si>
  <si>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</si>
  <si>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</si>
  <si>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</si>
  <si>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EPS</t>
  </si>
  <si>
    <t>IR_0C</t>
  </si>
  <si>
    <t>IR_1C</t>
  </si>
  <si>
    <t>IR_4C</t>
  </si>
  <si>
    <t>IR</t>
  </si>
  <si>
    <t>IR_8C</t>
  </si>
  <si>
    <t>Efficiency</t>
  </si>
  <si>
    <t>BAE</t>
  </si>
  <si>
    <t>Current</t>
  </si>
  <si>
    <t>Volt</t>
  </si>
  <si>
    <t>Power</t>
  </si>
  <si>
    <t>Heat</t>
  </si>
  <si>
    <t>Eff</t>
  </si>
  <si>
    <t>C</t>
  </si>
  <si>
    <t>CellCurrent</t>
  </si>
  <si>
    <t>CellVolt</t>
  </si>
  <si>
    <t>Power Cell</t>
  </si>
  <si>
    <t>PowerESS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</si>
  <si>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</si>
  <si>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</si>
  <si>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</si>
  <si>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</si>
  <si>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</si>
  <si>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</si>
  <si>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</si>
  <si>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</si>
  <si>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</si>
  <si>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</si>
  <si>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1,2,3,4</t>
  </si>
  <si>
    <t>BOL_cell_fct_CRate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</si>
</sst>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0" fillId="0" borderId="0" xfId="0" applyNumberFormat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/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4" fontId="0" fillId="0" borderId="0" xfId="0" applyNumberFormat="1" applyAlignment="1">
      <alignment horizontal="right"/>
    </xf>
    <xf numFmtId="3" fontId="2" fillId="0" borderId="5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"/>
  <sheetViews>
    <sheetView tabSelected="1" workbookViewId="0">
      <selection activeCell="D3" sqref="D3"/>
    </sheetView>
  </sheetViews>
  <sheetFormatPr defaultRowHeight="14.4" x14ac:dyDescent="0.3"/>
  <cols>
    <col min="1" max="1" width="13.5546875" style="26" bestFit="1" customWidth="1"/>
    <col min="2" max="2" width="13.5546875" style="25" bestFit="1" customWidth="1"/>
    <col min="3" max="4" width="13.5546875" style="26" bestFit="1" customWidth="1"/>
    <col min="5" max="5" width="18.88671875" style="25" bestFit="1" customWidth="1"/>
  </cols>
  <sheetData>
    <row r="1" spans="1:5" ht="18.75" customHeight="1" x14ac:dyDescent="0.3">
      <c r="A1" s="32" t="s">
        <v>34</v>
      </c>
      <c r="B1" s="33" t="s">
        <v>35</v>
      </c>
      <c r="C1" s="32" t="s">
        <v>36</v>
      </c>
      <c r="D1" s="32" t="s">
        <v>37</v>
      </c>
      <c r="E1" s="33" t="s">
        <v>38</v>
      </c>
    </row>
    <row r="2" spans="1:5" ht="18.75" customHeight="1" x14ac:dyDescent="0.3">
      <c r="A2" s="34">
        <v>1</v>
      </c>
      <c r="B2" s="35" t="s">
        <v>39</v>
      </c>
      <c r="C2" s="34">
        <v>211</v>
      </c>
      <c r="D2" s="34">
        <v>450</v>
      </c>
      <c r="E2" s="3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22"/>
  <sheetViews>
    <sheetView workbookViewId="0">
      <selection activeCell="L2" sqref="L2"/>
    </sheetView>
  </sheetViews>
  <sheetFormatPr defaultRowHeight="14.4" x14ac:dyDescent="0.3"/>
  <cols>
    <col min="1" max="1" width="13.5546875" style="31" bestFit="1" customWidth="1"/>
    <col min="2" max="6" width="13.5546875" style="21" bestFit="1" customWidth="1"/>
    <col min="7" max="8" width="13.5546875" style="26" bestFit="1" customWidth="1"/>
    <col min="9" max="9" width="13.5546875" bestFit="1" customWidth="1"/>
    <col min="10" max="10" width="13.5546875" style="14" bestFit="1" customWidth="1"/>
    <col min="11" max="11" width="11.33203125" style="7" bestFit="1" customWidth="1"/>
    <col min="12" max="12" width="9.33203125" style="7" bestFit="1" customWidth="1"/>
    <col min="13" max="13" width="13.5546875" style="14" bestFit="1" customWidth="1"/>
    <col min="14" max="14" width="9.44140625" style="14" bestFit="1" customWidth="1"/>
    <col min="15" max="15" width="11" style="14" bestFit="1" customWidth="1"/>
  </cols>
  <sheetData>
    <row r="1" spans="1:15" x14ac:dyDescent="0.3">
      <c r="A1" s="5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16</v>
      </c>
      <c r="G1" s="3" t="s">
        <v>2</v>
      </c>
      <c r="H1" s="3" t="s">
        <v>3</v>
      </c>
      <c r="I1" s="4" t="s">
        <v>4</v>
      </c>
      <c r="J1" s="5" t="s">
        <v>5</v>
      </c>
      <c r="K1" s="1" t="s">
        <v>6</v>
      </c>
      <c r="L1" s="29" t="s">
        <v>7</v>
      </c>
      <c r="M1" s="6" t="s">
        <v>8</v>
      </c>
      <c r="N1" s="6" t="s">
        <v>9</v>
      </c>
      <c r="O1" s="6" t="s">
        <v>10</v>
      </c>
    </row>
    <row r="2" spans="1:15" x14ac:dyDescent="0.3">
      <c r="A2" s="2">
        <v>1</v>
      </c>
      <c r="B2" s="24">
        <v>4.1826923076923075</v>
      </c>
      <c r="C2" s="24">
        <v>10.961538461538462</v>
      </c>
      <c r="D2" s="24">
        <v>10.961538461538462</v>
      </c>
      <c r="E2" s="24">
        <v>10.961538461538462</v>
      </c>
      <c r="F2" s="24">
        <v>10.961538461538462</v>
      </c>
      <c r="G2" s="10">
        <v>0</v>
      </c>
      <c r="H2" s="10">
        <v>0</v>
      </c>
      <c r="I2" s="11" t="s">
        <v>12</v>
      </c>
      <c r="J2" s="2">
        <v>0</v>
      </c>
      <c r="K2" s="30">
        <v>6</v>
      </c>
      <c r="L2" s="9">
        <v>7.0999999999999994E-2</v>
      </c>
      <c r="M2" s="2">
        <v>850</v>
      </c>
      <c r="N2" s="2">
        <v>-20</v>
      </c>
      <c r="O2" s="2">
        <v>60</v>
      </c>
    </row>
    <row r="3" spans="1:15" x14ac:dyDescent="0.3">
      <c r="A3" s="24">
        <v>0.95</v>
      </c>
      <c r="B3" s="24">
        <v>4.1298076923076925</v>
      </c>
      <c r="C3" s="24">
        <v>10.423076923076923</v>
      </c>
      <c r="D3" s="24">
        <v>10.423076923076923</v>
      </c>
      <c r="E3" s="24">
        <v>10.423076923076923</v>
      </c>
      <c r="F3" s="24">
        <v>10.423076923076923</v>
      </c>
      <c r="G3" s="10">
        <v>0</v>
      </c>
      <c r="H3" s="10">
        <v>0</v>
      </c>
      <c r="I3" s="11" t="str">
        <f>D1</f>
        <v>IR_1C</v>
      </c>
      <c r="J3" s="2">
        <v>6</v>
      </c>
    </row>
    <row r="4" spans="1:15" x14ac:dyDescent="0.3">
      <c r="A4" s="24">
        <v>0.9</v>
      </c>
      <c r="B4" s="24">
        <v>4.072115384615385</v>
      </c>
      <c r="C4" s="24">
        <v>9.884615384615385</v>
      </c>
      <c r="D4" s="24">
        <v>9.884615384615385</v>
      </c>
      <c r="E4" s="24">
        <v>9.884615384615385</v>
      </c>
      <c r="F4" s="24">
        <v>9.884615384615385</v>
      </c>
      <c r="G4" s="10">
        <v>0</v>
      </c>
      <c r="H4" s="10">
        <v>0</v>
      </c>
      <c r="I4" s="11" t="str">
        <f>E1</f>
        <v>IR_4C</v>
      </c>
      <c r="J4" s="2">
        <f>J3*4</f>
        <v>24</v>
      </c>
    </row>
    <row r="5" spans="1:15" x14ac:dyDescent="0.3">
      <c r="A5" s="24">
        <v>0.85</v>
      </c>
      <c r="B5" s="24">
        <v>4.0384615384615383</v>
      </c>
      <c r="C5" s="24">
        <v>9.6730769230769234</v>
      </c>
      <c r="D5" s="24">
        <v>9.6730769230769234</v>
      </c>
      <c r="E5" s="24">
        <v>9.6730769230769234</v>
      </c>
      <c r="F5" s="24">
        <v>9.6730769230769234</v>
      </c>
      <c r="G5" s="10">
        <v>0</v>
      </c>
      <c r="H5" s="10">
        <v>0</v>
      </c>
      <c r="I5" s="11" t="str">
        <f>F1</f>
        <v>IR_8C</v>
      </c>
      <c r="J5" s="2">
        <f>J3*8</f>
        <v>48</v>
      </c>
    </row>
    <row r="6" spans="1:15" x14ac:dyDescent="0.3">
      <c r="A6" s="24">
        <v>0.8</v>
      </c>
      <c r="B6" s="24">
        <v>4.0048076923076925</v>
      </c>
      <c r="C6" s="24">
        <v>9.4615384615384617</v>
      </c>
      <c r="D6" s="24">
        <v>9.4615384615384617</v>
      </c>
      <c r="E6" s="24">
        <v>9.4615384615384617</v>
      </c>
      <c r="F6" s="24">
        <v>9.4615384615384617</v>
      </c>
      <c r="G6" s="10">
        <v>0</v>
      </c>
      <c r="H6" s="10">
        <v>0</v>
      </c>
      <c r="I6" s="19"/>
      <c r="J6" s="20"/>
    </row>
    <row r="7" spans="1:15" x14ac:dyDescent="0.3">
      <c r="A7" s="24">
        <v>0.75</v>
      </c>
      <c r="B7" s="24">
        <v>3.9567307692307692</v>
      </c>
      <c r="C7" s="24">
        <v>9.0192307692307701</v>
      </c>
      <c r="D7" s="24">
        <v>9.0192307692307701</v>
      </c>
      <c r="E7" s="24">
        <v>9.0192307692307701</v>
      </c>
      <c r="F7" s="24">
        <v>9.0192307692307701</v>
      </c>
      <c r="G7" s="10">
        <v>0</v>
      </c>
      <c r="H7" s="10">
        <v>0</v>
      </c>
      <c r="I7" s="19"/>
      <c r="J7" s="20"/>
    </row>
    <row r="8" spans="1:15" x14ac:dyDescent="0.3">
      <c r="A8" s="24">
        <v>0.7</v>
      </c>
      <c r="B8" s="24">
        <v>3.9086538461538463</v>
      </c>
      <c r="C8" s="24">
        <v>8.5961538461538467</v>
      </c>
      <c r="D8" s="24">
        <v>8.5961538461538467</v>
      </c>
      <c r="E8" s="24">
        <v>8.5961538461538467</v>
      </c>
      <c r="F8" s="24">
        <v>8.5961538461538467</v>
      </c>
      <c r="G8" s="10">
        <v>0</v>
      </c>
      <c r="H8" s="10">
        <v>0</v>
      </c>
      <c r="I8" s="19"/>
      <c r="J8" s="20"/>
    </row>
    <row r="9" spans="1:15" x14ac:dyDescent="0.3">
      <c r="A9" s="24">
        <v>0.65</v>
      </c>
      <c r="B9" s="24">
        <v>3.8557692307692308</v>
      </c>
      <c r="C9" s="24">
        <v>8.7307692307692299</v>
      </c>
      <c r="D9" s="24">
        <v>8.7307692307692299</v>
      </c>
      <c r="E9" s="24">
        <v>8.7307692307692299</v>
      </c>
      <c r="F9" s="24">
        <v>8.7307692307692299</v>
      </c>
      <c r="G9" s="10">
        <v>0</v>
      </c>
      <c r="H9" s="10">
        <v>0</v>
      </c>
      <c r="I9" s="19"/>
      <c r="J9" s="20"/>
    </row>
    <row r="10" spans="1:15" x14ac:dyDescent="0.3">
      <c r="A10" s="24">
        <v>0.6</v>
      </c>
      <c r="B10" s="24">
        <v>3.8028846153846154</v>
      </c>
      <c r="C10" s="24">
        <v>8.865384615384615</v>
      </c>
      <c r="D10" s="24">
        <v>8.865384615384615</v>
      </c>
      <c r="E10" s="24">
        <v>8.865384615384615</v>
      </c>
      <c r="F10" s="24">
        <v>8.865384615384615</v>
      </c>
      <c r="G10" s="10">
        <v>0</v>
      </c>
      <c r="H10" s="10">
        <v>0</v>
      </c>
      <c r="I10" s="19"/>
      <c r="J10" s="20"/>
    </row>
    <row r="11" spans="1:15" x14ac:dyDescent="0.3">
      <c r="A11" s="24">
        <v>0.55000000000000004</v>
      </c>
      <c r="B11" s="24">
        <v>3.7596153846153846</v>
      </c>
      <c r="C11" s="24">
        <v>9.1538461538461533</v>
      </c>
      <c r="D11" s="24">
        <v>9.1538461538461533</v>
      </c>
      <c r="E11" s="24">
        <v>9.1538461538461533</v>
      </c>
      <c r="F11" s="24">
        <v>9.1538461538461533</v>
      </c>
      <c r="G11" s="10">
        <v>0</v>
      </c>
      <c r="H11" s="10">
        <v>0</v>
      </c>
      <c r="I11" s="19"/>
      <c r="J11" s="20"/>
    </row>
    <row r="12" spans="1:15" x14ac:dyDescent="0.3">
      <c r="A12" s="24">
        <v>0.5</v>
      </c>
      <c r="B12" s="24">
        <v>3.7163461538461537</v>
      </c>
      <c r="C12" s="24">
        <v>9.4230769230769234</v>
      </c>
      <c r="D12" s="24">
        <v>9.4230769230769234</v>
      </c>
      <c r="E12" s="24">
        <v>9.4230769230769234</v>
      </c>
      <c r="F12" s="24">
        <v>9.4230769230769234</v>
      </c>
      <c r="G12" s="10">
        <v>0</v>
      </c>
      <c r="H12" s="10">
        <v>0</v>
      </c>
      <c r="I12" s="19"/>
      <c r="J12" s="20"/>
    </row>
    <row r="13" spans="1:15" x14ac:dyDescent="0.3">
      <c r="A13" s="24">
        <v>0.45</v>
      </c>
      <c r="B13" s="24">
        <v>3.6682692307692308</v>
      </c>
      <c r="C13" s="24">
        <v>9.1538461538461533</v>
      </c>
      <c r="D13" s="24">
        <v>9.1538461538461533</v>
      </c>
      <c r="E13" s="24">
        <v>9.1538461538461533</v>
      </c>
      <c r="F13" s="24">
        <v>9.1538461538461533</v>
      </c>
      <c r="G13" s="10">
        <v>0</v>
      </c>
      <c r="H13" s="10">
        <v>0</v>
      </c>
      <c r="I13" s="19"/>
      <c r="J13" s="20"/>
    </row>
    <row r="14" spans="1:15" x14ac:dyDescent="0.3">
      <c r="A14" s="24">
        <v>0.4</v>
      </c>
      <c r="B14" s="24">
        <v>3.6201923076923075</v>
      </c>
      <c r="C14" s="24">
        <v>8.9038461538461533</v>
      </c>
      <c r="D14" s="24">
        <v>8.9038461538461533</v>
      </c>
      <c r="E14" s="24">
        <v>8.9038461538461533</v>
      </c>
      <c r="F14" s="24">
        <v>8.9038461538461533</v>
      </c>
      <c r="G14" s="10">
        <v>0</v>
      </c>
      <c r="H14" s="10">
        <v>0</v>
      </c>
      <c r="I14" s="19"/>
      <c r="J14" s="20"/>
    </row>
    <row r="15" spans="1:15" x14ac:dyDescent="0.3">
      <c r="A15" s="24">
        <v>0.35</v>
      </c>
      <c r="B15" s="24">
        <v>3.5673076923076925</v>
      </c>
      <c r="C15" s="24">
        <v>8.6538461538461533</v>
      </c>
      <c r="D15" s="24">
        <v>8.6538461538461533</v>
      </c>
      <c r="E15" s="24">
        <v>8.6538461538461533</v>
      </c>
      <c r="F15" s="24">
        <v>8.6538461538461533</v>
      </c>
      <c r="G15" s="10">
        <v>0</v>
      </c>
      <c r="H15" s="10">
        <v>0</v>
      </c>
      <c r="I15" s="19"/>
      <c r="J15" s="20"/>
    </row>
    <row r="16" spans="1:15" x14ac:dyDescent="0.3">
      <c r="A16" s="24">
        <v>0.3</v>
      </c>
      <c r="B16" s="24">
        <v>3.5096153846153846</v>
      </c>
      <c r="C16" s="24">
        <v>8.384615384615385</v>
      </c>
      <c r="D16" s="24">
        <v>8.384615384615385</v>
      </c>
      <c r="E16" s="24">
        <v>8.384615384615385</v>
      </c>
      <c r="F16" s="24">
        <v>8.384615384615385</v>
      </c>
      <c r="G16" s="10">
        <f t="shared" ref="G16:H22" si="0">(G15-G14)+G15</f>
        <v>0</v>
      </c>
      <c r="H16" s="10">
        <f t="shared" si="0"/>
        <v>0</v>
      </c>
    </row>
    <row r="17" spans="1:8" x14ac:dyDescent="0.3">
      <c r="A17" s="24">
        <v>0.25</v>
      </c>
      <c r="B17" s="24">
        <v>3.4567307692307692</v>
      </c>
      <c r="C17" s="24">
        <v>8.7884615384615383</v>
      </c>
      <c r="D17" s="24">
        <v>8.7884615384615383</v>
      </c>
      <c r="E17" s="24">
        <v>8.7884615384615383</v>
      </c>
      <c r="F17" s="24">
        <v>8.7884615384615383</v>
      </c>
      <c r="G17" s="10">
        <f t="shared" si="0"/>
        <v>0</v>
      </c>
      <c r="H17" s="10">
        <f t="shared" si="0"/>
        <v>0</v>
      </c>
    </row>
    <row r="18" spans="1:8" x14ac:dyDescent="0.3">
      <c r="A18" s="24">
        <v>0.2</v>
      </c>
      <c r="B18" s="24">
        <v>3.4038461538461537</v>
      </c>
      <c r="C18" s="24">
        <v>9.1923076923076916</v>
      </c>
      <c r="D18" s="24">
        <v>9.1923076923076916</v>
      </c>
      <c r="E18" s="24">
        <v>9.1923076923076916</v>
      </c>
      <c r="F18" s="24">
        <v>9.1923076923076916</v>
      </c>
      <c r="G18" s="10">
        <f t="shared" si="0"/>
        <v>0</v>
      </c>
      <c r="H18" s="10">
        <f t="shared" si="0"/>
        <v>0</v>
      </c>
    </row>
    <row r="19" spans="1:8" x14ac:dyDescent="0.3">
      <c r="A19" s="24">
        <v>0.15</v>
      </c>
      <c r="B19" s="24">
        <v>3.2980769230769229</v>
      </c>
      <c r="C19" s="24">
        <v>11.307692307692308</v>
      </c>
      <c r="D19" s="24">
        <v>11.307692307692308</v>
      </c>
      <c r="E19" s="24">
        <v>11.307692307692308</v>
      </c>
      <c r="F19" s="24">
        <v>11.307692307692308</v>
      </c>
      <c r="G19" s="10">
        <f t="shared" si="0"/>
        <v>0</v>
      </c>
      <c r="H19" s="10">
        <f t="shared" si="0"/>
        <v>0</v>
      </c>
    </row>
    <row r="20" spans="1:8" x14ac:dyDescent="0.3">
      <c r="A20" s="24">
        <v>0.1</v>
      </c>
      <c r="B20" s="24">
        <v>3.1923076923076925</v>
      </c>
      <c r="C20" s="24">
        <v>14.288461538461538</v>
      </c>
      <c r="D20" s="24">
        <v>14.288461538461538</v>
      </c>
      <c r="E20" s="24">
        <v>14.288461538461538</v>
      </c>
      <c r="F20" s="24">
        <v>14.288461538461538</v>
      </c>
      <c r="G20" s="10">
        <f t="shared" si="0"/>
        <v>0</v>
      </c>
      <c r="H20" s="10">
        <f t="shared" si="0"/>
        <v>0</v>
      </c>
    </row>
    <row r="21" spans="1:8" x14ac:dyDescent="0.3">
      <c r="A21" s="24">
        <v>0.05</v>
      </c>
      <c r="B21" s="24">
        <v>2.9759615384615383</v>
      </c>
      <c r="C21" s="24">
        <v>17.903846153846153</v>
      </c>
      <c r="D21" s="24">
        <v>17.903846153846153</v>
      </c>
      <c r="E21" s="24">
        <v>17.903846153846153</v>
      </c>
      <c r="F21" s="24">
        <v>17.903846153846153</v>
      </c>
      <c r="G21" s="10">
        <f t="shared" si="0"/>
        <v>0</v>
      </c>
      <c r="H21" s="10">
        <f t="shared" si="0"/>
        <v>0</v>
      </c>
    </row>
    <row r="22" spans="1:8" x14ac:dyDescent="0.3">
      <c r="A22" s="2">
        <v>0</v>
      </c>
      <c r="B22" s="24">
        <v>2.7644230769230771</v>
      </c>
      <c r="C22" s="24">
        <v>33.057692307692307</v>
      </c>
      <c r="D22" s="24">
        <v>33.057692307692307</v>
      </c>
      <c r="E22" s="24">
        <v>33.057692307692307</v>
      </c>
      <c r="F22" s="24">
        <v>33.057692307692307</v>
      </c>
      <c r="G22" s="10">
        <f t="shared" si="0"/>
        <v>0</v>
      </c>
      <c r="H22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/>
  </sheetViews>
  <sheetFormatPr defaultRowHeight="14.4" x14ac:dyDescent="0.3"/>
  <cols>
    <col min="1" max="1" width="15.109375" style="25" bestFit="1" customWidth="1"/>
    <col min="2" max="3" width="13.5546875" style="26" bestFit="1" customWidth="1"/>
    <col min="4" max="4" width="10" style="27" bestFit="1" customWidth="1"/>
    <col min="5" max="5" width="30.44140625" style="28" bestFit="1" customWidth="1"/>
  </cols>
  <sheetData>
    <row r="1" spans="1:5" ht="20.399999999999999" customHeight="1" x14ac:dyDescent="0.3">
      <c r="A1" s="4" t="s">
        <v>29</v>
      </c>
      <c r="B1" s="5" t="s">
        <v>30</v>
      </c>
      <c r="C1" s="5" t="s">
        <v>31</v>
      </c>
      <c r="D1" s="23" t="s">
        <v>32</v>
      </c>
      <c r="E1" s="1" t="s">
        <v>33</v>
      </c>
    </row>
    <row r="2" spans="1:5" ht="20.399999999999999" customHeight="1" x14ac:dyDescent="0.3">
      <c r="A2" s="11" t="str">
        <f t="shared" ref="A2:A17" si="0">_xlfn.CONCAT("grp",TEXT(B2,"#"),"_to_mot",TEXT(C2,"#"))</f>
        <v>grp1_to_mot1</v>
      </c>
      <c r="B2" s="2">
        <v>1</v>
      </c>
      <c r="C2" s="2">
        <v>1</v>
      </c>
      <c r="D2" s="9">
        <f t="shared" ref="D2:D17" si="1">1260/16/3.281</f>
        <v>24.001828710758915</v>
      </c>
      <c r="E2" s="24">
        <f t="shared" ref="E2:E17" si="2">0.053*3.281</f>
        <v>0.17389299999999999</v>
      </c>
    </row>
    <row r="3" spans="1:5" ht="20.399999999999999" customHeight="1" x14ac:dyDescent="0.3">
      <c r="A3" s="11" t="str">
        <f t="shared" si="0"/>
        <v>grp1_to_mot2</v>
      </c>
      <c r="B3" s="2">
        <v>1</v>
      </c>
      <c r="C3" s="2">
        <v>2</v>
      </c>
      <c r="D3" s="9">
        <f t="shared" si="1"/>
        <v>24.001828710758915</v>
      </c>
      <c r="E3" s="24">
        <f t="shared" si="2"/>
        <v>0.17389299999999999</v>
      </c>
    </row>
    <row r="4" spans="1:5" ht="20.399999999999999" customHeight="1" x14ac:dyDescent="0.3">
      <c r="A4" s="11" t="str">
        <f t="shared" si="0"/>
        <v>grp1_to_mot3</v>
      </c>
      <c r="B4" s="2">
        <v>1</v>
      </c>
      <c r="C4" s="2">
        <v>3</v>
      </c>
      <c r="D4" s="9">
        <f t="shared" si="1"/>
        <v>24.001828710758915</v>
      </c>
      <c r="E4" s="24">
        <f t="shared" si="2"/>
        <v>0.17389299999999999</v>
      </c>
    </row>
    <row r="5" spans="1:5" ht="20.399999999999999" customHeight="1" x14ac:dyDescent="0.3">
      <c r="A5" s="11" t="str">
        <f t="shared" si="0"/>
        <v>grp1_to_mot4</v>
      </c>
      <c r="B5" s="2">
        <v>1</v>
      </c>
      <c r="C5" s="2">
        <v>4</v>
      </c>
      <c r="D5" s="9">
        <f t="shared" si="1"/>
        <v>24.001828710758915</v>
      </c>
      <c r="E5" s="24">
        <f t="shared" si="2"/>
        <v>0.17389299999999999</v>
      </c>
    </row>
    <row r="6" spans="1:5" ht="20.399999999999999" customHeight="1" x14ac:dyDescent="0.3">
      <c r="A6" s="11" t="str">
        <f t="shared" si="0"/>
        <v>grp2_to_mot1</v>
      </c>
      <c r="B6" s="2">
        <v>2</v>
      </c>
      <c r="C6" s="2">
        <v>1</v>
      </c>
      <c r="D6" s="9">
        <f t="shared" si="1"/>
        <v>24.001828710758915</v>
      </c>
      <c r="E6" s="24">
        <f t="shared" si="2"/>
        <v>0.17389299999999999</v>
      </c>
    </row>
    <row r="7" spans="1:5" ht="20.399999999999999" customHeight="1" x14ac:dyDescent="0.3">
      <c r="A7" s="11" t="str">
        <f t="shared" si="0"/>
        <v>grp2_to_mot2</v>
      </c>
      <c r="B7" s="2">
        <v>2</v>
      </c>
      <c r="C7" s="2">
        <v>2</v>
      </c>
      <c r="D7" s="9">
        <f t="shared" si="1"/>
        <v>24.001828710758915</v>
      </c>
      <c r="E7" s="24">
        <f t="shared" si="2"/>
        <v>0.17389299999999999</v>
      </c>
    </row>
    <row r="8" spans="1:5" ht="20.399999999999999" customHeight="1" x14ac:dyDescent="0.3">
      <c r="A8" s="11" t="str">
        <f t="shared" si="0"/>
        <v>grp2_to_mot3</v>
      </c>
      <c r="B8" s="2">
        <v>2</v>
      </c>
      <c r="C8" s="2">
        <v>3</v>
      </c>
      <c r="D8" s="9">
        <f t="shared" si="1"/>
        <v>24.001828710758915</v>
      </c>
      <c r="E8" s="24">
        <f t="shared" si="2"/>
        <v>0.17389299999999999</v>
      </c>
    </row>
    <row r="9" spans="1:5" ht="20.399999999999999" customHeight="1" x14ac:dyDescent="0.3">
      <c r="A9" s="11" t="str">
        <f t="shared" si="0"/>
        <v>grp2_to_mot4</v>
      </c>
      <c r="B9" s="2">
        <v>2</v>
      </c>
      <c r="C9" s="2">
        <v>4</v>
      </c>
      <c r="D9" s="9">
        <f t="shared" si="1"/>
        <v>24.001828710758915</v>
      </c>
      <c r="E9" s="24">
        <f t="shared" si="2"/>
        <v>0.17389299999999999</v>
      </c>
    </row>
    <row r="10" spans="1:5" ht="20.399999999999999" customHeight="1" x14ac:dyDescent="0.3">
      <c r="A10" s="11" t="str">
        <f t="shared" si="0"/>
        <v>grp3_to_mot1</v>
      </c>
      <c r="B10" s="2">
        <v>3</v>
      </c>
      <c r="C10" s="2">
        <v>1</v>
      </c>
      <c r="D10" s="9">
        <f t="shared" si="1"/>
        <v>24.001828710758915</v>
      </c>
      <c r="E10" s="24">
        <f t="shared" si="2"/>
        <v>0.17389299999999999</v>
      </c>
    </row>
    <row r="11" spans="1:5" ht="20.399999999999999" customHeight="1" x14ac:dyDescent="0.3">
      <c r="A11" s="11" t="str">
        <f t="shared" si="0"/>
        <v>grp3_to_mot2</v>
      </c>
      <c r="B11" s="2">
        <v>3</v>
      </c>
      <c r="C11" s="2">
        <v>2</v>
      </c>
      <c r="D11" s="9">
        <f t="shared" si="1"/>
        <v>24.001828710758915</v>
      </c>
      <c r="E11" s="24">
        <f t="shared" si="2"/>
        <v>0.17389299999999999</v>
      </c>
    </row>
    <row r="12" spans="1:5" ht="20.399999999999999" customHeight="1" x14ac:dyDescent="0.3">
      <c r="A12" s="11" t="str">
        <f t="shared" si="0"/>
        <v>grp3_to_mot3</v>
      </c>
      <c r="B12" s="2">
        <v>3</v>
      </c>
      <c r="C12" s="2">
        <v>3</v>
      </c>
      <c r="D12" s="9">
        <f t="shared" si="1"/>
        <v>24.001828710758915</v>
      </c>
      <c r="E12" s="24">
        <f t="shared" si="2"/>
        <v>0.17389299999999999</v>
      </c>
    </row>
    <row r="13" spans="1:5" ht="20.399999999999999" customHeight="1" x14ac:dyDescent="0.3">
      <c r="A13" s="11" t="str">
        <f t="shared" si="0"/>
        <v>grp3_to_mot4</v>
      </c>
      <c r="B13" s="2">
        <v>3</v>
      </c>
      <c r="C13" s="2">
        <v>4</v>
      </c>
      <c r="D13" s="9">
        <f t="shared" si="1"/>
        <v>24.001828710758915</v>
      </c>
      <c r="E13" s="24">
        <f t="shared" si="2"/>
        <v>0.17389299999999999</v>
      </c>
    </row>
    <row r="14" spans="1:5" ht="20.399999999999999" customHeight="1" x14ac:dyDescent="0.3">
      <c r="A14" s="11" t="str">
        <f t="shared" si="0"/>
        <v>grp4_to_mot1</v>
      </c>
      <c r="B14" s="2">
        <v>4</v>
      </c>
      <c r="C14" s="2">
        <v>1</v>
      </c>
      <c r="D14" s="9">
        <f t="shared" si="1"/>
        <v>24.001828710758915</v>
      </c>
      <c r="E14" s="24">
        <f t="shared" si="2"/>
        <v>0.17389299999999999</v>
      </c>
    </row>
    <row r="15" spans="1:5" ht="20.399999999999999" customHeight="1" x14ac:dyDescent="0.3">
      <c r="A15" s="11" t="str">
        <f t="shared" si="0"/>
        <v>grp4_to_mot2</v>
      </c>
      <c r="B15" s="2">
        <v>4</v>
      </c>
      <c r="C15" s="2">
        <v>2</v>
      </c>
      <c r="D15" s="9">
        <f t="shared" si="1"/>
        <v>24.001828710758915</v>
      </c>
      <c r="E15" s="24">
        <f t="shared" si="2"/>
        <v>0.17389299999999999</v>
      </c>
    </row>
    <row r="16" spans="1:5" ht="20.399999999999999" customHeight="1" x14ac:dyDescent="0.3">
      <c r="A16" s="11" t="str">
        <f t="shared" si="0"/>
        <v>grp4_to_mot3</v>
      </c>
      <c r="B16" s="2">
        <v>4</v>
      </c>
      <c r="C16" s="2">
        <v>3</v>
      </c>
      <c r="D16" s="9">
        <f t="shared" si="1"/>
        <v>24.001828710758915</v>
      </c>
      <c r="E16" s="24">
        <f t="shared" si="2"/>
        <v>0.17389299999999999</v>
      </c>
    </row>
    <row r="17" spans="1:5" ht="20.399999999999999" customHeight="1" x14ac:dyDescent="0.3">
      <c r="A17" s="11" t="str">
        <f t="shared" si="0"/>
        <v>grp4_to_mot4</v>
      </c>
      <c r="B17" s="2">
        <v>4</v>
      </c>
      <c r="C17" s="2">
        <v>4</v>
      </c>
      <c r="D17" s="9">
        <f t="shared" si="1"/>
        <v>24.001828710758915</v>
      </c>
      <c r="E17" s="24">
        <f t="shared" si="2"/>
        <v>0.17389299999999999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U89"/>
  <sheetViews>
    <sheetView workbookViewId="0"/>
  </sheetViews>
  <sheetFormatPr defaultRowHeight="14.4" x14ac:dyDescent="0.3"/>
  <cols>
    <col min="1" max="1" width="13.5546875" style="7" bestFit="1" customWidth="1"/>
    <col min="2" max="2" width="13.5546875" style="21" bestFit="1" customWidth="1"/>
    <col min="3" max="3" width="13.5546875" style="14" bestFit="1" customWidth="1"/>
    <col min="4" max="6" width="13.5546875" style="7" bestFit="1" customWidth="1"/>
    <col min="7" max="8" width="13.5546875" style="14" bestFit="1" customWidth="1"/>
    <col min="9" max="9" width="13.5546875" bestFit="1" customWidth="1"/>
    <col min="10" max="10" width="13.5546875" style="14" bestFit="1" customWidth="1"/>
    <col min="11" max="11" width="11.33203125" style="14" bestFit="1" customWidth="1"/>
    <col min="12" max="12" width="9.33203125" style="14" bestFit="1" customWidth="1"/>
    <col min="13" max="13" width="13.5546875" style="14" bestFit="1" customWidth="1"/>
    <col min="14" max="14" width="9.44140625" style="14" bestFit="1" customWidth="1"/>
    <col min="15" max="15" width="9.6640625" style="14" bestFit="1" customWidth="1"/>
    <col min="16" max="16" width="13.5546875" bestFit="1" customWidth="1"/>
    <col min="17" max="18" width="10" style="7" bestFit="1" customWidth="1"/>
    <col min="19" max="19" width="13.5546875" bestFit="1" customWidth="1"/>
    <col min="20" max="20" width="10" style="7" bestFit="1" customWidth="1"/>
    <col min="21" max="21" width="13.5546875" style="7" bestFit="1" customWidth="1"/>
  </cols>
  <sheetData>
    <row r="1" spans="1:21" ht="18.75" customHeight="1" x14ac:dyDescent="0.3">
      <c r="A1" s="1" t="s">
        <v>0</v>
      </c>
      <c r="B1" s="1" t="s">
        <v>1</v>
      </c>
      <c r="C1" s="2">
        <v>0</v>
      </c>
      <c r="D1" s="2">
        <v>30</v>
      </c>
      <c r="E1" s="2">
        <f>D1*4</f>
        <v>120</v>
      </c>
      <c r="F1" s="2">
        <f>D1*8</f>
        <v>240</v>
      </c>
      <c r="G1" s="3" t="s">
        <v>2</v>
      </c>
      <c r="H1" s="3" t="s">
        <v>3</v>
      </c>
      <c r="I1" s="4" t="s">
        <v>4</v>
      </c>
      <c r="J1" s="5" t="s">
        <v>5</v>
      </c>
      <c r="K1" s="5" t="s">
        <v>6</v>
      </c>
      <c r="L1" s="6" t="s">
        <v>7</v>
      </c>
      <c r="M1" s="6" t="s">
        <v>8</v>
      </c>
      <c r="N1" s="6" t="s">
        <v>9</v>
      </c>
      <c r="O1" s="6" t="s">
        <v>10</v>
      </c>
      <c r="T1" s="7" t="s">
        <v>11</v>
      </c>
    </row>
    <row r="2" spans="1:21" ht="18.75" customHeight="1" x14ac:dyDescent="0.3">
      <c r="A2" s="8">
        <v>1</v>
      </c>
      <c r="B2" s="8">
        <v>870</v>
      </c>
      <c r="C2" s="8">
        <v>570</v>
      </c>
      <c r="D2" s="9">
        <f t="shared" ref="D2:E22" si="0">C2</f>
        <v>570</v>
      </c>
      <c r="E2" s="9">
        <f t="shared" si="0"/>
        <v>570</v>
      </c>
      <c r="F2" s="9"/>
      <c r="G2" s="10">
        <v>0</v>
      </c>
      <c r="H2" s="10">
        <v>0</v>
      </c>
      <c r="I2" s="11" t="s">
        <v>12</v>
      </c>
      <c r="J2" s="2">
        <v>0</v>
      </c>
      <c r="K2" s="12">
        <f>30*0.9</f>
        <v>27</v>
      </c>
      <c r="L2" s="2">
        <v>111</v>
      </c>
      <c r="M2" s="2">
        <v>850</v>
      </c>
      <c r="N2" s="2">
        <v>-40</v>
      </c>
      <c r="O2" s="2">
        <v>80</v>
      </c>
    </row>
    <row r="3" spans="1:21" ht="18.75" customHeight="1" x14ac:dyDescent="0.3">
      <c r="A3" s="13">
        <v>0.95</v>
      </c>
      <c r="B3" s="8">
        <v>859</v>
      </c>
      <c r="C3" s="8">
        <v>542</v>
      </c>
      <c r="D3" s="9">
        <f t="shared" si="0"/>
        <v>542</v>
      </c>
      <c r="E3" s="9">
        <f t="shared" si="0"/>
        <v>542</v>
      </c>
      <c r="F3" s="9">
        <f t="shared" ref="F3:F22" si="1">E3</f>
        <v>542</v>
      </c>
      <c r="G3" s="10">
        <v>0</v>
      </c>
      <c r="H3" s="10">
        <v>0</v>
      </c>
      <c r="I3" s="11" t="s">
        <v>13</v>
      </c>
      <c r="J3" s="2">
        <v>30</v>
      </c>
    </row>
    <row r="4" spans="1:21" ht="18.75" customHeight="1" x14ac:dyDescent="0.3">
      <c r="A4" s="13">
        <v>0.9</v>
      </c>
      <c r="B4" s="8">
        <v>847</v>
      </c>
      <c r="C4" s="8">
        <v>514</v>
      </c>
      <c r="D4" s="9">
        <f t="shared" si="0"/>
        <v>514</v>
      </c>
      <c r="E4" s="9">
        <f t="shared" si="0"/>
        <v>514</v>
      </c>
      <c r="F4" s="9">
        <f t="shared" si="1"/>
        <v>514</v>
      </c>
      <c r="G4" s="10">
        <v>0</v>
      </c>
      <c r="H4" s="10">
        <v>0</v>
      </c>
      <c r="I4" s="11" t="s">
        <v>14</v>
      </c>
      <c r="J4" s="2">
        <f>J3*4</f>
        <v>120</v>
      </c>
      <c r="Q4" s="15" t="s">
        <v>1</v>
      </c>
      <c r="R4" s="16" t="s">
        <v>15</v>
      </c>
      <c r="T4" s="15" t="s">
        <v>1</v>
      </c>
      <c r="U4" s="16" t="s">
        <v>15</v>
      </c>
    </row>
    <row r="5" spans="1:21" ht="18.75" customHeight="1" x14ac:dyDescent="0.3">
      <c r="A5" s="13">
        <v>0.85</v>
      </c>
      <c r="B5" s="8">
        <v>840</v>
      </c>
      <c r="C5" s="8">
        <v>503</v>
      </c>
      <c r="D5" s="9">
        <f t="shared" si="0"/>
        <v>503</v>
      </c>
      <c r="E5" s="9">
        <f t="shared" si="0"/>
        <v>503</v>
      </c>
      <c r="F5" s="9">
        <f t="shared" si="1"/>
        <v>503</v>
      </c>
      <c r="G5" s="10">
        <v>0</v>
      </c>
      <c r="H5" s="10">
        <v>0</v>
      </c>
      <c r="I5" s="11" t="s">
        <v>16</v>
      </c>
      <c r="J5" s="2">
        <f>J3*8</f>
        <v>240</v>
      </c>
      <c r="Q5" s="17">
        <f t="shared" ref="Q5:Q25" si="2">B2/208</f>
        <v>4.1826923076923075</v>
      </c>
      <c r="R5" s="17">
        <f t="shared" ref="R5:R25" si="3">E2/208*5</f>
        <v>13.701923076923077</v>
      </c>
      <c r="T5" s="18">
        <v>4.1634286850428701</v>
      </c>
      <c r="U5" s="18">
        <v>7.4788952627223715</v>
      </c>
    </row>
    <row r="6" spans="1:21" ht="18.75" customHeight="1" x14ac:dyDescent="0.3">
      <c r="A6" s="13">
        <v>0.8</v>
      </c>
      <c r="B6" s="8">
        <v>833</v>
      </c>
      <c r="C6" s="8">
        <v>492</v>
      </c>
      <c r="D6" s="9">
        <f t="shared" si="0"/>
        <v>492</v>
      </c>
      <c r="E6" s="9">
        <f t="shared" si="0"/>
        <v>492</v>
      </c>
      <c r="F6" s="9">
        <f t="shared" si="1"/>
        <v>492</v>
      </c>
      <c r="G6" s="10">
        <v>0</v>
      </c>
      <c r="H6" s="10">
        <v>0</v>
      </c>
      <c r="I6" s="19"/>
      <c r="J6" s="20"/>
      <c r="Q6" s="17">
        <f t="shared" si="2"/>
        <v>4.1298076923076925</v>
      </c>
      <c r="R6" s="17">
        <f t="shared" si="3"/>
        <v>13.028846153846153</v>
      </c>
      <c r="T6" s="18">
        <v>4.10422553390252</v>
      </c>
      <c r="U6" s="18">
        <v>7.8098644729719364</v>
      </c>
    </row>
    <row r="7" spans="1:21" ht="18.75" customHeight="1" x14ac:dyDescent="0.3">
      <c r="A7" s="13">
        <v>0.75</v>
      </c>
      <c r="B7" s="8">
        <v>823</v>
      </c>
      <c r="C7" s="8">
        <v>469</v>
      </c>
      <c r="D7" s="9">
        <f t="shared" si="0"/>
        <v>469</v>
      </c>
      <c r="E7" s="9">
        <f t="shared" si="0"/>
        <v>469</v>
      </c>
      <c r="F7" s="9">
        <f t="shared" si="1"/>
        <v>469</v>
      </c>
      <c r="G7" s="10">
        <v>0</v>
      </c>
      <c r="H7" s="10">
        <v>0</v>
      </c>
      <c r="I7" s="19"/>
      <c r="J7" s="20"/>
      <c r="Q7" s="17">
        <f t="shared" si="2"/>
        <v>4.072115384615385</v>
      </c>
      <c r="R7" s="17">
        <f t="shared" si="3"/>
        <v>12.355769230769232</v>
      </c>
      <c r="T7" s="18">
        <v>4.07676070682305</v>
      </c>
      <c r="U7" s="18">
        <v>7.6433759603452556</v>
      </c>
    </row>
    <row r="8" spans="1:21" ht="18.75" customHeight="1" x14ac:dyDescent="0.3">
      <c r="A8" s="13">
        <v>0.7</v>
      </c>
      <c r="B8" s="8">
        <v>813</v>
      </c>
      <c r="C8" s="8">
        <v>447</v>
      </c>
      <c r="D8" s="9">
        <f t="shared" si="0"/>
        <v>447</v>
      </c>
      <c r="E8" s="9">
        <f t="shared" si="0"/>
        <v>447</v>
      </c>
      <c r="F8" s="9">
        <f t="shared" si="1"/>
        <v>447</v>
      </c>
      <c r="G8" s="10">
        <v>0</v>
      </c>
      <c r="H8" s="10">
        <v>0</v>
      </c>
      <c r="I8" s="19"/>
      <c r="J8" s="20"/>
      <c r="Q8" s="17">
        <f t="shared" si="2"/>
        <v>4.0384615384615383</v>
      </c>
      <c r="R8" s="17">
        <f t="shared" si="3"/>
        <v>12.091346153846153</v>
      </c>
      <c r="T8" s="18">
        <v>4.0447259500387203</v>
      </c>
      <c r="U8" s="18">
        <v>7.2997255679195394</v>
      </c>
    </row>
    <row r="9" spans="1:21" ht="18.75" customHeight="1" x14ac:dyDescent="0.3">
      <c r="A9" s="13">
        <v>0.65</v>
      </c>
      <c r="B9" s="8">
        <v>802</v>
      </c>
      <c r="C9" s="8">
        <v>454</v>
      </c>
      <c r="D9" s="9">
        <f t="shared" si="0"/>
        <v>454</v>
      </c>
      <c r="E9" s="9">
        <f t="shared" si="0"/>
        <v>454</v>
      </c>
      <c r="F9" s="9">
        <f t="shared" si="1"/>
        <v>454</v>
      </c>
      <c r="G9" s="10">
        <v>0</v>
      </c>
      <c r="H9" s="10">
        <v>0</v>
      </c>
      <c r="I9" s="19"/>
      <c r="J9" s="20"/>
      <c r="Q9" s="17">
        <f t="shared" si="2"/>
        <v>4.0048076923076925</v>
      </c>
      <c r="R9" s="17">
        <f t="shared" si="3"/>
        <v>11.826923076923077</v>
      </c>
      <c r="T9" s="18">
        <v>4.0146847529343397</v>
      </c>
      <c r="U9" s="18">
        <v>7.2348979606040285</v>
      </c>
    </row>
    <row r="10" spans="1:21" ht="18.75" customHeight="1" x14ac:dyDescent="0.3">
      <c r="A10" s="13">
        <v>0.6</v>
      </c>
      <c r="B10" s="8">
        <v>791</v>
      </c>
      <c r="C10" s="8">
        <v>461</v>
      </c>
      <c r="D10" s="9">
        <f t="shared" si="0"/>
        <v>461</v>
      </c>
      <c r="E10" s="9">
        <f t="shared" si="0"/>
        <v>461</v>
      </c>
      <c r="F10" s="9">
        <f t="shared" si="1"/>
        <v>461</v>
      </c>
      <c r="G10" s="10">
        <v>0</v>
      </c>
      <c r="H10" s="10">
        <v>0</v>
      </c>
      <c r="I10" s="19"/>
      <c r="J10" s="20"/>
      <c r="Q10" s="17">
        <f t="shared" si="2"/>
        <v>3.9567307692307692</v>
      </c>
      <c r="R10" s="17">
        <f t="shared" si="3"/>
        <v>11.274038461538463</v>
      </c>
      <c r="T10" s="18">
        <v>3.9493738681822799</v>
      </c>
      <c r="U10" s="18">
        <v>6.5471232291725157</v>
      </c>
    </row>
    <row r="11" spans="1:21" ht="18.75" customHeight="1" x14ac:dyDescent="0.3">
      <c r="A11" s="13">
        <v>0.55000000000000004</v>
      </c>
      <c r="B11" s="8">
        <v>782</v>
      </c>
      <c r="C11" s="8">
        <v>476</v>
      </c>
      <c r="D11" s="9">
        <f t="shared" si="0"/>
        <v>476</v>
      </c>
      <c r="E11" s="9">
        <f t="shared" si="0"/>
        <v>476</v>
      </c>
      <c r="F11" s="9">
        <f t="shared" si="1"/>
        <v>476</v>
      </c>
      <c r="G11" s="10">
        <v>0</v>
      </c>
      <c r="H11" s="10">
        <v>0</v>
      </c>
      <c r="I11" s="19"/>
      <c r="J11" s="20"/>
      <c r="Q11" s="17">
        <f t="shared" si="2"/>
        <v>3.9086538461538463</v>
      </c>
      <c r="R11" s="17">
        <f t="shared" si="3"/>
        <v>10.745192307692308</v>
      </c>
      <c r="T11" s="18">
        <v>3.8715045443678902</v>
      </c>
      <c r="U11" s="18">
        <v>5.8115482204867916</v>
      </c>
    </row>
    <row r="12" spans="1:21" ht="18.75" customHeight="1" x14ac:dyDescent="0.3">
      <c r="A12" s="13">
        <v>0.5</v>
      </c>
      <c r="B12" s="8">
        <v>773</v>
      </c>
      <c r="C12" s="8">
        <v>490</v>
      </c>
      <c r="D12" s="9">
        <f t="shared" si="0"/>
        <v>490</v>
      </c>
      <c r="E12" s="9">
        <f t="shared" si="0"/>
        <v>490</v>
      </c>
      <c r="F12" s="9">
        <f t="shared" si="1"/>
        <v>490</v>
      </c>
      <c r="G12" s="10">
        <v>0</v>
      </c>
      <c r="H12" s="10">
        <v>0</v>
      </c>
      <c r="I12" s="19"/>
      <c r="J12" s="20"/>
      <c r="Q12" s="17">
        <f t="shared" si="2"/>
        <v>3.8557692307692308</v>
      </c>
      <c r="R12" s="17">
        <f t="shared" si="3"/>
        <v>10.913461538461537</v>
      </c>
      <c r="T12" s="18">
        <v>3.8039860058931199</v>
      </c>
      <c r="U12" s="18">
        <v>5.3840840134469765</v>
      </c>
    </row>
    <row r="13" spans="1:21" ht="18.75" customHeight="1" x14ac:dyDescent="0.3">
      <c r="A13" s="13">
        <v>0.45</v>
      </c>
      <c r="B13" s="8">
        <v>763</v>
      </c>
      <c r="C13" s="8">
        <v>476</v>
      </c>
      <c r="D13" s="9">
        <f t="shared" si="0"/>
        <v>476</v>
      </c>
      <c r="E13" s="9">
        <f t="shared" si="0"/>
        <v>476</v>
      </c>
      <c r="F13" s="9">
        <f t="shared" si="1"/>
        <v>476</v>
      </c>
      <c r="G13" s="10">
        <v>0</v>
      </c>
      <c r="H13" s="10">
        <v>0</v>
      </c>
      <c r="I13" s="19"/>
      <c r="J13" s="20"/>
      <c r="Q13" s="17">
        <f t="shared" si="2"/>
        <v>3.8028846153846154</v>
      </c>
      <c r="R13" s="17">
        <f t="shared" si="3"/>
        <v>11.081730769230768</v>
      </c>
      <c r="T13" s="18">
        <v>3.7562962888429099</v>
      </c>
      <c r="U13" s="18">
        <v>5.392872224025048</v>
      </c>
    </row>
    <row r="14" spans="1:21" ht="18.75" customHeight="1" x14ac:dyDescent="0.3">
      <c r="A14" s="13">
        <v>0.4</v>
      </c>
      <c r="B14" s="8">
        <v>753</v>
      </c>
      <c r="C14" s="8">
        <v>463</v>
      </c>
      <c r="D14" s="9">
        <f t="shared" si="0"/>
        <v>463</v>
      </c>
      <c r="E14" s="9">
        <f t="shared" si="0"/>
        <v>463</v>
      </c>
      <c r="F14" s="9">
        <f t="shared" si="1"/>
        <v>463</v>
      </c>
      <c r="G14" s="10">
        <v>0</v>
      </c>
      <c r="H14" s="10">
        <v>0</v>
      </c>
      <c r="I14" s="19"/>
      <c r="J14" s="20"/>
      <c r="Q14" s="17">
        <f t="shared" si="2"/>
        <v>3.7596153846153846</v>
      </c>
      <c r="R14" s="17">
        <f t="shared" si="3"/>
        <v>11.442307692307692</v>
      </c>
      <c r="T14" s="18">
        <v>3.6921352394044802</v>
      </c>
      <c r="U14" s="18">
        <v>5.1578959484991005</v>
      </c>
    </row>
    <row r="15" spans="1:21" ht="18.75" customHeight="1" x14ac:dyDescent="0.3">
      <c r="A15" s="13">
        <v>0.35</v>
      </c>
      <c r="B15" s="8">
        <v>742</v>
      </c>
      <c r="C15" s="8">
        <v>450</v>
      </c>
      <c r="D15" s="9">
        <f t="shared" si="0"/>
        <v>450</v>
      </c>
      <c r="E15" s="9">
        <f t="shared" si="0"/>
        <v>450</v>
      </c>
      <c r="F15" s="9">
        <f t="shared" si="1"/>
        <v>450</v>
      </c>
      <c r="G15" s="10">
        <v>0</v>
      </c>
      <c r="H15" s="10">
        <v>0</v>
      </c>
      <c r="I15" s="19"/>
      <c r="J15" s="20"/>
      <c r="Q15" s="17">
        <f t="shared" si="2"/>
        <v>3.7163461538461537</v>
      </c>
      <c r="R15" s="17">
        <f t="shared" si="3"/>
        <v>11.778846153846153</v>
      </c>
      <c r="T15" s="18">
        <v>3.6204606829306099</v>
      </c>
      <c r="U15" s="18">
        <v>4.8511880867798149</v>
      </c>
    </row>
    <row r="16" spans="1:21" ht="18.75" customHeight="1" x14ac:dyDescent="0.3">
      <c r="A16" s="13">
        <v>0.3</v>
      </c>
      <c r="B16" s="8">
        <v>730</v>
      </c>
      <c r="C16" s="8">
        <v>436</v>
      </c>
      <c r="D16" s="9">
        <f t="shared" si="0"/>
        <v>436</v>
      </c>
      <c r="E16" s="9">
        <f t="shared" si="0"/>
        <v>436</v>
      </c>
      <c r="F16" s="9">
        <f t="shared" si="1"/>
        <v>436</v>
      </c>
      <c r="G16" s="10">
        <f t="shared" ref="G16:H22" si="4">(G15-G14)+G15</f>
        <v>0</v>
      </c>
      <c r="H16" s="10">
        <f t="shared" si="4"/>
        <v>0</v>
      </c>
      <c r="Q16" s="17">
        <f t="shared" si="2"/>
        <v>3.6682692307692308</v>
      </c>
      <c r="R16" s="17">
        <f t="shared" si="3"/>
        <v>11.442307692307692</v>
      </c>
      <c r="T16" s="18">
        <v>3.55083875954689</v>
      </c>
      <c r="U16" s="18">
        <v>4.6790317412531035</v>
      </c>
    </row>
    <row r="17" spans="1:21" ht="18.75" customHeight="1" x14ac:dyDescent="0.3">
      <c r="A17" s="13">
        <v>0.25</v>
      </c>
      <c r="B17" s="8">
        <v>719</v>
      </c>
      <c r="C17" s="8">
        <v>457</v>
      </c>
      <c r="D17" s="8">
        <f t="shared" si="0"/>
        <v>457</v>
      </c>
      <c r="E17" s="8">
        <f t="shared" si="0"/>
        <v>457</v>
      </c>
      <c r="F17" s="8">
        <f t="shared" si="1"/>
        <v>457</v>
      </c>
      <c r="G17" s="10">
        <f t="shared" si="4"/>
        <v>0</v>
      </c>
      <c r="H17" s="10">
        <f t="shared" si="4"/>
        <v>0</v>
      </c>
      <c r="Q17" s="17">
        <f t="shared" si="2"/>
        <v>3.6201923076923075</v>
      </c>
      <c r="R17" s="17">
        <f t="shared" si="3"/>
        <v>11.129807692307692</v>
      </c>
      <c r="T17" s="18">
        <v>3.48557314250864</v>
      </c>
      <c r="U17" s="18">
        <v>4.6012992278765994</v>
      </c>
    </row>
    <row r="18" spans="1:21" ht="18.75" customHeight="1" x14ac:dyDescent="0.3">
      <c r="A18" s="13">
        <v>0.2</v>
      </c>
      <c r="B18" s="8">
        <v>708</v>
      </c>
      <c r="C18" s="8">
        <v>478</v>
      </c>
      <c r="D18" s="8">
        <f t="shared" si="0"/>
        <v>478</v>
      </c>
      <c r="E18" s="8">
        <f t="shared" si="0"/>
        <v>478</v>
      </c>
      <c r="F18" s="8">
        <f t="shared" si="1"/>
        <v>478</v>
      </c>
      <c r="G18" s="10">
        <f t="shared" si="4"/>
        <v>0</v>
      </c>
      <c r="H18" s="10">
        <f t="shared" si="4"/>
        <v>0</v>
      </c>
      <c r="Q18" s="17">
        <f t="shared" si="2"/>
        <v>3.5673076923076925</v>
      </c>
      <c r="R18" s="17">
        <f t="shared" si="3"/>
        <v>10.817307692307692</v>
      </c>
      <c r="T18" s="18">
        <v>3.4191427328840098</v>
      </c>
      <c r="U18" s="18">
        <v>4.496548105516176</v>
      </c>
    </row>
    <row r="19" spans="1:21" ht="18.75" customHeight="1" x14ac:dyDescent="0.3">
      <c r="A19" s="13">
        <v>0.15</v>
      </c>
      <c r="B19" s="8">
        <v>686</v>
      </c>
      <c r="C19" s="8">
        <v>588</v>
      </c>
      <c r="D19" s="8">
        <f t="shared" si="0"/>
        <v>588</v>
      </c>
      <c r="E19" s="8">
        <f t="shared" si="0"/>
        <v>588</v>
      </c>
      <c r="F19" s="8">
        <f t="shared" si="1"/>
        <v>588</v>
      </c>
      <c r="G19" s="10">
        <f t="shared" si="4"/>
        <v>0</v>
      </c>
      <c r="H19" s="10">
        <f t="shared" si="4"/>
        <v>0</v>
      </c>
      <c r="Q19" s="17">
        <f t="shared" si="2"/>
        <v>3.5096153846153846</v>
      </c>
      <c r="R19" s="17">
        <f t="shared" si="3"/>
        <v>10.480769230769232</v>
      </c>
      <c r="T19" s="18">
        <v>3.34770500551907</v>
      </c>
      <c r="U19" s="18">
        <v>4.2908054077125</v>
      </c>
    </row>
    <row r="20" spans="1:21" ht="18.75" customHeight="1" x14ac:dyDescent="0.3">
      <c r="A20" s="13">
        <v>0.1</v>
      </c>
      <c r="B20" s="8">
        <v>664</v>
      </c>
      <c r="C20" s="8">
        <v>743</v>
      </c>
      <c r="D20" s="8">
        <f t="shared" si="0"/>
        <v>743</v>
      </c>
      <c r="E20" s="8">
        <f t="shared" si="0"/>
        <v>743</v>
      </c>
      <c r="F20" s="8">
        <f t="shared" si="1"/>
        <v>743</v>
      </c>
      <c r="G20" s="10">
        <f t="shared" si="4"/>
        <v>0</v>
      </c>
      <c r="H20" s="10">
        <f t="shared" si="4"/>
        <v>0</v>
      </c>
      <c r="Q20" s="17">
        <f t="shared" si="2"/>
        <v>3.4567307692307692</v>
      </c>
      <c r="R20" s="17">
        <f t="shared" si="3"/>
        <v>10.985576923076923</v>
      </c>
      <c r="T20" s="18">
        <v>3.2906001894897101</v>
      </c>
      <c r="U20" s="18">
        <v>4.4278256007025441</v>
      </c>
    </row>
    <row r="21" spans="1:21" ht="18.75" customHeight="1" x14ac:dyDescent="0.3">
      <c r="A21" s="13">
        <v>0.05</v>
      </c>
      <c r="B21" s="8">
        <v>619</v>
      </c>
      <c r="C21" s="8">
        <v>931</v>
      </c>
      <c r="D21" s="8">
        <f t="shared" si="0"/>
        <v>931</v>
      </c>
      <c r="E21" s="8">
        <f t="shared" si="0"/>
        <v>931</v>
      </c>
      <c r="F21" s="8">
        <f t="shared" si="1"/>
        <v>931</v>
      </c>
      <c r="G21" s="10">
        <f t="shared" si="4"/>
        <v>0</v>
      </c>
      <c r="H21" s="10">
        <f t="shared" si="4"/>
        <v>0</v>
      </c>
      <c r="Q21" s="17">
        <f t="shared" si="2"/>
        <v>3.4038461538461537</v>
      </c>
      <c r="R21" s="17">
        <f t="shared" si="3"/>
        <v>11.490384615384615</v>
      </c>
      <c r="T21" s="18">
        <v>3.2404783005198401</v>
      </c>
      <c r="U21" s="18">
        <v>4.9371656346819721</v>
      </c>
    </row>
    <row r="22" spans="1:21" ht="18.75" customHeight="1" x14ac:dyDescent="0.3">
      <c r="A22" s="8">
        <v>0</v>
      </c>
      <c r="B22" s="8">
        <v>575</v>
      </c>
      <c r="C22" s="8">
        <v>1719</v>
      </c>
      <c r="D22" s="8">
        <f t="shared" si="0"/>
        <v>1719</v>
      </c>
      <c r="E22" s="8">
        <f t="shared" si="0"/>
        <v>1719</v>
      </c>
      <c r="F22" s="8">
        <f t="shared" si="1"/>
        <v>1719</v>
      </c>
      <c r="G22" s="10">
        <f t="shared" si="4"/>
        <v>0</v>
      </c>
      <c r="H22" s="10">
        <f t="shared" si="4"/>
        <v>0</v>
      </c>
      <c r="Q22" s="17">
        <f t="shared" si="2"/>
        <v>3.2980769230769229</v>
      </c>
      <c r="R22" s="17">
        <f t="shared" si="3"/>
        <v>14.134615384615385</v>
      </c>
      <c r="T22" s="18">
        <v>3.1736117746653698</v>
      </c>
      <c r="U22" s="18">
        <v>5.1916387281699956</v>
      </c>
    </row>
    <row r="23" spans="1:21" ht="18.75" customHeight="1" x14ac:dyDescent="0.3">
      <c r="Q23" s="17">
        <f t="shared" si="2"/>
        <v>3.1923076923076925</v>
      </c>
      <c r="R23" s="17">
        <f t="shared" si="3"/>
        <v>17.860576923076923</v>
      </c>
      <c r="T23" s="18">
        <v>3.06382973111308</v>
      </c>
      <c r="U23" s="18">
        <v>5.3530641452165035</v>
      </c>
    </row>
    <row r="24" spans="1:21" ht="18.75" customHeight="1" x14ac:dyDescent="0.3">
      <c r="Q24" s="17">
        <f t="shared" si="2"/>
        <v>2.9759615384615383</v>
      </c>
      <c r="R24" s="17">
        <f t="shared" si="3"/>
        <v>22.379807692307693</v>
      </c>
      <c r="T24" s="18">
        <v>2.8134120362359001</v>
      </c>
      <c r="U24" s="18">
        <v>5.3530641452165035</v>
      </c>
    </row>
    <row r="25" spans="1:21" ht="18.75" customHeight="1" x14ac:dyDescent="0.3">
      <c r="Q25" s="17">
        <f t="shared" si="2"/>
        <v>2.7644230769230771</v>
      </c>
      <c r="R25" s="17">
        <f t="shared" si="3"/>
        <v>41.322115384615387</v>
      </c>
      <c r="T25" s="18">
        <v>2.4972426743094198</v>
      </c>
      <c r="U25" s="18">
        <v>22.694616534596999</v>
      </c>
    </row>
    <row r="26" spans="1:21" ht="18.75" customHeight="1" x14ac:dyDescent="0.3">
      <c r="A26" s="1" t="s">
        <v>0</v>
      </c>
      <c r="B26" s="1" t="s">
        <v>1</v>
      </c>
      <c r="L26" s="14" t="s">
        <v>17</v>
      </c>
    </row>
    <row r="27" spans="1:21" ht="18.75" customHeight="1" x14ac:dyDescent="0.3">
      <c r="A27" s="8">
        <v>1</v>
      </c>
      <c r="B27" s="8">
        <v>870</v>
      </c>
      <c r="C27" s="22">
        <f t="shared" ref="C27:F47" si="5">$B27-C2*C$1/1000</f>
        <v>870</v>
      </c>
      <c r="D27" s="17">
        <f t="shared" si="5"/>
        <v>852.9</v>
      </c>
      <c r="E27" s="17">
        <f t="shared" si="5"/>
        <v>801.6</v>
      </c>
      <c r="F27" s="17">
        <f t="shared" si="5"/>
        <v>870</v>
      </c>
      <c r="L27" s="2" t="s">
        <v>12</v>
      </c>
      <c r="M27" s="2" t="s">
        <v>13</v>
      </c>
      <c r="N27" s="2" t="s">
        <v>14</v>
      </c>
      <c r="O27" s="2" t="s">
        <v>16</v>
      </c>
    </row>
    <row r="28" spans="1:21" ht="18.75" customHeight="1" x14ac:dyDescent="0.3">
      <c r="A28" s="13">
        <v>0.95</v>
      </c>
      <c r="B28" s="8">
        <v>859</v>
      </c>
      <c r="C28" s="22">
        <f t="shared" si="5"/>
        <v>859</v>
      </c>
      <c r="D28" s="17">
        <f t="shared" si="5"/>
        <v>842.74</v>
      </c>
      <c r="E28" s="17">
        <f t="shared" si="5"/>
        <v>793.96</v>
      </c>
      <c r="F28" s="17">
        <f t="shared" si="5"/>
        <v>728.92</v>
      </c>
      <c r="L28" s="14" t="e">
        <f t="shared" ref="L28:L47" si="6">C28*C$1/(C28*C$1 +C3*C$1^2/1000)</f>
        <v>#DIV/0!</v>
      </c>
      <c r="M28" s="17">
        <f t="shared" ref="M28:M47" si="7">D28*D$1/(D28*D$1 +D3*D$1^2/1000)</f>
        <v>0.98107101280558795</v>
      </c>
      <c r="N28" s="17">
        <f t="shared" ref="N28:N47" si="8">E28*E$1/(E28*E$1 +E3*E$1^2/1000)</f>
        <v>0.92428405122235158</v>
      </c>
      <c r="O28" s="17">
        <f t="shared" ref="O28:O47" si="9">F28*F$1/(F28*F$1 +F3*F$1^2/1000)</f>
        <v>0.84856810244470304</v>
      </c>
    </row>
    <row r="29" spans="1:21" ht="18.75" customHeight="1" x14ac:dyDescent="0.3">
      <c r="A29" s="13">
        <v>0.9</v>
      </c>
      <c r="B29" s="8">
        <v>847</v>
      </c>
      <c r="C29" s="22">
        <f t="shared" si="5"/>
        <v>847</v>
      </c>
      <c r="D29" s="17">
        <f t="shared" si="5"/>
        <v>831.58</v>
      </c>
      <c r="E29" s="17">
        <f t="shared" si="5"/>
        <v>785.32</v>
      </c>
      <c r="F29" s="17">
        <f t="shared" si="5"/>
        <v>723.64</v>
      </c>
      <c r="L29" s="14" t="e">
        <f t="shared" si="6"/>
        <v>#DIV/0!</v>
      </c>
      <c r="M29" s="17">
        <f t="shared" si="7"/>
        <v>0.98179456906729645</v>
      </c>
      <c r="N29" s="17">
        <f t="shared" si="8"/>
        <v>0.92717827626918536</v>
      </c>
      <c r="O29" s="17">
        <f t="shared" si="9"/>
        <v>0.85435655253837073</v>
      </c>
    </row>
    <row r="30" spans="1:21" ht="18.75" customHeight="1" x14ac:dyDescent="0.3">
      <c r="A30" s="13">
        <v>0.85</v>
      </c>
      <c r="B30" s="8">
        <v>840</v>
      </c>
      <c r="C30" s="22">
        <f t="shared" si="5"/>
        <v>840</v>
      </c>
      <c r="D30" s="17">
        <f t="shared" si="5"/>
        <v>824.91</v>
      </c>
      <c r="E30" s="17">
        <f t="shared" si="5"/>
        <v>779.64</v>
      </c>
      <c r="F30" s="17">
        <f t="shared" si="5"/>
        <v>719.28</v>
      </c>
      <c r="L30" s="14" t="e">
        <f t="shared" si="6"/>
        <v>#DIV/0!</v>
      </c>
      <c r="M30" s="17">
        <f t="shared" si="7"/>
        <v>0.98203571428571423</v>
      </c>
      <c r="N30" s="17">
        <f t="shared" si="8"/>
        <v>0.92814285714285716</v>
      </c>
      <c r="O30" s="17">
        <f t="shared" si="9"/>
        <v>0.85628571428571432</v>
      </c>
    </row>
    <row r="31" spans="1:21" ht="18.75" customHeight="1" x14ac:dyDescent="0.3">
      <c r="A31" s="13">
        <v>0.8</v>
      </c>
      <c r="B31" s="8">
        <v>833</v>
      </c>
      <c r="C31" s="22">
        <f t="shared" si="5"/>
        <v>833</v>
      </c>
      <c r="D31" s="17">
        <f t="shared" si="5"/>
        <v>818.24</v>
      </c>
      <c r="E31" s="17">
        <f t="shared" si="5"/>
        <v>773.96</v>
      </c>
      <c r="F31" s="17">
        <f t="shared" si="5"/>
        <v>714.92</v>
      </c>
      <c r="L31" s="14" t="e">
        <f t="shared" si="6"/>
        <v>#DIV/0!</v>
      </c>
      <c r="M31" s="17">
        <f t="shared" si="7"/>
        <v>0.98228091236494597</v>
      </c>
      <c r="N31" s="17">
        <f t="shared" si="8"/>
        <v>0.92912364945978387</v>
      </c>
      <c r="O31" s="17">
        <f t="shared" si="9"/>
        <v>0.85824729891956775</v>
      </c>
      <c r="T31" s="7" t="s">
        <v>18</v>
      </c>
      <c r="U31" s="7" t="s">
        <v>11</v>
      </c>
    </row>
    <row r="32" spans="1:21" ht="18.75" customHeight="1" x14ac:dyDescent="0.3">
      <c r="A32" s="13">
        <v>0.75</v>
      </c>
      <c r="B32" s="8">
        <v>823</v>
      </c>
      <c r="C32" s="22">
        <f t="shared" si="5"/>
        <v>823</v>
      </c>
      <c r="D32" s="17">
        <f t="shared" si="5"/>
        <v>808.93</v>
      </c>
      <c r="E32" s="17">
        <f t="shared" si="5"/>
        <v>766.72</v>
      </c>
      <c r="F32" s="17">
        <f t="shared" si="5"/>
        <v>710.44</v>
      </c>
      <c r="L32" s="14" t="e">
        <f t="shared" si="6"/>
        <v>#DIV/0!</v>
      </c>
      <c r="M32" s="17">
        <f t="shared" si="7"/>
        <v>0.98290400972053471</v>
      </c>
      <c r="N32" s="17">
        <f t="shared" si="8"/>
        <v>0.93161603888213851</v>
      </c>
      <c r="O32" s="17">
        <f t="shared" si="9"/>
        <v>0.86323207776427702</v>
      </c>
      <c r="S32" t="s">
        <v>1</v>
      </c>
      <c r="T32" s="17">
        <v>4.2</v>
      </c>
      <c r="U32" s="17">
        <v>4.2</v>
      </c>
    </row>
    <row r="33" spans="1:21" ht="18.75" customHeight="1" x14ac:dyDescent="0.3">
      <c r="A33" s="13">
        <v>0.7</v>
      </c>
      <c r="B33" s="8">
        <v>813</v>
      </c>
      <c r="C33" s="22">
        <f t="shared" si="5"/>
        <v>813</v>
      </c>
      <c r="D33" s="17">
        <f t="shared" si="5"/>
        <v>799.59</v>
      </c>
      <c r="E33" s="17">
        <f t="shared" si="5"/>
        <v>759.36</v>
      </c>
      <c r="F33" s="17">
        <f t="shared" si="5"/>
        <v>705.72</v>
      </c>
      <c r="L33" s="14" t="e">
        <f t="shared" si="6"/>
        <v>#DIV/0!</v>
      </c>
      <c r="M33" s="17">
        <f t="shared" si="7"/>
        <v>0.98350553505535054</v>
      </c>
      <c r="N33" s="17">
        <f t="shared" si="8"/>
        <v>0.93402214022140218</v>
      </c>
      <c r="O33" s="17">
        <f t="shared" si="9"/>
        <v>0.86804428044280435</v>
      </c>
      <c r="S33" t="s">
        <v>15</v>
      </c>
      <c r="T33" s="22">
        <v>11</v>
      </c>
      <c r="U33" s="22">
        <v>5</v>
      </c>
    </row>
    <row r="34" spans="1:21" ht="18.75" customHeight="1" x14ac:dyDescent="0.3">
      <c r="A34" s="13">
        <v>0.65</v>
      </c>
      <c r="B34" s="8">
        <v>802</v>
      </c>
      <c r="C34" s="22">
        <f t="shared" si="5"/>
        <v>802</v>
      </c>
      <c r="D34" s="17">
        <f t="shared" si="5"/>
        <v>788.38</v>
      </c>
      <c r="E34" s="17">
        <f t="shared" si="5"/>
        <v>747.52</v>
      </c>
      <c r="F34" s="17">
        <f t="shared" si="5"/>
        <v>693.04</v>
      </c>
      <c r="L34" s="14" t="e">
        <f t="shared" si="6"/>
        <v>#DIV/0!</v>
      </c>
      <c r="M34" s="17">
        <f t="shared" si="7"/>
        <v>0.98301745635910232</v>
      </c>
      <c r="N34" s="17">
        <f t="shared" si="8"/>
        <v>0.93206982543640893</v>
      </c>
      <c r="O34" s="17">
        <f t="shared" si="9"/>
        <v>0.86413965087281797</v>
      </c>
      <c r="S34" t="s">
        <v>19</v>
      </c>
      <c r="T34" s="22">
        <v>24</v>
      </c>
      <c r="U34" s="22">
        <f>4*30</f>
        <v>120</v>
      </c>
    </row>
    <row r="35" spans="1:21" ht="18.75" customHeight="1" x14ac:dyDescent="0.3">
      <c r="A35" s="13">
        <v>0.6</v>
      </c>
      <c r="B35" s="8">
        <v>791</v>
      </c>
      <c r="C35" s="22">
        <f t="shared" si="5"/>
        <v>791</v>
      </c>
      <c r="D35" s="17">
        <f t="shared" si="5"/>
        <v>777.17</v>
      </c>
      <c r="E35" s="17">
        <f t="shared" si="5"/>
        <v>735.68</v>
      </c>
      <c r="F35" s="17">
        <f t="shared" si="5"/>
        <v>680.36</v>
      </c>
      <c r="L35" s="14" t="e">
        <f t="shared" si="6"/>
        <v>#DIV/0!</v>
      </c>
      <c r="M35" s="17">
        <f t="shared" si="7"/>
        <v>0.98251580278128947</v>
      </c>
      <c r="N35" s="17">
        <f t="shared" si="8"/>
        <v>0.93006321112515811</v>
      </c>
      <c r="O35" s="17">
        <f t="shared" si="9"/>
        <v>0.86012642225031599</v>
      </c>
      <c r="S35" t="s">
        <v>20</v>
      </c>
      <c r="T35" s="17">
        <f>T32-T34*T33/1000</f>
        <v>3.9359999999999999</v>
      </c>
      <c r="U35" s="17">
        <f>U32-U34*U33/1000</f>
        <v>3.6</v>
      </c>
    </row>
    <row r="36" spans="1:21" ht="18.75" customHeight="1" x14ac:dyDescent="0.3">
      <c r="A36" s="13">
        <v>0.55000000000000004</v>
      </c>
      <c r="B36" s="8">
        <v>782</v>
      </c>
      <c r="C36" s="22">
        <f t="shared" si="5"/>
        <v>782</v>
      </c>
      <c r="D36" s="17">
        <f t="shared" si="5"/>
        <v>767.72</v>
      </c>
      <c r="E36" s="17">
        <f t="shared" si="5"/>
        <v>724.88</v>
      </c>
      <c r="F36" s="17">
        <f t="shared" si="5"/>
        <v>667.76</v>
      </c>
      <c r="L36" s="14" t="e">
        <f t="shared" si="6"/>
        <v>#DIV/0!</v>
      </c>
      <c r="M36" s="17">
        <f t="shared" si="7"/>
        <v>0.98173913043478256</v>
      </c>
      <c r="N36" s="17">
        <f t="shared" si="8"/>
        <v>0.92695652173913046</v>
      </c>
      <c r="O36" s="17">
        <f t="shared" si="9"/>
        <v>0.8539130434782608</v>
      </c>
      <c r="S36" t="s">
        <v>21</v>
      </c>
      <c r="T36" s="17">
        <f>T35*T34</f>
        <v>94.463999999999999</v>
      </c>
      <c r="U36" s="22">
        <f>U35*U34</f>
        <v>432</v>
      </c>
    </row>
    <row r="37" spans="1:21" ht="18.75" customHeight="1" x14ac:dyDescent="0.3">
      <c r="A37" s="13">
        <v>0.5</v>
      </c>
      <c r="B37" s="8">
        <v>773</v>
      </c>
      <c r="C37" s="22">
        <f t="shared" si="5"/>
        <v>773</v>
      </c>
      <c r="D37" s="17">
        <f t="shared" si="5"/>
        <v>758.3</v>
      </c>
      <c r="E37" s="17">
        <f t="shared" si="5"/>
        <v>714.2</v>
      </c>
      <c r="F37" s="17">
        <f t="shared" si="5"/>
        <v>655.4</v>
      </c>
      <c r="L37" s="14" t="e">
        <f t="shared" si="6"/>
        <v>#DIV/0!</v>
      </c>
      <c r="M37" s="17">
        <f t="shared" si="7"/>
        <v>0.98098318240620952</v>
      </c>
      <c r="N37" s="17">
        <f t="shared" si="8"/>
        <v>0.9239327296248383</v>
      </c>
      <c r="O37" s="17">
        <f t="shared" si="9"/>
        <v>0.8478654592496766</v>
      </c>
      <c r="S37" t="s">
        <v>22</v>
      </c>
      <c r="T37" s="17">
        <f>T33/1000*T34^2</f>
        <v>6.3359999999999994</v>
      </c>
      <c r="U37" s="22">
        <f>U33/1000*U34^2</f>
        <v>72</v>
      </c>
    </row>
    <row r="38" spans="1:21" ht="18.75" customHeight="1" x14ac:dyDescent="0.3">
      <c r="A38" s="13">
        <v>0.45</v>
      </c>
      <c r="B38" s="8">
        <v>763</v>
      </c>
      <c r="C38" s="22">
        <f t="shared" si="5"/>
        <v>763</v>
      </c>
      <c r="D38" s="17">
        <f t="shared" si="5"/>
        <v>748.72</v>
      </c>
      <c r="E38" s="17">
        <f t="shared" si="5"/>
        <v>705.88</v>
      </c>
      <c r="F38" s="17">
        <f t="shared" si="5"/>
        <v>648.76</v>
      </c>
      <c r="L38" s="14" t="e">
        <f t="shared" si="6"/>
        <v>#DIV/0!</v>
      </c>
      <c r="M38" s="17">
        <f t="shared" si="7"/>
        <v>0.98128440366972469</v>
      </c>
      <c r="N38" s="17">
        <f t="shared" si="8"/>
        <v>0.9251376146788991</v>
      </c>
      <c r="O38" s="17">
        <f t="shared" si="9"/>
        <v>0.85027522935779809</v>
      </c>
      <c r="S38" t="s">
        <v>23</v>
      </c>
      <c r="T38" s="17">
        <f>T36/(T36+T37)</f>
        <v>0.93714285714285717</v>
      </c>
      <c r="U38" s="17">
        <f>U36/(U36+U37)</f>
        <v>0.8571428571428571</v>
      </c>
    </row>
    <row r="39" spans="1:21" ht="18.75" customHeight="1" x14ac:dyDescent="0.3">
      <c r="A39" s="13">
        <v>0.4</v>
      </c>
      <c r="B39" s="8">
        <v>753</v>
      </c>
      <c r="C39" s="22">
        <f t="shared" si="5"/>
        <v>753</v>
      </c>
      <c r="D39" s="17">
        <f t="shared" si="5"/>
        <v>739.11</v>
      </c>
      <c r="E39" s="17">
        <f t="shared" si="5"/>
        <v>697.44</v>
      </c>
      <c r="F39" s="17">
        <f t="shared" si="5"/>
        <v>641.88</v>
      </c>
      <c r="L39" s="14" t="e">
        <f t="shared" si="6"/>
        <v>#DIV/0!</v>
      </c>
      <c r="M39" s="17">
        <f t="shared" si="7"/>
        <v>0.98155378486055778</v>
      </c>
      <c r="N39" s="17">
        <f t="shared" si="8"/>
        <v>0.92621513944223111</v>
      </c>
      <c r="O39" s="17">
        <f t="shared" si="9"/>
        <v>0.85243027888446221</v>
      </c>
    </row>
    <row r="40" spans="1:21" ht="18.75" customHeight="1" x14ac:dyDescent="0.3">
      <c r="A40" s="13">
        <v>0.35</v>
      </c>
      <c r="B40" s="8">
        <v>742</v>
      </c>
      <c r="C40" s="22">
        <f t="shared" si="5"/>
        <v>742</v>
      </c>
      <c r="D40" s="17">
        <f t="shared" si="5"/>
        <v>728.5</v>
      </c>
      <c r="E40" s="22">
        <f t="shared" si="5"/>
        <v>688</v>
      </c>
      <c r="F40" s="22">
        <f t="shared" si="5"/>
        <v>634</v>
      </c>
      <c r="L40" s="14" t="e">
        <f t="shared" si="6"/>
        <v>#DIV/0!</v>
      </c>
      <c r="M40" s="17">
        <f t="shared" si="7"/>
        <v>0.98180592991913751</v>
      </c>
      <c r="N40" s="17">
        <f t="shared" si="8"/>
        <v>0.92722371967654982</v>
      </c>
      <c r="O40" s="17">
        <f t="shared" si="9"/>
        <v>0.85444743935309975</v>
      </c>
    </row>
    <row r="41" spans="1:21" ht="18.75" customHeight="1" x14ac:dyDescent="0.3">
      <c r="A41" s="13">
        <v>0.3</v>
      </c>
      <c r="B41" s="8">
        <v>730</v>
      </c>
      <c r="C41" s="22">
        <f t="shared" si="5"/>
        <v>730</v>
      </c>
      <c r="D41" s="17">
        <f t="shared" si="5"/>
        <v>716.92</v>
      </c>
      <c r="E41" s="17">
        <f t="shared" si="5"/>
        <v>677.68</v>
      </c>
      <c r="F41" s="17">
        <f t="shared" si="5"/>
        <v>625.36</v>
      </c>
      <c r="L41" s="14" t="e">
        <f t="shared" si="6"/>
        <v>#DIV/0!</v>
      </c>
      <c r="M41" s="17">
        <f t="shared" si="7"/>
        <v>0.9820821917808219</v>
      </c>
      <c r="N41" s="17">
        <f t="shared" si="8"/>
        <v>0.92832876712328771</v>
      </c>
      <c r="O41" s="17">
        <f t="shared" si="9"/>
        <v>0.85665753424657531</v>
      </c>
    </row>
    <row r="42" spans="1:21" ht="18.75" customHeight="1" x14ac:dyDescent="0.3">
      <c r="A42" s="13">
        <v>0.25</v>
      </c>
      <c r="B42" s="8">
        <v>719</v>
      </c>
      <c r="C42" s="22">
        <f t="shared" si="5"/>
        <v>719</v>
      </c>
      <c r="D42" s="17">
        <f t="shared" si="5"/>
        <v>705.29</v>
      </c>
      <c r="E42" s="17">
        <f t="shared" si="5"/>
        <v>664.16</v>
      </c>
      <c r="F42" s="17">
        <f t="shared" si="5"/>
        <v>609.31999999999994</v>
      </c>
      <c r="L42" s="14" t="e">
        <f t="shared" si="6"/>
        <v>#DIV/0!</v>
      </c>
      <c r="M42" s="17">
        <f t="shared" si="7"/>
        <v>0.98093184979137693</v>
      </c>
      <c r="N42" s="17">
        <f t="shared" si="8"/>
        <v>0.92372739916550761</v>
      </c>
      <c r="O42" s="17">
        <f t="shared" si="9"/>
        <v>0.84745479833101522</v>
      </c>
    </row>
    <row r="43" spans="1:21" ht="18.75" customHeight="1" x14ac:dyDescent="0.3">
      <c r="A43" s="13">
        <v>0.2</v>
      </c>
      <c r="B43" s="8">
        <v>708</v>
      </c>
      <c r="C43" s="22">
        <f t="shared" si="5"/>
        <v>708</v>
      </c>
      <c r="D43" s="17">
        <f t="shared" si="5"/>
        <v>693.66</v>
      </c>
      <c r="E43" s="17">
        <f t="shared" si="5"/>
        <v>650.64</v>
      </c>
      <c r="F43" s="17">
        <f t="shared" si="5"/>
        <v>593.28</v>
      </c>
      <c r="L43" s="14" t="e">
        <f t="shared" si="6"/>
        <v>#DIV/0!</v>
      </c>
      <c r="M43" s="17">
        <f t="shared" si="7"/>
        <v>0.97974576271186442</v>
      </c>
      <c r="N43" s="17">
        <f t="shared" si="8"/>
        <v>0.91898305084745768</v>
      </c>
      <c r="O43" s="17">
        <f t="shared" si="9"/>
        <v>0.83796610169491526</v>
      </c>
    </row>
    <row r="44" spans="1:21" ht="18.75" customHeight="1" x14ac:dyDescent="0.3">
      <c r="A44" s="13">
        <v>0.15</v>
      </c>
      <c r="B44" s="8">
        <v>686</v>
      </c>
      <c r="C44" s="22">
        <f t="shared" si="5"/>
        <v>686</v>
      </c>
      <c r="D44" s="17">
        <f t="shared" si="5"/>
        <v>668.36</v>
      </c>
      <c r="E44" s="17">
        <f t="shared" si="5"/>
        <v>615.44000000000005</v>
      </c>
      <c r="F44" s="17">
        <f t="shared" si="5"/>
        <v>544.88</v>
      </c>
      <c r="L44" s="14" t="e">
        <f t="shared" si="6"/>
        <v>#DIV/0!</v>
      </c>
      <c r="M44" s="17">
        <f t="shared" si="7"/>
        <v>0.9742857142857142</v>
      </c>
      <c r="N44" s="17">
        <f t="shared" si="8"/>
        <v>0.89714285714285713</v>
      </c>
      <c r="O44" s="17">
        <f t="shared" si="9"/>
        <v>0.79428571428571426</v>
      </c>
    </row>
    <row r="45" spans="1:21" ht="18.75" customHeight="1" x14ac:dyDescent="0.3">
      <c r="A45" s="13">
        <v>0.1</v>
      </c>
      <c r="B45" s="8">
        <v>664</v>
      </c>
      <c r="C45" s="22">
        <f t="shared" si="5"/>
        <v>664</v>
      </c>
      <c r="D45" s="17">
        <f t="shared" si="5"/>
        <v>641.71</v>
      </c>
      <c r="E45" s="17">
        <f t="shared" si="5"/>
        <v>574.84</v>
      </c>
      <c r="F45" s="17">
        <f t="shared" si="5"/>
        <v>485.68</v>
      </c>
      <c r="L45" s="14" t="e">
        <f t="shared" si="6"/>
        <v>#DIV/0!</v>
      </c>
      <c r="M45" s="17">
        <f t="shared" si="7"/>
        <v>0.96643072289156629</v>
      </c>
      <c r="N45" s="17">
        <f t="shared" si="8"/>
        <v>0.86572289156626514</v>
      </c>
      <c r="O45" s="17">
        <f t="shared" si="9"/>
        <v>0.73144578313253006</v>
      </c>
    </row>
    <row r="46" spans="1:21" ht="18.75" customHeight="1" x14ac:dyDescent="0.3">
      <c r="A46" s="13">
        <v>0.05</v>
      </c>
      <c r="B46" s="8">
        <v>619</v>
      </c>
      <c r="C46" s="22">
        <f t="shared" si="5"/>
        <v>619</v>
      </c>
      <c r="D46" s="17">
        <f t="shared" si="5"/>
        <v>591.07000000000005</v>
      </c>
      <c r="E46" s="17">
        <f t="shared" si="5"/>
        <v>507.28</v>
      </c>
      <c r="F46" s="17">
        <f t="shared" si="5"/>
        <v>395.56</v>
      </c>
      <c r="L46" s="14" t="e">
        <f t="shared" si="6"/>
        <v>#DIV/0!</v>
      </c>
      <c r="M46" s="17">
        <f t="shared" si="7"/>
        <v>0.95487883683360253</v>
      </c>
      <c r="N46" s="17">
        <f t="shared" si="8"/>
        <v>0.81951534733441034</v>
      </c>
      <c r="O46" s="17">
        <f t="shared" si="9"/>
        <v>0.63903069466882068</v>
      </c>
    </row>
    <row r="47" spans="1:21" ht="18.75" customHeight="1" x14ac:dyDescent="0.3">
      <c r="A47" s="8">
        <v>0</v>
      </c>
      <c r="B47" s="8">
        <v>575</v>
      </c>
      <c r="C47" s="22">
        <f t="shared" si="5"/>
        <v>575</v>
      </c>
      <c r="D47" s="17">
        <f t="shared" si="5"/>
        <v>523.42999999999995</v>
      </c>
      <c r="E47" s="17">
        <f t="shared" si="5"/>
        <v>368.72</v>
      </c>
      <c r="F47" s="17">
        <f t="shared" si="5"/>
        <v>162.44</v>
      </c>
      <c r="L47" s="14" t="e">
        <f t="shared" si="6"/>
        <v>#DIV/0!</v>
      </c>
      <c r="M47" s="17">
        <f t="shared" si="7"/>
        <v>0.91031304347826092</v>
      </c>
      <c r="N47" s="17">
        <f t="shared" si="8"/>
        <v>0.64125217391304346</v>
      </c>
      <c r="O47" s="17">
        <f t="shared" si="9"/>
        <v>0.28250434782608697</v>
      </c>
    </row>
    <row r="48" spans="1:21" ht="18.75" customHeight="1" x14ac:dyDescent="0.3"/>
    <row r="49" spans="1:15" ht="18.75" customHeight="1" x14ac:dyDescent="0.3">
      <c r="L49" s="22">
        <v>0</v>
      </c>
      <c r="M49" s="22">
        <v>30</v>
      </c>
      <c r="N49" s="22">
        <v>120</v>
      </c>
      <c r="O49" s="22">
        <v>240</v>
      </c>
    </row>
    <row r="50" spans="1:15" ht="18.75" customHeight="1" x14ac:dyDescent="0.3">
      <c r="L50" s="22">
        <f>L49/5</f>
        <v>0</v>
      </c>
      <c r="M50" s="22">
        <f>M49/5</f>
        <v>6</v>
      </c>
      <c r="N50" s="22">
        <f>N49/5</f>
        <v>24</v>
      </c>
      <c r="O50" s="22">
        <f>O49/5</f>
        <v>48</v>
      </c>
    </row>
    <row r="51" spans="1:15" ht="18.75" customHeight="1" x14ac:dyDescent="0.3">
      <c r="K51" s="14" t="s">
        <v>24</v>
      </c>
      <c r="L51" s="22">
        <f>L50/6</f>
        <v>0</v>
      </c>
      <c r="M51" s="22">
        <f>M50/6</f>
        <v>1</v>
      </c>
      <c r="N51" s="22">
        <f>N50/6</f>
        <v>4</v>
      </c>
      <c r="O51" s="22">
        <f>O50/6</f>
        <v>8</v>
      </c>
    </row>
    <row r="52" spans="1:15" ht="18.75" customHeight="1" x14ac:dyDescent="0.3"/>
    <row r="53" spans="1:15" ht="18.75" customHeight="1" x14ac:dyDescent="0.3"/>
    <row r="54" spans="1:15" ht="18.75" customHeight="1" x14ac:dyDescent="0.3"/>
    <row r="55" spans="1:15" ht="18.75" customHeight="1" x14ac:dyDescent="0.3"/>
    <row r="56" spans="1:15" ht="18.75" customHeight="1" x14ac:dyDescent="0.3">
      <c r="A56" s="1" t="s">
        <v>0</v>
      </c>
      <c r="B56" s="1" t="s">
        <v>1</v>
      </c>
      <c r="C56" s="2">
        <v>0</v>
      </c>
      <c r="D56" s="2">
        <v>6</v>
      </c>
      <c r="E56" s="2">
        <f>D56*4</f>
        <v>24</v>
      </c>
      <c r="F56" s="2">
        <f>D56*8</f>
        <v>48</v>
      </c>
    </row>
    <row r="57" spans="1:15" ht="18.75" customHeight="1" x14ac:dyDescent="0.3">
      <c r="A57" s="8">
        <v>1</v>
      </c>
      <c r="B57" s="13">
        <v>4.1826923076923075</v>
      </c>
      <c r="C57" s="13">
        <v>13.701923076923077</v>
      </c>
      <c r="D57" s="9">
        <v>13.701923076923077</v>
      </c>
      <c r="E57" s="9">
        <v>13.701923076923077</v>
      </c>
      <c r="F57" s="9">
        <v>13.701923076923077</v>
      </c>
    </row>
    <row r="58" spans="1:15" ht="18.75" customHeight="1" x14ac:dyDescent="0.3">
      <c r="A58" s="13">
        <v>0.95</v>
      </c>
      <c r="B58" s="13">
        <v>4.1298076923076925</v>
      </c>
      <c r="C58" s="13">
        <v>13.028846153846153</v>
      </c>
      <c r="D58" s="9">
        <v>13.028846153846153</v>
      </c>
      <c r="E58" s="9">
        <v>13.028846153846153</v>
      </c>
      <c r="F58" s="9">
        <v>13.028846153846153</v>
      </c>
    </row>
    <row r="59" spans="1:15" ht="18.75" customHeight="1" x14ac:dyDescent="0.3">
      <c r="A59" s="13">
        <v>0.9</v>
      </c>
      <c r="B59" s="13">
        <v>4.072115384615385</v>
      </c>
      <c r="C59" s="13">
        <v>12.355769230769232</v>
      </c>
      <c r="D59" s="9">
        <v>12.355769230769232</v>
      </c>
      <c r="E59" s="9">
        <v>12.355769230769232</v>
      </c>
      <c r="F59" s="9">
        <v>12.355769230769232</v>
      </c>
    </row>
    <row r="60" spans="1:15" ht="18.75" customHeight="1" x14ac:dyDescent="0.3">
      <c r="A60" s="13">
        <v>0.85</v>
      </c>
      <c r="B60" s="13">
        <v>4.0384615384615383</v>
      </c>
      <c r="C60" s="13">
        <v>12.091346153846153</v>
      </c>
      <c r="D60" s="9">
        <v>12.091346153846153</v>
      </c>
      <c r="E60" s="9">
        <v>12.091346153846153</v>
      </c>
      <c r="F60" s="9">
        <v>12.091346153846153</v>
      </c>
    </row>
    <row r="61" spans="1:15" ht="18.75" customHeight="1" x14ac:dyDescent="0.3">
      <c r="A61" s="13">
        <v>0.8</v>
      </c>
      <c r="B61" s="13">
        <v>4.0048076923076925</v>
      </c>
      <c r="C61" s="13">
        <v>11.826923076923077</v>
      </c>
      <c r="D61" s="9">
        <v>11.826923076923077</v>
      </c>
      <c r="E61" s="9">
        <v>11.826923076923077</v>
      </c>
      <c r="F61" s="9">
        <v>11.826923076923077</v>
      </c>
    </row>
    <row r="62" spans="1:15" ht="18.75" customHeight="1" x14ac:dyDescent="0.3">
      <c r="A62" s="13">
        <v>0.75</v>
      </c>
      <c r="B62" s="13">
        <v>3.9567307692307692</v>
      </c>
      <c r="C62" s="13">
        <v>11.274038461538463</v>
      </c>
      <c r="D62" s="9">
        <v>11.274038461538463</v>
      </c>
      <c r="E62" s="9">
        <v>11.274038461538463</v>
      </c>
      <c r="F62" s="9">
        <v>11.274038461538463</v>
      </c>
    </row>
    <row r="63" spans="1:15" ht="18.75" customHeight="1" x14ac:dyDescent="0.3">
      <c r="A63" s="13">
        <v>0.7</v>
      </c>
      <c r="B63" s="13">
        <v>3.9086538461538463</v>
      </c>
      <c r="C63" s="13">
        <v>10.745192307692308</v>
      </c>
      <c r="D63" s="9">
        <v>10.745192307692308</v>
      </c>
      <c r="E63" s="9">
        <v>10.745192307692308</v>
      </c>
      <c r="F63" s="9">
        <v>10.745192307692308</v>
      </c>
    </row>
    <row r="64" spans="1:15" ht="18.75" customHeight="1" x14ac:dyDescent="0.3">
      <c r="A64" s="13">
        <v>0.65</v>
      </c>
      <c r="B64" s="13">
        <v>3.8557692307692308</v>
      </c>
      <c r="C64" s="13">
        <v>10.913461538461537</v>
      </c>
      <c r="D64" s="9">
        <v>10.913461538461537</v>
      </c>
      <c r="E64" s="9">
        <v>10.913461538461537</v>
      </c>
      <c r="F64" s="9">
        <v>10.913461538461537</v>
      </c>
    </row>
    <row r="65" spans="1:6" ht="18.75" customHeight="1" x14ac:dyDescent="0.3">
      <c r="A65" s="13">
        <v>0.6</v>
      </c>
      <c r="B65" s="13">
        <v>3.8028846153846154</v>
      </c>
      <c r="C65" s="13">
        <v>11.081730769230768</v>
      </c>
      <c r="D65" s="9">
        <v>11.081730769230768</v>
      </c>
      <c r="E65" s="9">
        <v>11.081730769230768</v>
      </c>
      <c r="F65" s="9">
        <v>11.081730769230768</v>
      </c>
    </row>
    <row r="66" spans="1:6" ht="18.75" customHeight="1" x14ac:dyDescent="0.3">
      <c r="A66" s="13">
        <v>0.55000000000000004</v>
      </c>
      <c r="B66" s="13">
        <v>3.7596153846153846</v>
      </c>
      <c r="C66" s="13">
        <v>11.442307692307692</v>
      </c>
      <c r="D66" s="9">
        <v>11.442307692307692</v>
      </c>
      <c r="E66" s="9">
        <v>11.442307692307692</v>
      </c>
      <c r="F66" s="9">
        <v>11.442307692307692</v>
      </c>
    </row>
    <row r="67" spans="1:6" ht="18.75" customHeight="1" x14ac:dyDescent="0.3">
      <c r="A67" s="13">
        <v>0.5</v>
      </c>
      <c r="B67" s="13">
        <v>3.7163461538461537</v>
      </c>
      <c r="C67" s="13">
        <v>11.778846153846153</v>
      </c>
      <c r="D67" s="9">
        <v>11.778846153846153</v>
      </c>
      <c r="E67" s="9">
        <v>11.778846153846153</v>
      </c>
      <c r="F67" s="9">
        <v>11.778846153846153</v>
      </c>
    </row>
    <row r="68" spans="1:6" ht="18.75" customHeight="1" x14ac:dyDescent="0.3">
      <c r="A68" s="13">
        <v>0.45</v>
      </c>
      <c r="B68" s="13">
        <v>3.6682692307692308</v>
      </c>
      <c r="C68" s="13">
        <v>11.442307692307692</v>
      </c>
      <c r="D68" s="9">
        <v>11.442307692307692</v>
      </c>
      <c r="E68" s="9">
        <v>11.442307692307692</v>
      </c>
      <c r="F68" s="9">
        <v>11.442307692307692</v>
      </c>
    </row>
    <row r="69" spans="1:6" ht="18.75" customHeight="1" x14ac:dyDescent="0.3">
      <c r="A69" s="13">
        <v>0.4</v>
      </c>
      <c r="B69" s="13">
        <v>3.6201923076923075</v>
      </c>
      <c r="C69" s="13">
        <v>11.129807692307692</v>
      </c>
      <c r="D69" s="9">
        <v>11.129807692307692</v>
      </c>
      <c r="E69" s="9">
        <v>11.129807692307692</v>
      </c>
      <c r="F69" s="9">
        <v>11.129807692307692</v>
      </c>
    </row>
    <row r="70" spans="1:6" ht="18.75" customHeight="1" x14ac:dyDescent="0.3">
      <c r="A70" s="13">
        <v>0.35</v>
      </c>
      <c r="B70" s="13">
        <v>3.5673076923076925</v>
      </c>
      <c r="C70" s="13">
        <v>10.817307692307692</v>
      </c>
      <c r="D70" s="9">
        <v>10.817307692307692</v>
      </c>
      <c r="E70" s="9">
        <v>10.817307692307692</v>
      </c>
      <c r="F70" s="9">
        <v>10.817307692307692</v>
      </c>
    </row>
    <row r="71" spans="1:6" ht="18.75" customHeight="1" x14ac:dyDescent="0.3">
      <c r="A71" s="13">
        <v>0.3</v>
      </c>
      <c r="B71" s="13">
        <v>3.5096153846153846</v>
      </c>
      <c r="C71" s="13">
        <v>10.480769230769232</v>
      </c>
      <c r="D71" s="9">
        <v>10.480769230769232</v>
      </c>
      <c r="E71" s="9">
        <v>10.480769230769232</v>
      </c>
      <c r="F71" s="9">
        <v>10.480769230769232</v>
      </c>
    </row>
    <row r="72" spans="1:6" ht="18.75" customHeight="1" x14ac:dyDescent="0.3">
      <c r="A72" s="13">
        <v>0.25</v>
      </c>
      <c r="B72" s="13">
        <v>3.4567307692307692</v>
      </c>
      <c r="C72" s="13">
        <v>10.985576923076923</v>
      </c>
      <c r="D72" s="13">
        <v>10.985576923076923</v>
      </c>
      <c r="E72" s="13">
        <v>10.985576923076923</v>
      </c>
      <c r="F72" s="13">
        <v>10.985576923076923</v>
      </c>
    </row>
    <row r="73" spans="1:6" ht="18.75" customHeight="1" x14ac:dyDescent="0.3">
      <c r="A73" s="13">
        <v>0.2</v>
      </c>
      <c r="B73" s="13">
        <v>3.4038461538461537</v>
      </c>
      <c r="C73" s="13">
        <v>11.490384615384615</v>
      </c>
      <c r="D73" s="13">
        <v>11.490384615384615</v>
      </c>
      <c r="E73" s="13">
        <v>11.490384615384615</v>
      </c>
      <c r="F73" s="13">
        <v>11.490384615384615</v>
      </c>
    </row>
    <row r="74" spans="1:6" ht="18.75" customHeight="1" x14ac:dyDescent="0.3">
      <c r="A74" s="13">
        <v>0.15</v>
      </c>
      <c r="B74" s="13">
        <v>3.2980769230769229</v>
      </c>
      <c r="C74" s="13">
        <v>14.134615384615385</v>
      </c>
      <c r="D74" s="13">
        <v>14.134615384615385</v>
      </c>
      <c r="E74" s="13">
        <v>14.134615384615385</v>
      </c>
      <c r="F74" s="13">
        <v>14.134615384615385</v>
      </c>
    </row>
    <row r="75" spans="1:6" ht="18.75" customHeight="1" x14ac:dyDescent="0.3">
      <c r="A75" s="13">
        <v>0.1</v>
      </c>
      <c r="B75" s="13">
        <v>3.1923076923076925</v>
      </c>
      <c r="C75" s="13">
        <v>17.860576923076923</v>
      </c>
      <c r="D75" s="13">
        <v>17.860576923076923</v>
      </c>
      <c r="E75" s="13">
        <v>17.860576923076923</v>
      </c>
      <c r="F75" s="13">
        <v>17.860576923076923</v>
      </c>
    </row>
    <row r="76" spans="1:6" ht="18.75" customHeight="1" x14ac:dyDescent="0.3">
      <c r="A76" s="13">
        <v>0.05</v>
      </c>
      <c r="B76" s="13">
        <v>2.9759615384615383</v>
      </c>
      <c r="C76" s="13">
        <v>22.379807692307693</v>
      </c>
      <c r="D76" s="13">
        <v>22.379807692307693</v>
      </c>
      <c r="E76" s="13">
        <v>22.379807692307693</v>
      </c>
      <c r="F76" s="13">
        <v>22.379807692307693</v>
      </c>
    </row>
    <row r="77" spans="1:6" ht="18.75" customHeight="1" x14ac:dyDescent="0.3">
      <c r="A77" s="8">
        <v>0</v>
      </c>
      <c r="B77" s="13">
        <v>2.7644230769230771</v>
      </c>
      <c r="C77" s="13">
        <v>41.322115384615387</v>
      </c>
      <c r="D77" s="13">
        <v>41.322115384615387</v>
      </c>
      <c r="E77" s="13">
        <v>41.322115384615387</v>
      </c>
      <c r="F77" s="13">
        <v>41.322115384615387</v>
      </c>
    </row>
    <row r="78" spans="1:6" ht="18.75" customHeight="1" x14ac:dyDescent="0.3"/>
    <row r="79" spans="1:6" ht="18.75" customHeight="1" x14ac:dyDescent="0.3">
      <c r="A79" s="17">
        <v>0.1</v>
      </c>
      <c r="B79" s="17"/>
    </row>
    <row r="80" spans="1:6" ht="18.75" customHeight="1" x14ac:dyDescent="0.3"/>
    <row r="81" spans="1:6" ht="18.75" customHeight="1" x14ac:dyDescent="0.3">
      <c r="A81" s="7" t="s">
        <v>1</v>
      </c>
      <c r="B81" s="22">
        <f>B79*208</f>
        <v>0</v>
      </c>
    </row>
    <row r="82" spans="1:6" ht="18.75" customHeight="1" x14ac:dyDescent="0.3">
      <c r="A82" s="7" t="s">
        <v>15</v>
      </c>
      <c r="C82" s="17"/>
      <c r="D82" s="17"/>
      <c r="E82" s="17"/>
      <c r="F82" s="17"/>
    </row>
    <row r="83" spans="1:6" ht="18.75" customHeight="1" x14ac:dyDescent="0.3">
      <c r="A83" s="7" t="s">
        <v>25</v>
      </c>
      <c r="B83" s="22">
        <v>26</v>
      </c>
      <c r="C83" s="22">
        <f>B83*128</f>
        <v>3328</v>
      </c>
    </row>
    <row r="84" spans="1:6" ht="18.75" customHeight="1" x14ac:dyDescent="0.3">
      <c r="A84" s="7" t="s">
        <v>15</v>
      </c>
      <c r="B84" s="17"/>
    </row>
    <row r="85" spans="1:6" ht="18.75" customHeight="1" x14ac:dyDescent="0.3">
      <c r="A85" s="7" t="s">
        <v>26</v>
      </c>
      <c r="B85" s="17">
        <f>B79-B83*B84/1000</f>
        <v>0</v>
      </c>
    </row>
    <row r="86" spans="1:6" ht="18.75" customHeight="1" x14ac:dyDescent="0.3">
      <c r="B86" s="17">
        <f>B85*208</f>
        <v>0</v>
      </c>
    </row>
    <row r="87" spans="1:6" ht="18.75" customHeight="1" x14ac:dyDescent="0.3">
      <c r="A87" s="7" t="s">
        <v>27</v>
      </c>
      <c r="B87" s="17">
        <f>B85*B83</f>
        <v>0</v>
      </c>
    </row>
    <row r="88" spans="1:6" ht="18.75" customHeight="1" x14ac:dyDescent="0.3"/>
    <row r="89" spans="1:6" ht="18.75" customHeight="1" x14ac:dyDescent="0.3">
      <c r="A89" s="7" t="s">
        <v>28</v>
      </c>
      <c r="B89" s="17">
        <f>B87*106496/1000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battery_config</vt:lpstr>
      <vt:lpstr>BOL_cell_fct_CRate</vt:lpstr>
      <vt:lpstr>cables</vt:lpstr>
      <vt:lpstr>EOL_quickChk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 St. Michel</cp:lastModifiedBy>
  <dcterms:created xsi:type="dcterms:W3CDTF">2025-05-08T19:48:10Z</dcterms:created>
  <dcterms:modified xsi:type="dcterms:W3CDTF">2025-05-28T13:42:59Z</dcterms:modified>
</cp:coreProperties>
</file>