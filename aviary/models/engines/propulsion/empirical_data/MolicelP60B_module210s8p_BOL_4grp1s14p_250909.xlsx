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lucstmich\repos\aircraft_performance\models\apolo\PerfData\battery\"/>
    </mc:Choice>
  </mc:AlternateContent>
  <xr:revisionPtr revIDLastSave="0" documentId="13_ncr:1_{74EF8AC7-2A38-4224-9F6A-A00687F64FEE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battery_config" sheetId="1" r:id="rId1"/>
    <sheet name="BOL_cell_fct_CRate" sheetId="2" r:id="rId2"/>
    <sheet name="cab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 s="1"/>
  <c r="F3" i="2" s="1"/>
  <c r="G3" i="2" s="1"/>
  <c r="D4" i="2"/>
  <c r="D5" i="2"/>
  <c r="D6" i="2"/>
  <c r="D7" i="2"/>
  <c r="D8" i="2"/>
  <c r="E8" i="2" s="1"/>
  <c r="F8" i="2" s="1"/>
  <c r="G8" i="2" s="1"/>
  <c r="D9" i="2"/>
  <c r="D10" i="2"/>
  <c r="E10" i="2" s="1"/>
  <c r="F10" i="2" s="1"/>
  <c r="G10" i="2" s="1"/>
  <c r="D11" i="2"/>
  <c r="D12" i="2"/>
  <c r="E12" i="2" s="1"/>
  <c r="F12" i="2" s="1"/>
  <c r="G12" i="2" s="1"/>
  <c r="D13" i="2"/>
  <c r="D14" i="2"/>
  <c r="E14" i="2" s="1"/>
  <c r="F14" i="2" s="1"/>
  <c r="G14" i="2" s="1"/>
  <c r="D15" i="2"/>
  <c r="E15" i="2" s="1"/>
  <c r="F15" i="2" s="1"/>
  <c r="G15" i="2" s="1"/>
  <c r="D16" i="2"/>
  <c r="D17" i="2"/>
  <c r="E17" i="2" s="1"/>
  <c r="F17" i="2" s="1"/>
  <c r="G17" i="2" s="1"/>
  <c r="D18" i="2"/>
  <c r="E18" i="2" s="1"/>
  <c r="F18" i="2" s="1"/>
  <c r="G18" i="2" s="1"/>
  <c r="D19" i="2"/>
  <c r="E19" i="2" s="1"/>
  <c r="F19" i="2" s="1"/>
  <c r="G19" i="2" s="1"/>
  <c r="D20" i="2"/>
  <c r="E20" i="2" s="1"/>
  <c r="F20" i="2" s="1"/>
  <c r="G20" i="2" s="1"/>
  <c r="D21" i="2"/>
  <c r="E21" i="2" s="1"/>
  <c r="F21" i="2" s="1"/>
  <c r="G21" i="2" s="1"/>
  <c r="D22" i="2"/>
  <c r="E22" i="2" s="1"/>
  <c r="F22" i="2" s="1"/>
  <c r="G22" i="2" s="1"/>
  <c r="D23" i="2"/>
  <c r="E23" i="2" s="1"/>
  <c r="F23" i="2" s="1"/>
  <c r="G23" i="2" s="1"/>
  <c r="D24" i="2"/>
  <c r="E24" i="2" s="1"/>
  <c r="F24" i="2" s="1"/>
  <c r="G24" i="2" s="1"/>
  <c r="D25" i="2"/>
  <c r="E25" i="2" s="1"/>
  <c r="F25" i="2" s="1"/>
  <c r="G25" i="2" s="1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E42" i="2" s="1"/>
  <c r="F42" i="2" s="1"/>
  <c r="G42" i="2" s="1"/>
  <c r="D2" i="2"/>
  <c r="E2" i="2" s="1"/>
  <c r="F2" i="2" s="1"/>
  <c r="G2" i="2" s="1"/>
  <c r="E7" i="2"/>
  <c r="F7" i="2" s="1"/>
  <c r="G7" i="2" s="1"/>
  <c r="E9" i="2"/>
  <c r="F9" i="2" s="1"/>
  <c r="G9" i="2" s="1"/>
  <c r="E11" i="2"/>
  <c r="F11" i="2" s="1"/>
  <c r="G11" i="2" s="1"/>
  <c r="E13" i="2"/>
  <c r="F13" i="2" s="1"/>
  <c r="G13" i="2" s="1"/>
  <c r="E33" i="2"/>
  <c r="F33" i="2" s="1"/>
  <c r="G33" i="2" s="1"/>
  <c r="E34" i="2"/>
  <c r="F34" i="2" s="1"/>
  <c r="G34" i="2" s="1"/>
  <c r="E35" i="2"/>
  <c r="F35" i="2" s="1"/>
  <c r="G35" i="2" s="1"/>
  <c r="E36" i="2"/>
  <c r="F36" i="2" s="1"/>
  <c r="G36" i="2" s="1"/>
  <c r="E37" i="2"/>
  <c r="F37" i="2" s="1"/>
  <c r="G37" i="2" s="1"/>
  <c r="E38" i="2"/>
  <c r="F38" i="2" s="1"/>
  <c r="G38" i="2" s="1"/>
  <c r="H23" i="2"/>
  <c r="I23" i="2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E32" i="2"/>
  <c r="F32" i="2" s="1"/>
  <c r="G32" i="2" s="1"/>
  <c r="E31" i="2"/>
  <c r="F31" i="2" s="1"/>
  <c r="G31" i="2" s="1"/>
  <c r="E16" i="2"/>
  <c r="F16" i="2" s="1"/>
  <c r="G16" i="2" s="1"/>
  <c r="E4" i="2"/>
  <c r="F4" i="2" s="1"/>
  <c r="G4" i="2" s="1"/>
  <c r="E5" i="2"/>
  <c r="F5" i="2" s="1"/>
  <c r="G5" i="2" s="1"/>
  <c r="E6" i="2"/>
  <c r="F6" i="2" s="1"/>
  <c r="G6" i="2" s="1"/>
  <c r="E26" i="2"/>
  <c r="F26" i="2" s="1"/>
  <c r="G26" i="2" s="1"/>
  <c r="E27" i="2"/>
  <c r="F27" i="2" s="1"/>
  <c r="G27" i="2" s="1"/>
  <c r="E28" i="2"/>
  <c r="F28" i="2" s="1"/>
  <c r="G28" i="2" s="1"/>
  <c r="E29" i="2"/>
  <c r="F29" i="2" s="1"/>
  <c r="G29" i="2" s="1"/>
  <c r="E30" i="2"/>
  <c r="F30" i="2" s="1"/>
  <c r="G30" i="2" s="1"/>
  <c r="E39" i="2"/>
  <c r="F39" i="2" s="1"/>
  <c r="G39" i="2" s="1"/>
  <c r="E40" i="2"/>
  <c r="F40" i="2" s="1"/>
  <c r="G40" i="2" s="1"/>
  <c r="E41" i="2"/>
  <c r="F41" i="2" s="1"/>
  <c r="G41" i="2" s="1"/>
  <c r="D5" i="1"/>
  <c r="D4" i="1"/>
  <c r="D3" i="1"/>
  <c r="D2" i="1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E4" i="3"/>
  <c r="D4" i="3"/>
  <c r="A4" i="3"/>
  <c r="E3" i="3"/>
  <c r="D3" i="3"/>
  <c r="A3" i="3"/>
  <c r="E2" i="3"/>
  <c r="D2" i="3"/>
  <c r="A2" i="3"/>
  <c r="I16" i="2"/>
  <c r="I17" i="2" s="1"/>
  <c r="I18" i="2" s="1"/>
  <c r="I19" i="2" s="1"/>
  <c r="I20" i="2" s="1"/>
  <c r="I21" i="2" s="1"/>
  <c r="I22" i="2" s="1"/>
  <c r="H16" i="2"/>
  <c r="H17" i="2" s="1"/>
  <c r="H18" i="2" s="1"/>
  <c r="H19" i="2" s="1"/>
  <c r="H20" i="2" s="1"/>
  <c r="H21" i="2" s="1"/>
  <c r="H22" i="2" s="1"/>
  <c r="K5" i="2"/>
  <c r="J5" i="2"/>
  <c r="K4" i="2"/>
  <c r="J4" i="2"/>
  <c r="J3" i="2"/>
</calcChain>
</file>

<file path=xl/sharedStrings.xml><?xml version="1.0" encoding="utf-8"?>
<sst xmlns="http://schemas.openxmlformats.org/spreadsheetml/2006/main" count="36" uniqueCount="30">
  <si>
    <t>SOC</t>
  </si>
  <si>
    <t>OCV</t>
  </si>
  <si>
    <t>IR1</t>
  </si>
  <si>
    <t>C1</t>
  </si>
  <si>
    <t>Crate_col</t>
  </si>
  <si>
    <t>Crate_value</t>
  </si>
  <si>
    <t>capacity_Ah</t>
  </si>
  <si>
    <t>mass_cell</t>
  </si>
  <si>
    <t>Cp_cell</t>
  </si>
  <si>
    <t>min_temp</t>
  </si>
  <si>
    <t>max_temp</t>
  </si>
  <si>
    <t>IR_0C</t>
  </si>
  <si>
    <t>IR_1C</t>
  </si>
  <si>
    <t>IR_4C</t>
  </si>
  <si>
    <t>IR_8C</t>
  </si>
  <si>
    <t>index</t>
  </si>
  <si>
    <t>groupID</t>
  </si>
  <si>
    <t>MotorID</t>
  </si>
  <si>
    <t>length_m</t>
  </si>
  <si>
    <t>ResistanceCable_mOhm_per_m</t>
  </si>
  <si>
    <t>Group</t>
  </si>
  <si>
    <t>motor_id</t>
  </si>
  <si>
    <t>nseries</t>
  </si>
  <si>
    <t>nparallels</t>
  </si>
  <si>
    <t>cell_sheet</t>
  </si>
  <si>
    <t>BOL_cell_fct_CRate</t>
  </si>
  <si>
    <t>1,2</t>
  </si>
  <si>
    <t>3,4</t>
  </si>
  <si>
    <t>IR_Raw</t>
  </si>
  <si>
    <t>Crate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</si>
</sst>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6" formatCode="0.000"/>
    <numFmt numFmtId="173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" fontId="0" fillId="0" borderId="0" xfId="0" applyNumberFormat="1"/>
    <xf numFmtId="164" fontId="2" fillId="0" borderId="1" xfId="0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0" fontId="2" fillId="0" borderId="4" xfId="0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73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4" fontId="2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195580</xdr:colOff>
      <xdr:row>7</xdr:row>
      <xdr:rowOff>120650</xdr:rowOff>
    </xdr:from>
    <xdr:ext cx="5978944" cy="609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AA47D7-DDA7-BC9C-CCDA-32EE5278EFE8}"/>
            </a:ext>
          </a:extLst>
        </xdr:cNvPr>
        <xdr:cNvSpPr txBox="1"/>
      </xdr:nvSpPr>
      <xdr:spPr>
        <a:xfrm>
          <a:off x="8539480" y="1409700"/>
          <a:ext cx="5978944" cy="609013"/>
        </a:xfrm>
        <a:prstGeom prst="rect">
          <a:avLst/>
        </a:prstGeom>
        <a:solidFill>
          <a:schemeClr val="bg1">
            <a:lumMod val="95000"/>
          </a:schemeClr>
        </a:solidFill>
        <a:ln w="285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 b="1">
              <a:solidFill>
                <a:srgbClr val="FF0000"/>
              </a:solidFill>
            </a:rPr>
            <a:t>Derived</a:t>
          </a:r>
          <a:r>
            <a:rPr lang="en-CA" sz="1100" b="1" baseline="0">
              <a:solidFill>
                <a:srgbClr val="FF0000"/>
              </a:solidFill>
            </a:rPr>
            <a:t> from:</a:t>
          </a:r>
        </a:p>
        <a:p>
          <a:r>
            <a:rPr lang="en-CA" sz="1100" b="1">
              <a:solidFill>
                <a:srgbClr val="FF0000"/>
              </a:solidFill>
            </a:rPr>
            <a:t>PerfData/battery/Molicel/cycle_results/2025_09_03/process_cycle_test_data_P60B.ipynb</a:t>
          </a:r>
        </a:p>
        <a:p>
          <a:r>
            <a:rPr lang="en-CA" sz="1100" b="1">
              <a:solidFill>
                <a:srgbClr val="FF0000"/>
              </a:solidFill>
            </a:rPr>
            <a:t>PerfData/battery/Molicel/cycle_results/2025_09_03/2025_09_03_P60B_OCV_DCIR_fctSOC_v1.csv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"/>
  <sheetViews>
    <sheetView workbookViewId="0">
      <selection activeCell="D2" sqref="D2:D5"/>
    </sheetView>
  </sheetViews>
  <sheetFormatPr defaultRowHeight="14.4" x14ac:dyDescent="0.3"/>
  <cols>
    <col min="1" max="1" width="13.5546875" style="18" bestFit="1" customWidth="1"/>
    <col min="2" max="2" width="13.5546875" style="17" bestFit="1" customWidth="1"/>
    <col min="3" max="4" width="13.5546875" style="18" bestFit="1" customWidth="1"/>
    <col min="5" max="5" width="18.88671875" style="17" bestFit="1" customWidth="1"/>
  </cols>
  <sheetData>
    <row r="1" spans="1:5" ht="18.75" customHeight="1" x14ac:dyDescent="0.3">
      <c r="A1" s="24" t="s">
        <v>20</v>
      </c>
      <c r="B1" s="25" t="s">
        <v>21</v>
      </c>
      <c r="C1" s="24" t="s">
        <v>22</v>
      </c>
      <c r="D1" s="24" t="s">
        <v>23</v>
      </c>
      <c r="E1" s="25" t="s">
        <v>24</v>
      </c>
    </row>
    <row r="2" spans="1:5" ht="18.75" customHeight="1" x14ac:dyDescent="0.3">
      <c r="A2" s="26">
        <v>1</v>
      </c>
      <c r="B2" s="27" t="s">
        <v>26</v>
      </c>
      <c r="C2" s="26">
        <v>210</v>
      </c>
      <c r="D2" s="26">
        <f>8*14</f>
        <v>112</v>
      </c>
      <c r="E2" s="27" t="s">
        <v>25</v>
      </c>
    </row>
    <row r="3" spans="1:5" x14ac:dyDescent="0.3">
      <c r="A3" s="26">
        <v>2</v>
      </c>
      <c r="B3" s="27" t="s">
        <v>26</v>
      </c>
      <c r="C3" s="26">
        <v>210</v>
      </c>
      <c r="D3" s="26">
        <f t="shared" ref="D3:D5" si="0">8*14</f>
        <v>112</v>
      </c>
      <c r="E3" s="27" t="s">
        <v>25</v>
      </c>
    </row>
    <row r="4" spans="1:5" x14ac:dyDescent="0.3">
      <c r="A4" s="26">
        <v>3</v>
      </c>
      <c r="B4" s="27" t="s">
        <v>27</v>
      </c>
      <c r="C4" s="26">
        <v>210</v>
      </c>
      <c r="D4" s="26">
        <f t="shared" si="0"/>
        <v>112</v>
      </c>
      <c r="E4" s="27" t="s">
        <v>25</v>
      </c>
    </row>
    <row r="5" spans="1:5" x14ac:dyDescent="0.3">
      <c r="A5" s="26">
        <v>4</v>
      </c>
      <c r="B5" s="27" t="s">
        <v>27</v>
      </c>
      <c r="C5" s="26">
        <v>210</v>
      </c>
      <c r="D5" s="26">
        <f t="shared" si="0"/>
        <v>112</v>
      </c>
      <c r="E5" s="2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42"/>
  <sheetViews>
    <sheetView tabSelected="1" workbookViewId="0">
      <selection activeCell="D2" sqref="D2:D42"/>
    </sheetView>
  </sheetViews>
  <sheetFormatPr defaultRowHeight="14.4" x14ac:dyDescent="0.3"/>
  <cols>
    <col min="1" max="1" width="13.5546875" style="23" bestFit="1" customWidth="1"/>
    <col min="2" max="2" width="13.5546875" style="14" bestFit="1" customWidth="1"/>
    <col min="3" max="3" width="13.5546875" style="14" customWidth="1"/>
    <col min="4" max="7" width="13.5546875" style="14" bestFit="1" customWidth="1"/>
    <col min="8" max="9" width="13.5546875" style="18" bestFit="1" customWidth="1"/>
    <col min="10" max="10" width="13.5546875" bestFit="1" customWidth="1"/>
    <col min="11" max="11" width="13.5546875" style="11" bestFit="1" customWidth="1"/>
    <col min="12" max="12" width="13.5546875" style="11" customWidth="1"/>
    <col min="13" max="13" width="11.33203125" style="7" bestFit="1" customWidth="1"/>
    <col min="14" max="14" width="9.33203125" style="7" bestFit="1" customWidth="1"/>
    <col min="15" max="15" width="13.5546875" style="11" bestFit="1" customWidth="1"/>
    <col min="16" max="16" width="9.44140625" style="11" bestFit="1" customWidth="1"/>
    <col min="17" max="17" width="11" style="11" bestFit="1" customWidth="1"/>
  </cols>
  <sheetData>
    <row r="1" spans="1:17" x14ac:dyDescent="0.3">
      <c r="A1" s="31" t="s">
        <v>0</v>
      </c>
      <c r="B1" s="32" t="s">
        <v>1</v>
      </c>
      <c r="C1" s="32" t="s">
        <v>28</v>
      </c>
      <c r="D1" s="32" t="s">
        <v>11</v>
      </c>
      <c r="E1" s="32" t="s">
        <v>12</v>
      </c>
      <c r="F1" s="32" t="s">
        <v>13</v>
      </c>
      <c r="G1" s="32" t="s">
        <v>14</v>
      </c>
      <c r="H1" s="29" t="s">
        <v>2</v>
      </c>
      <c r="I1" s="3" t="s">
        <v>3</v>
      </c>
      <c r="J1" s="4" t="s">
        <v>4</v>
      </c>
      <c r="K1" s="5" t="s">
        <v>5</v>
      </c>
      <c r="L1" s="5" t="s">
        <v>29</v>
      </c>
      <c r="M1" s="1" t="s">
        <v>6</v>
      </c>
      <c r="N1" s="21" t="s">
        <v>7</v>
      </c>
      <c r="O1" s="6" t="s">
        <v>8</v>
      </c>
      <c r="P1" s="6" t="s">
        <v>9</v>
      </c>
      <c r="Q1" s="6" t="s">
        <v>10</v>
      </c>
    </row>
    <row r="2" spans="1:17" x14ac:dyDescent="0.3">
      <c r="A2" s="33">
        <v>0</v>
      </c>
      <c r="B2" s="33">
        <v>2.5</v>
      </c>
      <c r="C2" s="34">
        <v>2.61022695403656E-2</v>
      </c>
      <c r="D2" s="35">
        <f>C2*1000</f>
        <v>26.102269540365601</v>
      </c>
      <c r="E2" s="36">
        <f>D2</f>
        <v>26.102269540365601</v>
      </c>
      <c r="F2" s="36">
        <f t="shared" ref="F2:G2" si="0">E2</f>
        <v>26.102269540365601</v>
      </c>
      <c r="G2" s="36">
        <f t="shared" si="0"/>
        <v>26.102269540365601</v>
      </c>
      <c r="H2" s="30">
        <v>0</v>
      </c>
      <c r="I2" s="9">
        <v>0</v>
      </c>
      <c r="J2" s="10" t="s">
        <v>11</v>
      </c>
      <c r="K2" s="2">
        <v>0</v>
      </c>
      <c r="L2" s="28">
        <v>6</v>
      </c>
      <c r="M2" s="22">
        <v>5.75</v>
      </c>
      <c r="N2" s="8">
        <v>7.4999999999999997E-2</v>
      </c>
      <c r="O2" s="2">
        <v>850</v>
      </c>
      <c r="P2" s="2">
        <v>-20</v>
      </c>
      <c r="Q2" s="2">
        <v>60</v>
      </c>
    </row>
    <row r="3" spans="1:17" x14ac:dyDescent="0.3">
      <c r="A3" s="33">
        <v>2.5000000000000001E-2</v>
      </c>
      <c r="B3" s="33">
        <v>2.859</v>
      </c>
      <c r="C3" s="34">
        <v>2.5872199679893099E-2</v>
      </c>
      <c r="D3" s="35">
        <f t="shared" ref="D3:D42" si="1">C3*1000</f>
        <v>25.8721996798931</v>
      </c>
      <c r="E3" s="36">
        <f t="shared" ref="E3:G3" si="2">D3</f>
        <v>25.8721996798931</v>
      </c>
      <c r="F3" s="36">
        <f t="shared" si="2"/>
        <v>25.8721996798931</v>
      </c>
      <c r="G3" s="36">
        <f t="shared" si="2"/>
        <v>25.8721996798931</v>
      </c>
      <c r="H3" s="30">
        <v>0</v>
      </c>
      <c r="I3" s="9">
        <v>0</v>
      </c>
      <c r="J3" s="10" t="str">
        <f>E1</f>
        <v>IR_1C</v>
      </c>
      <c r="K3" s="2">
        <v>6</v>
      </c>
      <c r="L3" s="13"/>
    </row>
    <row r="4" spans="1:17" x14ac:dyDescent="0.3">
      <c r="A4" s="33">
        <v>0.05</v>
      </c>
      <c r="B4" s="33">
        <v>2.9220000000000002</v>
      </c>
      <c r="C4" s="34">
        <v>2.4747997832205701E-2</v>
      </c>
      <c r="D4" s="35">
        <f t="shared" si="1"/>
        <v>24.747997832205701</v>
      </c>
      <c r="E4" s="36">
        <f t="shared" ref="E4:G4" si="3">D4</f>
        <v>24.747997832205701</v>
      </c>
      <c r="F4" s="36">
        <f t="shared" si="3"/>
        <v>24.747997832205701</v>
      </c>
      <c r="G4" s="36">
        <f t="shared" si="3"/>
        <v>24.747997832205701</v>
      </c>
      <c r="H4" s="30">
        <v>0</v>
      </c>
      <c r="I4" s="9">
        <v>0</v>
      </c>
      <c r="J4" s="10" t="str">
        <f>F1</f>
        <v>IR_4C</v>
      </c>
      <c r="K4" s="2">
        <f>K3*4</f>
        <v>24</v>
      </c>
      <c r="L4" s="13"/>
    </row>
    <row r="5" spans="1:17" x14ac:dyDescent="0.3">
      <c r="A5" s="33">
        <v>7.4999999999999997E-2</v>
      </c>
      <c r="B5" s="33">
        <v>2.9580000000000002</v>
      </c>
      <c r="C5" s="34">
        <v>2.3352550616486702E-2</v>
      </c>
      <c r="D5" s="35">
        <f t="shared" si="1"/>
        <v>23.352550616486702</v>
      </c>
      <c r="E5" s="36">
        <f t="shared" ref="E5:G5" si="4">D5</f>
        <v>23.352550616486702</v>
      </c>
      <c r="F5" s="36">
        <f t="shared" si="4"/>
        <v>23.352550616486702</v>
      </c>
      <c r="G5" s="36">
        <f t="shared" si="4"/>
        <v>23.352550616486702</v>
      </c>
      <c r="H5" s="30">
        <v>0</v>
      </c>
      <c r="I5" s="9">
        <v>0</v>
      </c>
      <c r="J5" s="10" t="str">
        <f>G1</f>
        <v>IR_8C</v>
      </c>
      <c r="K5" s="2">
        <f>K3*8</f>
        <v>48</v>
      </c>
      <c r="L5" s="13"/>
    </row>
    <row r="6" spans="1:17" x14ac:dyDescent="0.3">
      <c r="A6" s="33">
        <v>0.1</v>
      </c>
      <c r="B6" s="33">
        <v>2.9940000000000002</v>
      </c>
      <c r="C6" s="34">
        <v>2.1842730617592399E-2</v>
      </c>
      <c r="D6" s="35">
        <f t="shared" si="1"/>
        <v>21.842730617592398</v>
      </c>
      <c r="E6" s="36">
        <f t="shared" ref="E6:G6" si="5">D6</f>
        <v>21.842730617592398</v>
      </c>
      <c r="F6" s="36">
        <f t="shared" si="5"/>
        <v>21.842730617592398</v>
      </c>
      <c r="G6" s="36">
        <f t="shared" si="5"/>
        <v>21.842730617592398</v>
      </c>
      <c r="H6" s="30">
        <v>0</v>
      </c>
      <c r="I6" s="9">
        <v>0</v>
      </c>
      <c r="J6" s="12"/>
      <c r="K6" s="13"/>
      <c r="L6" s="13"/>
    </row>
    <row r="7" spans="1:17" x14ac:dyDescent="0.3">
      <c r="A7" s="33">
        <v>0.125</v>
      </c>
      <c r="B7" s="33">
        <v>3.0289999999999999</v>
      </c>
      <c r="C7" s="34">
        <v>2.0563909826221999E-2</v>
      </c>
      <c r="D7" s="35">
        <f t="shared" si="1"/>
        <v>20.563909826221998</v>
      </c>
      <c r="E7" s="36">
        <f t="shared" ref="E7:G7" si="6">D7</f>
        <v>20.563909826221998</v>
      </c>
      <c r="F7" s="36">
        <f t="shared" si="6"/>
        <v>20.563909826221998</v>
      </c>
      <c r="G7" s="36">
        <f t="shared" si="6"/>
        <v>20.563909826221998</v>
      </c>
      <c r="H7" s="30">
        <v>0</v>
      </c>
      <c r="I7" s="9">
        <v>0</v>
      </c>
      <c r="J7" s="12"/>
      <c r="K7" s="13"/>
      <c r="L7" s="13"/>
    </row>
    <row r="8" spans="1:17" x14ac:dyDescent="0.3">
      <c r="A8" s="33">
        <v>0.15</v>
      </c>
      <c r="B8" s="33">
        <v>3.0640000000000001</v>
      </c>
      <c r="C8" s="34">
        <v>1.9644563912950701E-2</v>
      </c>
      <c r="D8" s="35">
        <f t="shared" si="1"/>
        <v>19.644563912950701</v>
      </c>
      <c r="E8" s="36">
        <f t="shared" ref="E8:G8" si="7">D8</f>
        <v>19.644563912950701</v>
      </c>
      <c r="F8" s="36">
        <f t="shared" si="7"/>
        <v>19.644563912950701</v>
      </c>
      <c r="G8" s="36">
        <f t="shared" si="7"/>
        <v>19.644563912950701</v>
      </c>
      <c r="H8" s="30">
        <v>0</v>
      </c>
      <c r="I8" s="9">
        <v>0</v>
      </c>
      <c r="J8" s="12"/>
      <c r="K8" s="13"/>
      <c r="L8" s="13"/>
    </row>
    <row r="9" spans="1:17" x14ac:dyDescent="0.3">
      <c r="A9" s="33">
        <v>0.17499999999999999</v>
      </c>
      <c r="B9" s="33">
        <v>3.1095000000000002</v>
      </c>
      <c r="C9" s="34">
        <v>1.8966109566429301E-2</v>
      </c>
      <c r="D9" s="35">
        <f t="shared" si="1"/>
        <v>18.966109566429303</v>
      </c>
      <c r="E9" s="36">
        <f t="shared" ref="E9:G9" si="8">D9</f>
        <v>18.966109566429303</v>
      </c>
      <c r="F9" s="36">
        <f t="shared" si="8"/>
        <v>18.966109566429303</v>
      </c>
      <c r="G9" s="36">
        <f t="shared" si="8"/>
        <v>18.966109566429303</v>
      </c>
      <c r="H9" s="30">
        <v>0</v>
      </c>
      <c r="I9" s="9">
        <v>0</v>
      </c>
      <c r="J9" s="12"/>
      <c r="K9" s="13"/>
      <c r="L9" s="13"/>
    </row>
    <row r="10" spans="1:17" x14ac:dyDescent="0.3">
      <c r="A10" s="33">
        <v>0.2</v>
      </c>
      <c r="B10" s="33">
        <v>3.1549999999999998</v>
      </c>
      <c r="C10" s="34">
        <v>1.8434322223979799E-2</v>
      </c>
      <c r="D10" s="35">
        <f t="shared" si="1"/>
        <v>18.434322223979798</v>
      </c>
      <c r="E10" s="36">
        <f t="shared" ref="E10:G10" si="9">D10</f>
        <v>18.434322223979798</v>
      </c>
      <c r="F10" s="36">
        <f t="shared" si="9"/>
        <v>18.434322223979798</v>
      </c>
      <c r="G10" s="36">
        <f t="shared" si="9"/>
        <v>18.434322223979798</v>
      </c>
      <c r="H10" s="30">
        <v>0</v>
      </c>
      <c r="I10" s="9">
        <v>0</v>
      </c>
      <c r="J10" s="12"/>
      <c r="K10" s="13"/>
      <c r="L10" s="13"/>
    </row>
    <row r="11" spans="1:17" x14ac:dyDescent="0.3">
      <c r="A11" s="33">
        <v>0.22500000000000001</v>
      </c>
      <c r="B11" s="33">
        <v>3.1995</v>
      </c>
      <c r="C11" s="34">
        <v>1.7926615236754002E-2</v>
      </c>
      <c r="D11" s="35">
        <f t="shared" si="1"/>
        <v>17.926615236754003</v>
      </c>
      <c r="E11" s="36">
        <f t="shared" ref="E11:G11" si="10">D11</f>
        <v>17.926615236754003</v>
      </c>
      <c r="F11" s="36">
        <f t="shared" si="10"/>
        <v>17.926615236754003</v>
      </c>
      <c r="G11" s="36">
        <f t="shared" si="10"/>
        <v>17.926615236754003</v>
      </c>
      <c r="H11" s="30">
        <v>0</v>
      </c>
      <c r="I11" s="9">
        <v>0</v>
      </c>
      <c r="J11" s="12"/>
      <c r="K11" s="13"/>
      <c r="L11" s="13"/>
    </row>
    <row r="12" spans="1:17" x14ac:dyDescent="0.3">
      <c r="A12" s="33">
        <v>0.25</v>
      </c>
      <c r="B12" s="33">
        <v>3.2440000000000002</v>
      </c>
      <c r="C12" s="34">
        <v>1.7449014200705101E-2</v>
      </c>
      <c r="D12" s="35">
        <f t="shared" si="1"/>
        <v>17.449014200705101</v>
      </c>
      <c r="E12" s="36">
        <f t="shared" ref="E12:G12" si="11">D12</f>
        <v>17.449014200705101</v>
      </c>
      <c r="F12" s="36">
        <f t="shared" si="11"/>
        <v>17.449014200705101</v>
      </c>
      <c r="G12" s="36">
        <f t="shared" si="11"/>
        <v>17.449014200705101</v>
      </c>
      <c r="H12" s="30">
        <v>0</v>
      </c>
      <c r="I12" s="9">
        <v>0</v>
      </c>
      <c r="J12" s="12"/>
      <c r="K12" s="13"/>
      <c r="L12" s="13"/>
    </row>
    <row r="13" spans="1:17" x14ac:dyDescent="0.3">
      <c r="A13" s="33">
        <v>0.27500000000000002</v>
      </c>
      <c r="B13" s="33">
        <v>3.2805</v>
      </c>
      <c r="C13" s="34">
        <v>1.6994795751506399E-2</v>
      </c>
      <c r="D13" s="35">
        <f t="shared" si="1"/>
        <v>16.994795751506398</v>
      </c>
      <c r="E13" s="36">
        <f t="shared" ref="E13:G13" si="12">D13</f>
        <v>16.994795751506398</v>
      </c>
      <c r="F13" s="36">
        <f t="shared" si="12"/>
        <v>16.994795751506398</v>
      </c>
      <c r="G13" s="36">
        <f t="shared" si="12"/>
        <v>16.994795751506398</v>
      </c>
      <c r="H13" s="30">
        <v>0</v>
      </c>
      <c r="I13" s="9">
        <v>0</v>
      </c>
      <c r="J13" s="12"/>
      <c r="K13" s="13"/>
      <c r="L13" s="13"/>
    </row>
    <row r="14" spans="1:17" x14ac:dyDescent="0.3">
      <c r="A14" s="33">
        <v>0.3</v>
      </c>
      <c r="B14" s="33">
        <v>3.3170000000000002</v>
      </c>
      <c r="C14" s="34">
        <v>1.6525057487455801E-2</v>
      </c>
      <c r="D14" s="35">
        <f t="shared" si="1"/>
        <v>16.5250574874558</v>
      </c>
      <c r="E14" s="36">
        <f t="shared" ref="E14:G14" si="13">D14</f>
        <v>16.5250574874558</v>
      </c>
      <c r="F14" s="36">
        <f t="shared" si="13"/>
        <v>16.5250574874558</v>
      </c>
      <c r="G14" s="36">
        <f t="shared" si="13"/>
        <v>16.5250574874558</v>
      </c>
      <c r="H14" s="30">
        <v>0</v>
      </c>
      <c r="I14" s="9">
        <v>0</v>
      </c>
      <c r="J14" s="12"/>
      <c r="K14" s="13"/>
      <c r="L14" s="13"/>
    </row>
    <row r="15" spans="1:17" x14ac:dyDescent="0.3">
      <c r="A15" s="33">
        <v>0.32500000000000001</v>
      </c>
      <c r="B15" s="33">
        <v>3.3494999999999999</v>
      </c>
      <c r="C15" s="34">
        <v>1.60642709415422E-2</v>
      </c>
      <c r="D15" s="35">
        <f t="shared" si="1"/>
        <v>16.064270941542201</v>
      </c>
      <c r="E15" s="36">
        <f t="shared" ref="E15:G15" si="14">D15</f>
        <v>16.064270941542201</v>
      </c>
      <c r="F15" s="36">
        <f t="shared" si="14"/>
        <v>16.064270941542201</v>
      </c>
      <c r="G15" s="36">
        <f t="shared" si="14"/>
        <v>16.064270941542201</v>
      </c>
      <c r="H15" s="30">
        <v>0</v>
      </c>
      <c r="I15" s="9">
        <v>0</v>
      </c>
      <c r="J15" s="12"/>
      <c r="K15" s="13"/>
      <c r="L15" s="13"/>
    </row>
    <row r="16" spans="1:17" x14ac:dyDescent="0.3">
      <c r="A16" s="33">
        <v>0.35</v>
      </c>
      <c r="B16" s="33">
        <v>3.3820000000000001</v>
      </c>
      <c r="C16" s="34">
        <v>1.5653061148863501E-2</v>
      </c>
      <c r="D16" s="35">
        <f t="shared" si="1"/>
        <v>15.6530611488635</v>
      </c>
      <c r="E16" s="36">
        <f t="shared" ref="E16:G16" si="15">D16</f>
        <v>15.6530611488635</v>
      </c>
      <c r="F16" s="36">
        <f t="shared" si="15"/>
        <v>15.6530611488635</v>
      </c>
      <c r="G16" s="36">
        <f t="shared" si="15"/>
        <v>15.6530611488635</v>
      </c>
      <c r="H16" s="30">
        <f t="shared" ref="H16:I22" si="16">(H15-H14)+H15</f>
        <v>0</v>
      </c>
      <c r="I16" s="9">
        <f t="shared" si="16"/>
        <v>0</v>
      </c>
    </row>
    <row r="17" spans="1:9" x14ac:dyDescent="0.3">
      <c r="A17" s="33">
        <v>0.375</v>
      </c>
      <c r="B17" s="33">
        <v>3.41549999999999</v>
      </c>
      <c r="C17" s="34">
        <v>1.5287631400327399E-2</v>
      </c>
      <c r="D17" s="35">
        <f t="shared" si="1"/>
        <v>15.287631400327399</v>
      </c>
      <c r="E17" s="36">
        <f t="shared" ref="E17:G17" si="17">D17</f>
        <v>15.287631400327399</v>
      </c>
      <c r="F17" s="36">
        <f t="shared" si="17"/>
        <v>15.287631400327399</v>
      </c>
      <c r="G17" s="36">
        <f t="shared" si="17"/>
        <v>15.287631400327399</v>
      </c>
      <c r="H17" s="30">
        <f t="shared" si="16"/>
        <v>0</v>
      </c>
      <c r="I17" s="9">
        <f t="shared" si="16"/>
        <v>0</v>
      </c>
    </row>
    <row r="18" spans="1:9" x14ac:dyDescent="0.3">
      <c r="A18" s="33">
        <v>0.4</v>
      </c>
      <c r="B18" s="33">
        <v>3.4489999999999998</v>
      </c>
      <c r="C18" s="34">
        <v>1.50668389444444E-2</v>
      </c>
      <c r="D18" s="35">
        <f t="shared" si="1"/>
        <v>15.066838944444401</v>
      </c>
      <c r="E18" s="36">
        <f t="shared" ref="E18:G18" si="18">D18</f>
        <v>15.066838944444401</v>
      </c>
      <c r="F18" s="36">
        <f t="shared" si="18"/>
        <v>15.066838944444401</v>
      </c>
      <c r="G18" s="36">
        <f t="shared" si="18"/>
        <v>15.066838944444401</v>
      </c>
      <c r="H18" s="30">
        <f t="shared" si="16"/>
        <v>0</v>
      </c>
      <c r="I18" s="9">
        <f t="shared" si="16"/>
        <v>0</v>
      </c>
    </row>
    <row r="19" spans="1:9" x14ac:dyDescent="0.3">
      <c r="A19" s="33">
        <v>0.42499999999999999</v>
      </c>
      <c r="B19" s="33">
        <v>3.488</v>
      </c>
      <c r="C19" s="34">
        <v>1.49575964193546E-2</v>
      </c>
      <c r="D19" s="35">
        <f t="shared" si="1"/>
        <v>14.9575964193546</v>
      </c>
      <c r="E19" s="36">
        <f t="shared" ref="E19:G19" si="19">D19</f>
        <v>14.9575964193546</v>
      </c>
      <c r="F19" s="36">
        <f t="shared" si="19"/>
        <v>14.9575964193546</v>
      </c>
      <c r="G19" s="36">
        <f t="shared" si="19"/>
        <v>14.9575964193546</v>
      </c>
      <c r="H19" s="30">
        <f t="shared" si="16"/>
        <v>0</v>
      </c>
      <c r="I19" s="9">
        <f t="shared" si="16"/>
        <v>0</v>
      </c>
    </row>
    <row r="20" spans="1:9" x14ac:dyDescent="0.3">
      <c r="A20" s="33">
        <v>0.45</v>
      </c>
      <c r="B20" s="33">
        <v>3.5270000000000001</v>
      </c>
      <c r="C20" s="34">
        <v>1.49529563187215E-2</v>
      </c>
      <c r="D20" s="35">
        <f t="shared" si="1"/>
        <v>14.952956318721501</v>
      </c>
      <c r="E20" s="36">
        <f t="shared" ref="E20:G20" si="20">D20</f>
        <v>14.952956318721501</v>
      </c>
      <c r="F20" s="36">
        <f t="shared" si="20"/>
        <v>14.952956318721501</v>
      </c>
      <c r="G20" s="36">
        <f t="shared" si="20"/>
        <v>14.952956318721501</v>
      </c>
      <c r="H20" s="30">
        <f t="shared" si="16"/>
        <v>0</v>
      </c>
      <c r="I20" s="9">
        <f t="shared" si="16"/>
        <v>0</v>
      </c>
    </row>
    <row r="21" spans="1:9" x14ac:dyDescent="0.3">
      <c r="A21" s="33">
        <v>0.47499999999999998</v>
      </c>
      <c r="B21" s="33">
        <v>3.5655000000000001</v>
      </c>
      <c r="C21" s="34">
        <v>1.49243166226109E-2</v>
      </c>
      <c r="D21" s="35">
        <f t="shared" si="1"/>
        <v>14.924316622610901</v>
      </c>
      <c r="E21" s="36">
        <f t="shared" ref="E21:G21" si="21">D21</f>
        <v>14.924316622610901</v>
      </c>
      <c r="F21" s="36">
        <f t="shared" si="21"/>
        <v>14.924316622610901</v>
      </c>
      <c r="G21" s="36">
        <f t="shared" si="21"/>
        <v>14.924316622610901</v>
      </c>
      <c r="H21" s="30">
        <f t="shared" si="16"/>
        <v>0</v>
      </c>
      <c r="I21" s="9">
        <f t="shared" si="16"/>
        <v>0</v>
      </c>
    </row>
    <row r="22" spans="1:9" x14ac:dyDescent="0.3">
      <c r="A22" s="33">
        <v>0.5</v>
      </c>
      <c r="B22" s="33">
        <v>3.6040000000000001</v>
      </c>
      <c r="C22" s="34">
        <v>1.4831611773373599E-2</v>
      </c>
      <c r="D22" s="35">
        <f t="shared" si="1"/>
        <v>14.831611773373599</v>
      </c>
      <c r="E22" s="36">
        <f t="shared" ref="E22:G22" si="22">D22</f>
        <v>14.831611773373599</v>
      </c>
      <c r="F22" s="36">
        <f t="shared" si="22"/>
        <v>14.831611773373599</v>
      </c>
      <c r="G22" s="36">
        <f t="shared" si="22"/>
        <v>14.831611773373599</v>
      </c>
      <c r="H22" s="30">
        <f t="shared" si="16"/>
        <v>0</v>
      </c>
      <c r="I22" s="9">
        <f t="shared" si="16"/>
        <v>0</v>
      </c>
    </row>
    <row r="23" spans="1:9" x14ac:dyDescent="0.3">
      <c r="A23" s="33">
        <v>0.52500000000000002</v>
      </c>
      <c r="B23" s="33">
        <v>3.6389999999999998</v>
      </c>
      <c r="C23" s="34">
        <v>1.4752059053199399E-2</v>
      </c>
      <c r="D23" s="35">
        <f t="shared" si="1"/>
        <v>14.7520590531994</v>
      </c>
      <c r="E23" s="36">
        <f t="shared" ref="E23:G23" si="23">D23</f>
        <v>14.7520590531994</v>
      </c>
      <c r="F23" s="36">
        <f t="shared" si="23"/>
        <v>14.7520590531994</v>
      </c>
      <c r="G23" s="36">
        <f t="shared" si="23"/>
        <v>14.7520590531994</v>
      </c>
      <c r="H23" s="30">
        <f t="shared" ref="H23:I23" si="24">(H22-H21)+H22</f>
        <v>0</v>
      </c>
      <c r="I23" s="9">
        <f t="shared" si="24"/>
        <v>0</v>
      </c>
    </row>
    <row r="24" spans="1:9" x14ac:dyDescent="0.3">
      <c r="A24" s="33">
        <v>0.55000000000000004</v>
      </c>
      <c r="B24" s="33">
        <v>3.6739999999999999</v>
      </c>
      <c r="C24" s="34">
        <v>1.43801109774157E-2</v>
      </c>
      <c r="D24" s="35">
        <f t="shared" si="1"/>
        <v>14.380110977415701</v>
      </c>
      <c r="E24" s="36">
        <f t="shared" ref="E24:G24" si="25">D24</f>
        <v>14.380110977415701</v>
      </c>
      <c r="F24" s="36">
        <f t="shared" si="25"/>
        <v>14.380110977415701</v>
      </c>
      <c r="G24" s="36">
        <f t="shared" si="25"/>
        <v>14.380110977415701</v>
      </c>
      <c r="H24" s="30">
        <f t="shared" ref="H24:I24" si="26">(H23-H22)+H23</f>
        <v>0</v>
      </c>
      <c r="I24" s="9">
        <f t="shared" si="26"/>
        <v>0</v>
      </c>
    </row>
    <row r="25" spans="1:9" x14ac:dyDescent="0.3">
      <c r="A25" s="33">
        <v>0.57499999999999996</v>
      </c>
      <c r="B25" s="33">
        <v>3.7090000000000001</v>
      </c>
      <c r="C25" s="34">
        <v>1.4210432181498501E-2</v>
      </c>
      <c r="D25" s="35">
        <f t="shared" si="1"/>
        <v>14.210432181498501</v>
      </c>
      <c r="E25" s="36">
        <f t="shared" ref="E25:G25" si="27">D25</f>
        <v>14.210432181498501</v>
      </c>
      <c r="F25" s="36">
        <f t="shared" si="27"/>
        <v>14.210432181498501</v>
      </c>
      <c r="G25" s="36">
        <f t="shared" si="27"/>
        <v>14.210432181498501</v>
      </c>
      <c r="H25" s="30">
        <f t="shared" ref="H25:I25" si="28">(H24-H23)+H24</f>
        <v>0</v>
      </c>
      <c r="I25" s="9">
        <f t="shared" si="28"/>
        <v>0</v>
      </c>
    </row>
    <row r="26" spans="1:9" x14ac:dyDescent="0.3">
      <c r="A26" s="33">
        <v>0.6</v>
      </c>
      <c r="B26" s="33">
        <v>3.7440000000000002</v>
      </c>
      <c r="C26" s="34">
        <v>1.3777719062574601E-2</v>
      </c>
      <c r="D26" s="35">
        <f t="shared" si="1"/>
        <v>13.777719062574601</v>
      </c>
      <c r="E26" s="36">
        <f t="shared" ref="E26:G26" si="29">D26</f>
        <v>13.777719062574601</v>
      </c>
      <c r="F26" s="36">
        <f t="shared" si="29"/>
        <v>13.777719062574601</v>
      </c>
      <c r="G26" s="36">
        <f t="shared" si="29"/>
        <v>13.777719062574601</v>
      </c>
      <c r="H26" s="30">
        <f t="shared" ref="H26:I26" si="30">(H25-H24)+H25</f>
        <v>0</v>
      </c>
      <c r="I26" s="9">
        <f t="shared" si="30"/>
        <v>0</v>
      </c>
    </row>
    <row r="27" spans="1:9" x14ac:dyDescent="0.3">
      <c r="A27" s="33">
        <v>0.625</v>
      </c>
      <c r="B27" s="33">
        <v>3.7690000000000001</v>
      </c>
      <c r="C27" s="34">
        <v>1.38161149620396E-2</v>
      </c>
      <c r="D27" s="35">
        <f t="shared" si="1"/>
        <v>13.816114962039601</v>
      </c>
      <c r="E27" s="36">
        <f t="shared" ref="E27:G27" si="31">D27</f>
        <v>13.816114962039601</v>
      </c>
      <c r="F27" s="36">
        <f t="shared" si="31"/>
        <v>13.816114962039601</v>
      </c>
      <c r="G27" s="36">
        <f t="shared" si="31"/>
        <v>13.816114962039601</v>
      </c>
      <c r="H27" s="30">
        <f t="shared" ref="H27:I27" si="32">(H26-H25)+H26</f>
        <v>0</v>
      </c>
      <c r="I27" s="9">
        <f t="shared" si="32"/>
        <v>0</v>
      </c>
    </row>
    <row r="28" spans="1:9" x14ac:dyDescent="0.3">
      <c r="A28" s="33">
        <v>0.65</v>
      </c>
      <c r="B28" s="33">
        <v>3.794</v>
      </c>
      <c r="C28" s="34">
        <v>1.4046004600736199E-2</v>
      </c>
      <c r="D28" s="35">
        <f t="shared" si="1"/>
        <v>14.0460046007362</v>
      </c>
      <c r="E28" s="36">
        <f t="shared" ref="E28:G28" si="33">D28</f>
        <v>14.0460046007362</v>
      </c>
      <c r="F28" s="36">
        <f t="shared" si="33"/>
        <v>14.0460046007362</v>
      </c>
      <c r="G28" s="36">
        <f t="shared" si="33"/>
        <v>14.0460046007362</v>
      </c>
      <c r="H28" s="30">
        <f t="shared" ref="H28:I28" si="34">(H27-H26)+H27</f>
        <v>0</v>
      </c>
      <c r="I28" s="9">
        <f t="shared" si="34"/>
        <v>0</v>
      </c>
    </row>
    <row r="29" spans="1:9" x14ac:dyDescent="0.3">
      <c r="A29" s="33">
        <v>0.67500000000000004</v>
      </c>
      <c r="B29" s="33">
        <v>3.819</v>
      </c>
      <c r="C29" s="34">
        <v>1.42551358173239E-2</v>
      </c>
      <c r="D29" s="35">
        <f t="shared" si="1"/>
        <v>14.2551358173239</v>
      </c>
      <c r="E29" s="36">
        <f t="shared" ref="E29:G29" si="35">D29</f>
        <v>14.2551358173239</v>
      </c>
      <c r="F29" s="36">
        <f t="shared" si="35"/>
        <v>14.2551358173239</v>
      </c>
      <c r="G29" s="36">
        <f t="shared" si="35"/>
        <v>14.2551358173239</v>
      </c>
      <c r="H29" s="30">
        <f t="shared" ref="H29:I29" si="36">(H28-H27)+H28</f>
        <v>0</v>
      </c>
      <c r="I29" s="9">
        <f t="shared" si="36"/>
        <v>0</v>
      </c>
    </row>
    <row r="30" spans="1:9" x14ac:dyDescent="0.3">
      <c r="A30" s="33">
        <v>0.7</v>
      </c>
      <c r="B30" s="33">
        <v>3.8439999999999999</v>
      </c>
      <c r="C30" s="34">
        <v>1.4351911020587501E-2</v>
      </c>
      <c r="D30" s="35">
        <f t="shared" si="1"/>
        <v>14.351911020587501</v>
      </c>
      <c r="E30" s="36">
        <f t="shared" ref="E30:G30" si="37">D30</f>
        <v>14.351911020587501</v>
      </c>
      <c r="F30" s="36">
        <f t="shared" si="37"/>
        <v>14.351911020587501</v>
      </c>
      <c r="G30" s="36">
        <f t="shared" si="37"/>
        <v>14.351911020587501</v>
      </c>
      <c r="H30" s="30">
        <f t="shared" ref="H30:I30" si="38">(H29-H28)+H29</f>
        <v>0</v>
      </c>
      <c r="I30" s="9">
        <f t="shared" si="38"/>
        <v>0</v>
      </c>
    </row>
    <row r="31" spans="1:9" x14ac:dyDescent="0.3">
      <c r="A31" s="33">
        <v>0.72499999999999998</v>
      </c>
      <c r="B31" s="33">
        <v>3.8885000000000001</v>
      </c>
      <c r="C31" s="34">
        <v>1.43989937267877E-2</v>
      </c>
      <c r="D31" s="35">
        <f t="shared" si="1"/>
        <v>14.398993726787699</v>
      </c>
      <c r="E31" s="36">
        <f t="shared" ref="E31:G31" si="39">D31</f>
        <v>14.398993726787699</v>
      </c>
      <c r="F31" s="36">
        <f t="shared" si="39"/>
        <v>14.398993726787699</v>
      </c>
      <c r="G31" s="36">
        <f t="shared" si="39"/>
        <v>14.398993726787699</v>
      </c>
      <c r="H31" s="30">
        <f t="shared" ref="H31:I31" si="40">(H30-H29)+H30</f>
        <v>0</v>
      </c>
      <c r="I31" s="9">
        <f t="shared" si="40"/>
        <v>0</v>
      </c>
    </row>
    <row r="32" spans="1:9" x14ac:dyDescent="0.3">
      <c r="A32" s="33">
        <v>0.75</v>
      </c>
      <c r="B32" s="33">
        <v>3.9329999999999998</v>
      </c>
      <c r="C32" s="34">
        <v>1.4663075357152999E-2</v>
      </c>
      <c r="D32" s="35">
        <f t="shared" si="1"/>
        <v>14.663075357153</v>
      </c>
      <c r="E32" s="36">
        <f t="shared" ref="E32:G32" si="41">D32</f>
        <v>14.663075357153</v>
      </c>
      <c r="F32" s="36">
        <f t="shared" si="41"/>
        <v>14.663075357153</v>
      </c>
      <c r="G32" s="36">
        <f t="shared" si="41"/>
        <v>14.663075357153</v>
      </c>
      <c r="H32" s="30">
        <f t="shared" ref="H32:I32" si="42">(H31-H30)+H31</f>
        <v>0</v>
      </c>
      <c r="I32" s="9">
        <f t="shared" si="42"/>
        <v>0</v>
      </c>
    </row>
    <row r="33" spans="1:9" x14ac:dyDescent="0.3">
      <c r="A33" s="33">
        <v>0.77500000000000002</v>
      </c>
      <c r="B33" s="33">
        <v>3.9729999999999999</v>
      </c>
      <c r="C33" s="34">
        <v>1.4981840341248699E-2</v>
      </c>
      <c r="D33" s="35">
        <f t="shared" si="1"/>
        <v>14.981840341248699</v>
      </c>
      <c r="E33" s="36">
        <f t="shared" ref="E33:G33" si="43">D33</f>
        <v>14.981840341248699</v>
      </c>
      <c r="F33" s="36">
        <f t="shared" si="43"/>
        <v>14.981840341248699</v>
      </c>
      <c r="G33" s="36">
        <f t="shared" si="43"/>
        <v>14.981840341248699</v>
      </c>
      <c r="H33" s="30">
        <f t="shared" ref="H33:I33" si="44">(H32-H31)+H32</f>
        <v>0</v>
      </c>
      <c r="I33" s="9">
        <f t="shared" si="44"/>
        <v>0</v>
      </c>
    </row>
    <row r="34" spans="1:9" x14ac:dyDescent="0.3">
      <c r="A34" s="33">
        <v>0.8</v>
      </c>
      <c r="B34" s="33">
        <v>4.0129999999999999</v>
      </c>
      <c r="C34" s="34">
        <v>1.4963017720403E-2</v>
      </c>
      <c r="D34" s="35">
        <f t="shared" si="1"/>
        <v>14.963017720403</v>
      </c>
      <c r="E34" s="36">
        <f t="shared" ref="E34:G34" si="45">D34</f>
        <v>14.963017720403</v>
      </c>
      <c r="F34" s="36">
        <f t="shared" si="45"/>
        <v>14.963017720403</v>
      </c>
      <c r="G34" s="36">
        <f t="shared" si="45"/>
        <v>14.963017720403</v>
      </c>
      <c r="H34" s="30">
        <f t="shared" ref="H34:I34" si="46">(H33-H32)+H33</f>
        <v>0</v>
      </c>
      <c r="I34" s="9">
        <f t="shared" si="46"/>
        <v>0</v>
      </c>
    </row>
    <row r="35" spans="1:9" x14ac:dyDescent="0.3">
      <c r="A35" s="33">
        <v>0.82499999999999996</v>
      </c>
      <c r="B35" s="33">
        <v>4.0225</v>
      </c>
      <c r="C35" s="34">
        <v>1.4880479282864401E-2</v>
      </c>
      <c r="D35" s="35">
        <f t="shared" si="1"/>
        <v>14.8804792828644</v>
      </c>
      <c r="E35" s="36">
        <f t="shared" ref="E35:G35" si="47">D35</f>
        <v>14.8804792828644</v>
      </c>
      <c r="F35" s="36">
        <f t="shared" si="47"/>
        <v>14.8804792828644</v>
      </c>
      <c r="G35" s="36">
        <f t="shared" si="47"/>
        <v>14.8804792828644</v>
      </c>
      <c r="H35" s="30">
        <f t="shared" ref="H35:I35" si="48">(H34-H33)+H34</f>
        <v>0</v>
      </c>
      <c r="I35" s="9">
        <f t="shared" si="48"/>
        <v>0</v>
      </c>
    </row>
    <row r="36" spans="1:9" x14ac:dyDescent="0.3">
      <c r="A36" s="33">
        <v>0.85</v>
      </c>
      <c r="B36" s="33">
        <v>4.032</v>
      </c>
      <c r="C36" s="34">
        <v>1.4933240482456899E-2</v>
      </c>
      <c r="D36" s="35">
        <f t="shared" si="1"/>
        <v>14.933240482456899</v>
      </c>
      <c r="E36" s="36">
        <f t="shared" ref="E36:G36" si="49">D36</f>
        <v>14.933240482456899</v>
      </c>
      <c r="F36" s="36">
        <f t="shared" si="49"/>
        <v>14.933240482456899</v>
      </c>
      <c r="G36" s="36">
        <f t="shared" si="49"/>
        <v>14.933240482456899</v>
      </c>
      <c r="H36" s="30">
        <f t="shared" ref="H36:I36" si="50">(H35-H34)+H35</f>
        <v>0</v>
      </c>
      <c r="I36" s="9">
        <f t="shared" si="50"/>
        <v>0</v>
      </c>
    </row>
    <row r="37" spans="1:9" x14ac:dyDescent="0.3">
      <c r="A37" s="33">
        <v>0.875</v>
      </c>
      <c r="B37" s="33">
        <v>4.0519999999999996</v>
      </c>
      <c r="C37" s="34">
        <v>1.50391691863374E-2</v>
      </c>
      <c r="D37" s="35">
        <f t="shared" si="1"/>
        <v>15.0391691863374</v>
      </c>
      <c r="E37" s="36">
        <f t="shared" ref="E37:G37" si="51">D37</f>
        <v>15.0391691863374</v>
      </c>
      <c r="F37" s="36">
        <f t="shared" si="51"/>
        <v>15.0391691863374</v>
      </c>
      <c r="G37" s="36">
        <f t="shared" si="51"/>
        <v>15.0391691863374</v>
      </c>
      <c r="H37" s="30">
        <f t="shared" ref="H37:I37" si="52">(H36-H35)+H36</f>
        <v>0</v>
      </c>
      <c r="I37" s="9">
        <f t="shared" si="52"/>
        <v>0</v>
      </c>
    </row>
    <row r="38" spans="1:9" x14ac:dyDescent="0.3">
      <c r="A38" s="33">
        <v>0.9</v>
      </c>
      <c r="B38" s="33">
        <v>4.0720000000000001</v>
      </c>
      <c r="C38" s="34">
        <v>1.5075466965541099E-2</v>
      </c>
      <c r="D38" s="35">
        <f t="shared" si="1"/>
        <v>15.0754669655411</v>
      </c>
      <c r="E38" s="36">
        <f t="shared" ref="E38:G38" si="53">D38</f>
        <v>15.0754669655411</v>
      </c>
      <c r="F38" s="36">
        <f t="shared" si="53"/>
        <v>15.0754669655411</v>
      </c>
      <c r="G38" s="36">
        <f t="shared" si="53"/>
        <v>15.0754669655411</v>
      </c>
      <c r="H38" s="30">
        <f t="shared" ref="H38:I38" si="54">(H37-H36)+H37</f>
        <v>0</v>
      </c>
      <c r="I38" s="9">
        <f t="shared" si="54"/>
        <v>0</v>
      </c>
    </row>
    <row r="39" spans="1:9" x14ac:dyDescent="0.3">
      <c r="A39" s="33">
        <v>0.92500000000000004</v>
      </c>
      <c r="B39" s="33">
        <v>4.0765000000000002</v>
      </c>
      <c r="C39" s="34">
        <v>1.4984864963972199E-2</v>
      </c>
      <c r="D39" s="35">
        <f t="shared" si="1"/>
        <v>14.9848649639722</v>
      </c>
      <c r="E39" s="36">
        <f t="shared" ref="E39:G39" si="55">D39</f>
        <v>14.9848649639722</v>
      </c>
      <c r="F39" s="36">
        <f t="shared" si="55"/>
        <v>14.9848649639722</v>
      </c>
      <c r="G39" s="36">
        <f t="shared" si="55"/>
        <v>14.9848649639722</v>
      </c>
      <c r="H39" s="30">
        <f t="shared" ref="H39:I39" si="56">(H38-H37)+H38</f>
        <v>0</v>
      </c>
      <c r="I39" s="9">
        <f t="shared" si="56"/>
        <v>0</v>
      </c>
    </row>
    <row r="40" spans="1:9" x14ac:dyDescent="0.3">
      <c r="A40" s="33">
        <v>0.95</v>
      </c>
      <c r="B40" s="33">
        <v>4.0810000000000004</v>
      </c>
      <c r="C40" s="34">
        <v>1.46682332934803E-2</v>
      </c>
      <c r="D40" s="35">
        <f t="shared" si="1"/>
        <v>14.6682332934803</v>
      </c>
      <c r="E40" s="36">
        <f t="shared" ref="E40:G40" si="57">D40</f>
        <v>14.6682332934803</v>
      </c>
      <c r="F40" s="36">
        <f t="shared" si="57"/>
        <v>14.6682332934803</v>
      </c>
      <c r="G40" s="36">
        <f t="shared" si="57"/>
        <v>14.6682332934803</v>
      </c>
      <c r="H40" s="30">
        <f t="shared" ref="H40:I40" si="58">(H39-H38)+H39</f>
        <v>0</v>
      </c>
      <c r="I40" s="9">
        <f t="shared" si="58"/>
        <v>0</v>
      </c>
    </row>
    <row r="41" spans="1:9" x14ac:dyDescent="0.3">
      <c r="A41" s="33">
        <v>0.97499999999999998</v>
      </c>
      <c r="B41" s="33">
        <v>4.1189999999999998</v>
      </c>
      <c r="C41" s="34">
        <v>1.3902904365398599E-2</v>
      </c>
      <c r="D41" s="35">
        <f t="shared" si="1"/>
        <v>13.9029043653986</v>
      </c>
      <c r="E41" s="36">
        <f t="shared" ref="E41:G41" si="59">D41</f>
        <v>13.9029043653986</v>
      </c>
      <c r="F41" s="36">
        <f t="shared" si="59"/>
        <v>13.9029043653986</v>
      </c>
      <c r="G41" s="36">
        <f t="shared" si="59"/>
        <v>13.9029043653986</v>
      </c>
      <c r="H41" s="30">
        <f t="shared" ref="H41:I41" si="60">(H40-H39)+H40</f>
        <v>0</v>
      </c>
      <c r="I41" s="9">
        <f t="shared" si="60"/>
        <v>0</v>
      </c>
    </row>
    <row r="42" spans="1:9" x14ac:dyDescent="0.3">
      <c r="A42" s="33">
        <v>1</v>
      </c>
      <c r="B42" s="33">
        <v>4.157</v>
      </c>
      <c r="C42" s="34">
        <v>1.3547904990290099E-2</v>
      </c>
      <c r="D42" s="35">
        <f t="shared" si="1"/>
        <v>13.5479049902901</v>
      </c>
      <c r="E42" s="36">
        <f t="shared" ref="E42:G42" si="61">D42</f>
        <v>13.5479049902901</v>
      </c>
      <c r="F42" s="36">
        <f t="shared" si="61"/>
        <v>13.5479049902901</v>
      </c>
      <c r="G42" s="36">
        <f t="shared" si="61"/>
        <v>13.5479049902901</v>
      </c>
      <c r="H42" s="30">
        <f t="shared" ref="H42:I42" si="62">(H41-H40)+H41</f>
        <v>0</v>
      </c>
      <c r="I42" s="9">
        <f t="shared" si="62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/>
  </sheetViews>
  <sheetFormatPr defaultRowHeight="14.4" x14ac:dyDescent="0.3"/>
  <cols>
    <col min="1" max="1" width="15.109375" style="17" bestFit="1" customWidth="1"/>
    <col min="2" max="3" width="13.5546875" style="18" bestFit="1" customWidth="1"/>
    <col min="4" max="4" width="10" style="19" bestFit="1" customWidth="1"/>
    <col min="5" max="5" width="30.44140625" style="20" bestFit="1" customWidth="1"/>
  </cols>
  <sheetData>
    <row r="1" spans="1:5" ht="20.399999999999999" customHeight="1" x14ac:dyDescent="0.3">
      <c r="A1" s="4" t="s">
        <v>15</v>
      </c>
      <c r="B1" s="5" t="s">
        <v>16</v>
      </c>
      <c r="C1" s="5" t="s">
        <v>17</v>
      </c>
      <c r="D1" s="15" t="s">
        <v>18</v>
      </c>
      <c r="E1" s="1" t="s">
        <v>19</v>
      </c>
    </row>
    <row r="2" spans="1:5" ht="20.399999999999999" customHeight="1" x14ac:dyDescent="0.3">
      <c r="A2" s="10" t="str">
        <f t="shared" ref="A2:A17" si="0">_xlfn.CONCAT("grp",TEXT(B2,"#"),"_to_mot",TEXT(C2,"#"))</f>
        <v>grp1_to_mot1</v>
      </c>
      <c r="B2" s="2">
        <v>1</v>
      </c>
      <c r="C2" s="2">
        <v>1</v>
      </c>
      <c r="D2" s="8">
        <f t="shared" ref="D2:D17" si="1">1260/16/3.281</f>
        <v>24.001828710758915</v>
      </c>
      <c r="E2" s="16">
        <f t="shared" ref="E2:E17" si="2">0.053*3.281</f>
        <v>0.17389299999999999</v>
      </c>
    </row>
    <row r="3" spans="1:5" ht="20.399999999999999" customHeight="1" x14ac:dyDescent="0.3">
      <c r="A3" s="10" t="str">
        <f t="shared" si="0"/>
        <v>grp1_to_mot2</v>
      </c>
      <c r="B3" s="2">
        <v>1</v>
      </c>
      <c r="C3" s="2">
        <v>2</v>
      </c>
      <c r="D3" s="8">
        <f t="shared" si="1"/>
        <v>24.001828710758915</v>
      </c>
      <c r="E3" s="16">
        <f t="shared" si="2"/>
        <v>0.17389299999999999</v>
      </c>
    </row>
    <row r="4" spans="1:5" ht="20.399999999999999" customHeight="1" x14ac:dyDescent="0.3">
      <c r="A4" s="10" t="str">
        <f t="shared" si="0"/>
        <v>grp1_to_mot3</v>
      </c>
      <c r="B4" s="2">
        <v>1</v>
      </c>
      <c r="C4" s="2">
        <v>3</v>
      </c>
      <c r="D4" s="8">
        <f t="shared" si="1"/>
        <v>24.001828710758915</v>
      </c>
      <c r="E4" s="16">
        <f t="shared" si="2"/>
        <v>0.17389299999999999</v>
      </c>
    </row>
    <row r="5" spans="1:5" ht="20.399999999999999" customHeight="1" x14ac:dyDescent="0.3">
      <c r="A5" s="10" t="str">
        <f t="shared" si="0"/>
        <v>grp1_to_mot4</v>
      </c>
      <c r="B5" s="2">
        <v>1</v>
      </c>
      <c r="C5" s="2">
        <v>4</v>
      </c>
      <c r="D5" s="8">
        <f t="shared" si="1"/>
        <v>24.001828710758915</v>
      </c>
      <c r="E5" s="16">
        <f t="shared" si="2"/>
        <v>0.17389299999999999</v>
      </c>
    </row>
    <row r="6" spans="1:5" ht="20.399999999999999" customHeight="1" x14ac:dyDescent="0.3">
      <c r="A6" s="10" t="str">
        <f t="shared" si="0"/>
        <v>grp2_to_mot1</v>
      </c>
      <c r="B6" s="2">
        <v>2</v>
      </c>
      <c r="C6" s="2">
        <v>1</v>
      </c>
      <c r="D6" s="8">
        <f t="shared" si="1"/>
        <v>24.001828710758915</v>
      </c>
      <c r="E6" s="16">
        <f t="shared" si="2"/>
        <v>0.17389299999999999</v>
      </c>
    </row>
    <row r="7" spans="1:5" ht="20.399999999999999" customHeight="1" x14ac:dyDescent="0.3">
      <c r="A7" s="10" t="str">
        <f t="shared" si="0"/>
        <v>grp2_to_mot2</v>
      </c>
      <c r="B7" s="2">
        <v>2</v>
      </c>
      <c r="C7" s="2">
        <v>2</v>
      </c>
      <c r="D7" s="8">
        <f t="shared" si="1"/>
        <v>24.001828710758915</v>
      </c>
      <c r="E7" s="16">
        <f t="shared" si="2"/>
        <v>0.17389299999999999</v>
      </c>
    </row>
    <row r="8" spans="1:5" ht="20.399999999999999" customHeight="1" x14ac:dyDescent="0.3">
      <c r="A8" s="10" t="str">
        <f t="shared" si="0"/>
        <v>grp2_to_mot3</v>
      </c>
      <c r="B8" s="2">
        <v>2</v>
      </c>
      <c r="C8" s="2">
        <v>3</v>
      </c>
      <c r="D8" s="8">
        <f t="shared" si="1"/>
        <v>24.001828710758915</v>
      </c>
      <c r="E8" s="16">
        <f t="shared" si="2"/>
        <v>0.17389299999999999</v>
      </c>
    </row>
    <row r="9" spans="1:5" ht="20.399999999999999" customHeight="1" x14ac:dyDescent="0.3">
      <c r="A9" s="10" t="str">
        <f t="shared" si="0"/>
        <v>grp2_to_mot4</v>
      </c>
      <c r="B9" s="2">
        <v>2</v>
      </c>
      <c r="C9" s="2">
        <v>4</v>
      </c>
      <c r="D9" s="8">
        <f t="shared" si="1"/>
        <v>24.001828710758915</v>
      </c>
      <c r="E9" s="16">
        <f t="shared" si="2"/>
        <v>0.17389299999999999</v>
      </c>
    </row>
    <row r="10" spans="1:5" ht="20.399999999999999" customHeight="1" x14ac:dyDescent="0.3">
      <c r="A10" s="10" t="str">
        <f t="shared" si="0"/>
        <v>grp3_to_mot1</v>
      </c>
      <c r="B10" s="2">
        <v>3</v>
      </c>
      <c r="C10" s="2">
        <v>1</v>
      </c>
      <c r="D10" s="8">
        <f t="shared" si="1"/>
        <v>24.001828710758915</v>
      </c>
      <c r="E10" s="16">
        <f t="shared" si="2"/>
        <v>0.17389299999999999</v>
      </c>
    </row>
    <row r="11" spans="1:5" ht="20.399999999999999" customHeight="1" x14ac:dyDescent="0.3">
      <c r="A11" s="10" t="str">
        <f t="shared" si="0"/>
        <v>grp3_to_mot2</v>
      </c>
      <c r="B11" s="2">
        <v>3</v>
      </c>
      <c r="C11" s="2">
        <v>2</v>
      </c>
      <c r="D11" s="8">
        <f t="shared" si="1"/>
        <v>24.001828710758915</v>
      </c>
      <c r="E11" s="16">
        <f t="shared" si="2"/>
        <v>0.17389299999999999</v>
      </c>
    </row>
    <row r="12" spans="1:5" ht="20.399999999999999" customHeight="1" x14ac:dyDescent="0.3">
      <c r="A12" s="10" t="str">
        <f t="shared" si="0"/>
        <v>grp3_to_mot3</v>
      </c>
      <c r="B12" s="2">
        <v>3</v>
      </c>
      <c r="C12" s="2">
        <v>3</v>
      </c>
      <c r="D12" s="8">
        <f t="shared" si="1"/>
        <v>24.001828710758915</v>
      </c>
      <c r="E12" s="16">
        <f t="shared" si="2"/>
        <v>0.17389299999999999</v>
      </c>
    </row>
    <row r="13" spans="1:5" ht="20.399999999999999" customHeight="1" x14ac:dyDescent="0.3">
      <c r="A13" s="10" t="str">
        <f t="shared" si="0"/>
        <v>grp3_to_mot4</v>
      </c>
      <c r="B13" s="2">
        <v>3</v>
      </c>
      <c r="C13" s="2">
        <v>4</v>
      </c>
      <c r="D13" s="8">
        <f t="shared" si="1"/>
        <v>24.001828710758915</v>
      </c>
      <c r="E13" s="16">
        <f t="shared" si="2"/>
        <v>0.17389299999999999</v>
      </c>
    </row>
    <row r="14" spans="1:5" ht="20.399999999999999" customHeight="1" x14ac:dyDescent="0.3">
      <c r="A14" s="10" t="str">
        <f t="shared" si="0"/>
        <v>grp4_to_mot1</v>
      </c>
      <c r="B14" s="2">
        <v>4</v>
      </c>
      <c r="C14" s="2">
        <v>1</v>
      </c>
      <c r="D14" s="8">
        <f t="shared" si="1"/>
        <v>24.001828710758915</v>
      </c>
      <c r="E14" s="16">
        <f t="shared" si="2"/>
        <v>0.17389299999999999</v>
      </c>
    </row>
    <row r="15" spans="1:5" ht="20.399999999999999" customHeight="1" x14ac:dyDescent="0.3">
      <c r="A15" s="10" t="str">
        <f t="shared" si="0"/>
        <v>grp4_to_mot2</v>
      </c>
      <c r="B15" s="2">
        <v>4</v>
      </c>
      <c r="C15" s="2">
        <v>2</v>
      </c>
      <c r="D15" s="8">
        <f t="shared" si="1"/>
        <v>24.001828710758915</v>
      </c>
      <c r="E15" s="16">
        <f t="shared" si="2"/>
        <v>0.17389299999999999</v>
      </c>
    </row>
    <row r="16" spans="1:5" ht="20.399999999999999" customHeight="1" x14ac:dyDescent="0.3">
      <c r="A16" s="10" t="str">
        <f t="shared" si="0"/>
        <v>grp4_to_mot3</v>
      </c>
      <c r="B16" s="2">
        <v>4</v>
      </c>
      <c r="C16" s="2">
        <v>3</v>
      </c>
      <c r="D16" s="8">
        <f t="shared" si="1"/>
        <v>24.001828710758915</v>
      </c>
      <c r="E16" s="16">
        <f t="shared" si="2"/>
        <v>0.17389299999999999</v>
      </c>
    </row>
    <row r="17" spans="1:5" ht="20.399999999999999" customHeight="1" x14ac:dyDescent="0.3">
      <c r="A17" s="10" t="str">
        <f t="shared" si="0"/>
        <v>grp4_to_mot4</v>
      </c>
      <c r="B17" s="2">
        <v>4</v>
      </c>
      <c r="C17" s="2">
        <v>4</v>
      </c>
      <c r="D17" s="8">
        <f t="shared" si="1"/>
        <v>24.001828710758915</v>
      </c>
      <c r="E17" s="16">
        <f t="shared" si="2"/>
        <v>0.17389299999999999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battery_config</vt:lpstr>
      <vt:lpstr>BOL_cell_fct_CRate</vt:lpstr>
      <vt:lpstr>cables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 St. Michel</cp:lastModifiedBy>
  <dcterms:created xsi:type="dcterms:W3CDTF">2025-05-08T19:48:10Z</dcterms:created>
  <dcterms:modified xsi:type="dcterms:W3CDTF">2025-09-09T15:02:15Z</dcterms:modified>
</cp:coreProperties>
</file>