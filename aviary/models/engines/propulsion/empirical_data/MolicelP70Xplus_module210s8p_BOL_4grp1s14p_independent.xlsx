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lucstmich\repos\aircraft_performance\models\apolo\PerfData\battery\"/>
    </mc:Choice>
  </mc:AlternateContent>
  <xr:revisionPtr revIDLastSave="0" documentId="13_ncr:1_{A28767B9-5A8E-458A-9A77-C4BE84615FC3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battery_config" sheetId="1" r:id="rId1"/>
    <sheet name="BOL_cell_fct_CRate" sheetId="2" r:id="rId2"/>
    <sheet name="DCIR_P70X" sheetId="4" r:id="rId3"/>
    <sheet name="cable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D3" i="1"/>
  <c r="D2" i="1"/>
  <c r="D2" i="2"/>
  <c r="E2" i="2"/>
  <c r="F2" i="2"/>
  <c r="G2" i="2"/>
  <c r="D3" i="2"/>
  <c r="E3" i="2"/>
  <c r="F3" i="2"/>
  <c r="G3" i="2"/>
  <c r="D4" i="2"/>
  <c r="E4" i="2"/>
  <c r="F4" i="2"/>
  <c r="G4" i="2"/>
  <c r="D5" i="2"/>
  <c r="E5" i="2"/>
  <c r="F5" i="2"/>
  <c r="G5" i="2"/>
  <c r="D6" i="2"/>
  <c r="E6" i="2"/>
  <c r="F6" i="2"/>
  <c r="G6" i="2"/>
  <c r="D7" i="2"/>
  <c r="E7" i="2"/>
  <c r="F7" i="2"/>
  <c r="G7" i="2"/>
  <c r="D8" i="2"/>
  <c r="E8" i="2"/>
  <c r="F8" i="2"/>
  <c r="G8" i="2"/>
  <c r="D9" i="2"/>
  <c r="E9" i="2"/>
  <c r="F9" i="2"/>
  <c r="G9" i="2"/>
  <c r="D10" i="2"/>
  <c r="E10" i="2"/>
  <c r="F10" i="2"/>
  <c r="G10" i="2"/>
  <c r="D11" i="2"/>
  <c r="E11" i="2"/>
  <c r="F11" i="2"/>
  <c r="G11" i="2"/>
  <c r="D12" i="2"/>
  <c r="E12" i="2"/>
  <c r="F12" i="2"/>
  <c r="G12" i="2"/>
  <c r="D13" i="2"/>
  <c r="E13" i="2"/>
  <c r="F13" i="2"/>
  <c r="G13" i="2"/>
  <c r="D14" i="2"/>
  <c r="E14" i="2"/>
  <c r="F14" i="2"/>
  <c r="G14" i="2"/>
  <c r="D15" i="2"/>
  <c r="E15" i="2"/>
  <c r="F15" i="2"/>
  <c r="G15" i="2"/>
  <c r="D16" i="2"/>
  <c r="E16" i="2"/>
  <c r="F16" i="2"/>
  <c r="G16" i="2"/>
  <c r="D17" i="2"/>
  <c r="E17" i="2"/>
  <c r="F17" i="2"/>
  <c r="G17" i="2"/>
  <c r="D18" i="2"/>
  <c r="E18" i="2"/>
  <c r="F18" i="2"/>
  <c r="G18" i="2"/>
  <c r="D19" i="2"/>
  <c r="E19" i="2"/>
  <c r="F19" i="2"/>
  <c r="G19" i="2"/>
  <c r="D20" i="2"/>
  <c r="E20" i="2"/>
  <c r="F20" i="2"/>
  <c r="G20" i="2"/>
  <c r="D21" i="2"/>
  <c r="E21" i="2"/>
  <c r="F21" i="2"/>
  <c r="G21" i="2"/>
  <c r="D22" i="2"/>
  <c r="E22" i="2"/>
  <c r="F22" i="2"/>
  <c r="G2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" i="2"/>
  <c r="I16" i="2"/>
  <c r="I17" i="2" s="1"/>
  <c r="I18" i="2" s="1"/>
  <c r="I19" i="2" s="1"/>
  <c r="I20" i="2" s="1"/>
  <c r="I21" i="2" s="1"/>
  <c r="I22" i="2" s="1"/>
  <c r="H16" i="2"/>
  <c r="H17" i="2" s="1"/>
  <c r="H18" i="2" s="1"/>
  <c r="H19" i="2" s="1"/>
  <c r="H20" i="2" s="1"/>
  <c r="H21" i="2" s="1"/>
  <c r="H22" i="2" s="1"/>
  <c r="J6" i="2"/>
  <c r="J5" i="2"/>
  <c r="J4" i="2"/>
  <c r="K3" i="2"/>
  <c r="K6" i="2" s="1"/>
  <c r="J3" i="2"/>
  <c r="K4" i="2" l="1"/>
  <c r="K5" i="2"/>
  <c r="E17" i="3"/>
  <c r="D17" i="3"/>
  <c r="A17" i="3"/>
  <c r="E16" i="3"/>
  <c r="D16" i="3"/>
  <c r="A16" i="3"/>
  <c r="E15" i="3"/>
  <c r="D15" i="3"/>
  <c r="A15" i="3"/>
  <c r="E14" i="3"/>
  <c r="D14" i="3"/>
  <c r="A14" i="3"/>
  <c r="E13" i="3"/>
  <c r="D13" i="3"/>
  <c r="A13" i="3"/>
  <c r="E12" i="3"/>
  <c r="D12" i="3"/>
  <c r="A12" i="3"/>
  <c r="E11" i="3"/>
  <c r="D11" i="3"/>
  <c r="A11" i="3"/>
  <c r="E10" i="3"/>
  <c r="D10" i="3"/>
  <c r="A10" i="3"/>
  <c r="E9" i="3"/>
  <c r="D9" i="3"/>
  <c r="A9" i="3"/>
  <c r="E8" i="3"/>
  <c r="D8" i="3"/>
  <c r="A8" i="3"/>
  <c r="E7" i="3"/>
  <c r="D7" i="3"/>
  <c r="A7" i="3"/>
  <c r="E6" i="3"/>
  <c r="D6" i="3"/>
  <c r="A6" i="3"/>
  <c r="E5" i="3"/>
  <c r="D5" i="3"/>
  <c r="A5" i="3"/>
  <c r="E4" i="3"/>
  <c r="D4" i="3"/>
  <c r="A4" i="3"/>
  <c r="E3" i="3"/>
  <c r="D3" i="3"/>
  <c r="A3" i="3"/>
  <c r="E2" i="3"/>
  <c r="D2" i="3"/>
  <c r="A2" i="3"/>
</calcChain>
</file>

<file path=xl/sharedStrings.xml><?xml version="1.0" encoding="utf-8"?>
<sst xmlns="http://schemas.openxmlformats.org/spreadsheetml/2006/main" count="39" uniqueCount="28">
  <si>
    <t>SOC</t>
  </si>
  <si>
    <t>OCV</t>
  </si>
  <si>
    <t>IR1</t>
  </si>
  <si>
    <t>C1</t>
  </si>
  <si>
    <t>Crate_col</t>
  </si>
  <si>
    <t>Crate_value</t>
  </si>
  <si>
    <t>capacity_Ah</t>
  </si>
  <si>
    <t>mass_cell</t>
  </si>
  <si>
    <t>Cp_cell</t>
  </si>
  <si>
    <t>min_temp</t>
  </si>
  <si>
    <t>max_temp</t>
  </si>
  <si>
    <t>IR_0C</t>
  </si>
  <si>
    <t>IR_1C</t>
  </si>
  <si>
    <t>index</t>
  </si>
  <si>
    <t>groupID</t>
  </si>
  <si>
    <t>MotorID</t>
  </si>
  <si>
    <t>length_m</t>
  </si>
  <si>
    <t>ResistanceCable_mOhm_per_m</t>
  </si>
  <si>
    <t>Group</t>
  </si>
  <si>
    <t>motor_id</t>
  </si>
  <si>
    <t>nseries</t>
  </si>
  <si>
    <t>nparallels</t>
  </si>
  <si>
    <t>cell_sheet</t>
  </si>
  <si>
    <t>BOL_cell_fct_CRate</t>
  </si>
  <si>
    <t>IR_3C</t>
  </si>
  <si>
    <t>IR_5C</t>
  </si>
  <si>
    <t>IR_10C</t>
  </si>
  <si>
    <t>CRate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</si>
</sst>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" fontId="1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4" fontId="0" fillId="0" borderId="0" xfId="0" applyNumberFormat="1"/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0" fillId="0" borderId="0" xfId="0" applyNumberFormat="1"/>
    <xf numFmtId="4" fontId="0" fillId="0" borderId="0" xfId="0" applyNumberFormat="1" applyAlignment="1">
      <alignment horizontal="right"/>
    </xf>
    <xf numFmtId="164" fontId="1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right"/>
    </xf>
    <xf numFmtId="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165" fontId="0" fillId="0" borderId="2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863600</xdr:colOff>
      <xdr:row>23</xdr:row>
      <xdr:rowOff>40640</xdr:rowOff>
    </xdr:from>
    <xdr:ext cx="4568558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35B7A63-C1B4-DF71-86DB-802A335B644A}"/>
            </a:ext>
          </a:extLst>
        </xdr:cNvPr>
        <xdr:cNvSpPr txBox="1"/>
      </xdr:nvSpPr>
      <xdr:spPr>
        <a:xfrm>
          <a:off x="863600" y="4276090"/>
          <a:ext cx="4568558" cy="264560"/>
        </a:xfrm>
        <a:prstGeom prst="rect">
          <a:avLst/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CA" sz="1100">
              <a:solidFill>
                <a:srgbClr val="FF0000"/>
              </a:solidFill>
            </a:rPr>
            <a:t>DICR was</a:t>
          </a:r>
          <a:r>
            <a:rPr lang="en-CA" sz="1100" baseline="0">
              <a:solidFill>
                <a:srgbClr val="FF0000"/>
              </a:solidFill>
            </a:rPr>
            <a:t> increases by a factor of 7.4/7.0 to cater for the increase in capacity.</a:t>
          </a:r>
          <a:endParaRPr lang="en-CA" sz="1100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5"/>
  <sheetViews>
    <sheetView tabSelected="1" workbookViewId="0">
      <selection activeCell="D2" sqref="D2:D5"/>
    </sheetView>
  </sheetViews>
  <sheetFormatPr defaultRowHeight="14.4" x14ac:dyDescent="0.3"/>
  <cols>
    <col min="1" max="1" width="13.5546875" style="13" bestFit="1" customWidth="1"/>
    <col min="2" max="2" width="13.5546875" style="12" bestFit="1" customWidth="1"/>
    <col min="3" max="4" width="13.5546875" style="13" bestFit="1" customWidth="1"/>
    <col min="5" max="5" width="18.88671875" style="12" bestFit="1" customWidth="1"/>
  </cols>
  <sheetData>
    <row r="1" spans="1:5" ht="18.75" customHeight="1" x14ac:dyDescent="0.3">
      <c r="A1" s="17" t="s">
        <v>18</v>
      </c>
      <c r="B1" s="18" t="s">
        <v>19</v>
      </c>
      <c r="C1" s="17" t="s">
        <v>20</v>
      </c>
      <c r="D1" s="17" t="s">
        <v>21</v>
      </c>
      <c r="E1" s="18" t="s">
        <v>22</v>
      </c>
    </row>
    <row r="2" spans="1:5" ht="18.75" customHeight="1" x14ac:dyDescent="0.3">
      <c r="A2" s="19">
        <v>1</v>
      </c>
      <c r="B2" s="20">
        <v>1</v>
      </c>
      <c r="C2" s="19">
        <v>210</v>
      </c>
      <c r="D2" s="19">
        <f>8*14</f>
        <v>112</v>
      </c>
      <c r="E2" s="20" t="s">
        <v>23</v>
      </c>
    </row>
    <row r="3" spans="1:5" x14ac:dyDescent="0.3">
      <c r="A3" s="19">
        <v>2</v>
      </c>
      <c r="B3" s="20">
        <v>2</v>
      </c>
      <c r="C3" s="19">
        <v>210</v>
      </c>
      <c r="D3" s="19">
        <f t="shared" ref="D3:D5" si="0">8*14</f>
        <v>112</v>
      </c>
      <c r="E3" s="20" t="s">
        <v>23</v>
      </c>
    </row>
    <row r="4" spans="1:5" x14ac:dyDescent="0.3">
      <c r="A4" s="19">
        <v>3</v>
      </c>
      <c r="B4" s="20">
        <v>3</v>
      </c>
      <c r="C4" s="19">
        <v>210</v>
      </c>
      <c r="D4" s="19">
        <f t="shared" si="0"/>
        <v>112</v>
      </c>
      <c r="E4" s="20" t="s">
        <v>23</v>
      </c>
    </row>
    <row r="5" spans="1:5" x14ac:dyDescent="0.3">
      <c r="A5" s="19">
        <v>4</v>
      </c>
      <c r="B5" s="20">
        <v>4</v>
      </c>
      <c r="C5" s="19">
        <v>210</v>
      </c>
      <c r="D5" s="19">
        <f t="shared" si="0"/>
        <v>112</v>
      </c>
      <c r="E5" s="20" t="s">
        <v>23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Q22"/>
  <sheetViews>
    <sheetView workbookViewId="0">
      <selection activeCell="M2" sqref="M2"/>
    </sheetView>
  </sheetViews>
  <sheetFormatPr defaultRowHeight="14.4" x14ac:dyDescent="0.3"/>
  <cols>
    <col min="1" max="1" width="13.5546875" style="16" bestFit="1" customWidth="1"/>
    <col min="2" max="6" width="13.5546875" style="9" bestFit="1" customWidth="1"/>
    <col min="7" max="8" width="13.5546875" style="13" bestFit="1" customWidth="1"/>
    <col min="9" max="9" width="13.5546875" bestFit="1" customWidth="1"/>
    <col min="10" max="10" width="13.5546875" style="8" bestFit="1" customWidth="1"/>
    <col min="11" max="11" width="11.33203125" style="5" bestFit="1" customWidth="1"/>
    <col min="12" max="12" width="11.33203125" style="5" customWidth="1"/>
    <col min="13" max="13" width="9.33203125" style="5" bestFit="1" customWidth="1"/>
    <col min="14" max="14" width="13.5546875" style="8" bestFit="1" customWidth="1"/>
    <col min="15" max="15" width="9.44140625" style="8" bestFit="1" customWidth="1"/>
    <col min="16" max="16" width="11" style="8" bestFit="1" customWidth="1"/>
  </cols>
  <sheetData>
    <row r="1" spans="1:17" x14ac:dyDescent="0.3">
      <c r="A1" s="21" t="s">
        <v>0</v>
      </c>
      <c r="B1" s="21" t="s">
        <v>1</v>
      </c>
      <c r="C1" s="21" t="s">
        <v>11</v>
      </c>
      <c r="D1" s="21" t="s">
        <v>12</v>
      </c>
      <c r="E1" s="21" t="s">
        <v>24</v>
      </c>
      <c r="F1" s="21" t="s">
        <v>25</v>
      </c>
      <c r="G1" s="21" t="s">
        <v>26</v>
      </c>
      <c r="H1" s="22" t="s">
        <v>2</v>
      </c>
      <c r="I1" s="22" t="s">
        <v>3</v>
      </c>
      <c r="J1" s="21" t="s">
        <v>4</v>
      </c>
      <c r="K1" s="21" t="s">
        <v>5</v>
      </c>
      <c r="L1" s="21" t="s">
        <v>6</v>
      </c>
      <c r="M1" s="21" t="s">
        <v>27</v>
      </c>
      <c r="N1" s="23" t="s">
        <v>7</v>
      </c>
      <c r="O1" s="23" t="s">
        <v>8</v>
      </c>
      <c r="P1" s="23" t="s">
        <v>9</v>
      </c>
      <c r="Q1" s="23" t="s">
        <v>10</v>
      </c>
    </row>
    <row r="2" spans="1:17" x14ac:dyDescent="0.3">
      <c r="A2" s="24">
        <v>1</v>
      </c>
      <c r="B2" s="25">
        <v>4.1847162975762604</v>
      </c>
      <c r="C2" s="26">
        <f>DCIR_P70X!C2*7.4/7</f>
        <v>7.91626323465995</v>
      </c>
      <c r="D2" s="26">
        <f>DCIR_P70X!D2*7.4/7</f>
        <v>7.91626323465995</v>
      </c>
      <c r="E2" s="26">
        <f>DCIR_P70X!E2*7.4/7</f>
        <v>7.1069898259347495</v>
      </c>
      <c r="F2" s="26">
        <f>DCIR_P70X!F2*7.4/7</f>
        <v>9.1566878162599643</v>
      </c>
      <c r="G2" s="26">
        <f>DCIR_P70X!G2*7.4/7</f>
        <v>7.9312727548679813</v>
      </c>
      <c r="H2" s="27">
        <v>0</v>
      </c>
      <c r="I2" s="27">
        <v>0</v>
      </c>
      <c r="J2" s="24" t="s">
        <v>11</v>
      </c>
      <c r="K2" s="24">
        <v>0</v>
      </c>
      <c r="L2" s="28">
        <v>7.4</v>
      </c>
      <c r="M2" s="28">
        <v>7</v>
      </c>
      <c r="N2" s="24">
        <v>7.0999999999999994E-2</v>
      </c>
      <c r="O2" s="24">
        <v>850</v>
      </c>
      <c r="P2" s="24">
        <v>-20</v>
      </c>
      <c r="Q2" s="24">
        <v>60</v>
      </c>
    </row>
    <row r="3" spans="1:17" x14ac:dyDescent="0.3">
      <c r="A3" s="24">
        <v>0.95</v>
      </c>
      <c r="B3" s="25">
        <v>4.10782572111445</v>
      </c>
      <c r="C3" s="26">
        <f>DCIR_P70X!C3*7.4/7</f>
        <v>7.0795335824992147</v>
      </c>
      <c r="D3" s="26">
        <f>DCIR_P70X!D3*7.4/7</f>
        <v>7.0795335824992147</v>
      </c>
      <c r="E3" s="26">
        <f>DCIR_P70X!E3*7.4/7</f>
        <v>5.8983494820801523</v>
      </c>
      <c r="F3" s="26">
        <f>DCIR_P70X!F3*7.4/7</f>
        <v>8.5024807941062672</v>
      </c>
      <c r="G3" s="26">
        <f>DCIR_P70X!G3*7.4/7</f>
        <v>6.8856037512277313</v>
      </c>
      <c r="H3" s="27">
        <v>0</v>
      </c>
      <c r="I3" s="27">
        <v>0</v>
      </c>
      <c r="J3" s="24" t="str">
        <f>D1</f>
        <v>IR_1C</v>
      </c>
      <c r="K3" s="24">
        <f>M2</f>
        <v>7</v>
      </c>
      <c r="L3" s="12"/>
      <c r="M3"/>
      <c r="N3"/>
      <c r="O3"/>
      <c r="P3"/>
    </row>
    <row r="4" spans="1:17" x14ac:dyDescent="0.3">
      <c r="A4" s="24">
        <v>0.9</v>
      </c>
      <c r="B4" s="25">
        <v>4.0843482895880401</v>
      </c>
      <c r="C4" s="26">
        <f>DCIR_P70X!C4*7.4/7</f>
        <v>6.386017289223501</v>
      </c>
      <c r="D4" s="26">
        <f>DCIR_P70X!D4*7.4/7</f>
        <v>6.386017289223501</v>
      </c>
      <c r="E4" s="26">
        <f>DCIR_P70X!E4*7.4/7</f>
        <v>4.8798144995689361</v>
      </c>
      <c r="F4" s="26">
        <f>DCIR_P70X!F4*7.4/7</f>
        <v>7.9245650624505286</v>
      </c>
      <c r="G4" s="26">
        <f>DCIR_P70X!G4*7.4/7</f>
        <v>5.9848467392303997</v>
      </c>
      <c r="H4" s="27">
        <v>0</v>
      </c>
      <c r="I4" s="27">
        <v>0</v>
      </c>
      <c r="J4" s="24" t="str">
        <f>E1</f>
        <v>IR_3C</v>
      </c>
      <c r="K4" s="24">
        <f>K3*3</f>
        <v>21</v>
      </c>
      <c r="L4" s="12"/>
      <c r="M4"/>
      <c r="N4"/>
      <c r="O4"/>
      <c r="P4"/>
    </row>
    <row r="5" spans="1:17" x14ac:dyDescent="0.3">
      <c r="A5" s="24">
        <v>0.85</v>
      </c>
      <c r="B5" s="25">
        <v>4.0695644958727701</v>
      </c>
      <c r="C5" s="26">
        <f>DCIR_P70X!C5*7.4/7</f>
        <v>5.8739349601859816</v>
      </c>
      <c r="D5" s="26">
        <f>DCIR_P70X!D5*7.4/7</f>
        <v>5.8739349601859816</v>
      </c>
      <c r="E5" s="26">
        <f>DCIR_P70X!E5*7.4/7</f>
        <v>4.1218733826915139</v>
      </c>
      <c r="F5" s="26">
        <f>DCIR_P70X!F5*7.4/7</f>
        <v>7.4445176399040962</v>
      </c>
      <c r="G5" s="26">
        <f>DCIR_P70X!G5*7.4/7</f>
        <v>5.2823873832697048</v>
      </c>
      <c r="H5" s="27">
        <v>0</v>
      </c>
      <c r="I5" s="27">
        <v>0</v>
      </c>
      <c r="J5" s="24" t="str">
        <f>F1</f>
        <v>IR_5C</v>
      </c>
      <c r="K5" s="24">
        <f>K3*5</f>
        <v>35</v>
      </c>
      <c r="L5" s="12"/>
      <c r="M5"/>
      <c r="N5"/>
      <c r="O5"/>
      <c r="P5"/>
    </row>
    <row r="6" spans="1:17" x14ac:dyDescent="0.3">
      <c r="A6" s="24">
        <v>0.8</v>
      </c>
      <c r="B6" s="25">
        <v>4.0377381338432103</v>
      </c>
      <c r="C6" s="26">
        <f>DCIR_P70X!C6*7.4/7</f>
        <v>5.499526769541208</v>
      </c>
      <c r="D6" s="26">
        <f>DCIR_P70X!D6*7.4/7</f>
        <v>5.499526769541208</v>
      </c>
      <c r="E6" s="26">
        <f>DCIR_P70X!E6*7.4/7</f>
        <v>3.6073865663047138</v>
      </c>
      <c r="F6" s="26">
        <f>DCIR_P70X!F6*7.4/7</f>
        <v>7.048487606557754</v>
      </c>
      <c r="G6" s="26">
        <f>DCIR_P70X!G6*7.4/7</f>
        <v>4.7642077244117758</v>
      </c>
      <c r="H6" s="27">
        <v>0</v>
      </c>
      <c r="I6" s="27">
        <v>0</v>
      </c>
      <c r="J6" s="24" t="str">
        <f>G1</f>
        <v>IR_10C</v>
      </c>
      <c r="K6" s="24">
        <f>K3*10</f>
        <v>70</v>
      </c>
      <c r="L6" s="12"/>
      <c r="M6"/>
      <c r="N6"/>
      <c r="O6"/>
      <c r="P6"/>
    </row>
    <row r="7" spans="1:17" x14ac:dyDescent="0.3">
      <c r="A7" s="24">
        <v>0.75</v>
      </c>
      <c r="B7" s="25">
        <v>3.9801875043761599</v>
      </c>
      <c r="C7" s="26">
        <f>DCIR_P70X!C7*7.4/7</f>
        <v>5.202200760541575</v>
      </c>
      <c r="D7" s="26">
        <f>DCIR_P70X!D7*7.4/7</f>
        <v>5.202200760541575</v>
      </c>
      <c r="E7" s="26">
        <f>DCIR_P70X!E7*7.4/7</f>
        <v>3.2844316287307045</v>
      </c>
      <c r="F7" s="26">
        <f>DCIR_P70X!F7*7.4/7</f>
        <v>6.7252611199651442</v>
      </c>
      <c r="G7" s="26">
        <f>DCIR_P70X!G7*7.4/7</f>
        <v>4.395291581136374</v>
      </c>
      <c r="H7" s="27">
        <v>0</v>
      </c>
      <c r="I7" s="27">
        <v>0</v>
      </c>
      <c r="J7" s="12"/>
      <c r="K7" s="12"/>
      <c r="L7" s="12"/>
      <c r="M7"/>
      <c r="N7"/>
      <c r="O7"/>
      <c r="P7"/>
    </row>
    <row r="8" spans="1:17" x14ac:dyDescent="0.3">
      <c r="A8" s="24">
        <v>0.7</v>
      </c>
      <c r="B8" s="25">
        <v>3.9291555043691102</v>
      </c>
      <c r="C8" s="26">
        <f>DCIR_P70X!C8*7.4/7</f>
        <v>4.9585077801076149</v>
      </c>
      <c r="D8" s="26">
        <f>DCIR_P70X!D8*7.4/7</f>
        <v>4.9585077801076149</v>
      </c>
      <c r="E8" s="26">
        <f>DCIR_P70X!E8*7.4/7</f>
        <v>3.1019469065316265</v>
      </c>
      <c r="F8" s="26">
        <f>DCIR_P70X!F8*7.4/7</f>
        <v>6.4758481084166473</v>
      </c>
      <c r="G8" s="26">
        <f>DCIR_P70X!G8*7.4/7</f>
        <v>4.1429640438682256</v>
      </c>
      <c r="H8" s="27">
        <v>0</v>
      </c>
      <c r="I8" s="27">
        <v>0</v>
      </c>
      <c r="J8" s="12"/>
      <c r="K8" s="12"/>
      <c r="L8" s="12"/>
      <c r="M8"/>
      <c r="N8"/>
      <c r="O8"/>
      <c r="P8"/>
    </row>
    <row r="9" spans="1:17" x14ac:dyDescent="0.3">
      <c r="A9" s="24">
        <v>0.65</v>
      </c>
      <c r="B9" s="25">
        <v>3.8883730783938799</v>
      </c>
      <c r="C9" s="26">
        <f>DCIR_P70X!C9*7.4/7</f>
        <v>4.7677500040108383</v>
      </c>
      <c r="D9" s="26">
        <f>DCIR_P70X!D9*7.4/7</f>
        <v>4.7677500040108383</v>
      </c>
      <c r="E9" s="26">
        <f>DCIR_P70X!E9*7.4/7</f>
        <v>3.01869492616663</v>
      </c>
      <c r="F9" s="26">
        <f>DCIR_P70X!F9*7.4/7</f>
        <v>6.2975060717896314</v>
      </c>
      <c r="G9" s="26">
        <f>DCIR_P70X!G9*7.4/7</f>
        <v>3.9763695372435466</v>
      </c>
      <c r="H9" s="27">
        <v>0</v>
      </c>
      <c r="I9" s="27">
        <v>0</v>
      </c>
      <c r="J9" s="12"/>
      <c r="K9" s="12"/>
      <c r="L9" s="12"/>
      <c r="M9"/>
      <c r="N9"/>
      <c r="O9"/>
      <c r="P9"/>
    </row>
    <row r="10" spans="1:17" x14ac:dyDescent="0.3">
      <c r="A10" s="24">
        <v>0.6</v>
      </c>
      <c r="B10" s="25">
        <v>3.8577355804425002</v>
      </c>
      <c r="C10" s="26">
        <f>DCIR_P70X!C10*7.4/7</f>
        <v>4.6338654900830978</v>
      </c>
      <c r="D10" s="26">
        <f>DCIR_P70X!D10*7.4/7</f>
        <v>4.6338654900830978</v>
      </c>
      <c r="E10" s="26">
        <f>DCIR_P70X!E10*7.4/7</f>
        <v>2.9976673844171704</v>
      </c>
      <c r="F10" s="26">
        <f>DCIR_P70X!F10*7.4/7</f>
        <v>6.1719571418678498</v>
      </c>
      <c r="G10" s="26">
        <f>DCIR_P70X!G10*7.4/7</f>
        <v>3.8622320963821961</v>
      </c>
      <c r="H10" s="27">
        <v>0</v>
      </c>
      <c r="I10" s="27">
        <v>0</v>
      </c>
      <c r="J10" s="12"/>
      <c r="K10" s="12"/>
      <c r="L10" s="12"/>
      <c r="M10"/>
      <c r="N10"/>
      <c r="O10"/>
      <c r="P10"/>
    </row>
    <row r="11" spans="1:17" x14ac:dyDescent="0.3">
      <c r="A11" s="24">
        <v>0.55000000000000004</v>
      </c>
      <c r="B11" s="25">
        <v>3.8248067019939902</v>
      </c>
      <c r="C11" s="26">
        <f>DCIR_P70X!C11*7.4/7</f>
        <v>4.5355025117954169</v>
      </c>
      <c r="D11" s="26">
        <f>DCIR_P70X!D11*7.4/7</f>
        <v>4.5355025117954169</v>
      </c>
      <c r="E11" s="26">
        <f>DCIR_P70X!E11*7.4/7</f>
        <v>2.9955062077287442</v>
      </c>
      <c r="F11" s="26">
        <f>DCIR_P70X!F11*7.4/7</f>
        <v>6.0681035179633467</v>
      </c>
      <c r="G11" s="26">
        <f>DCIR_P70X!G11*7.4/7</f>
        <v>3.7681290981763591</v>
      </c>
      <c r="H11" s="27">
        <v>0</v>
      </c>
      <c r="I11" s="27">
        <v>0</v>
      </c>
      <c r="J11" s="12"/>
      <c r="K11" s="12"/>
      <c r="L11" s="12"/>
      <c r="M11"/>
      <c r="N11"/>
      <c r="O11"/>
      <c r="P11"/>
    </row>
    <row r="12" spans="1:17" x14ac:dyDescent="0.3">
      <c r="A12" s="24">
        <v>0.5</v>
      </c>
      <c r="B12" s="25">
        <v>3.7836625730674598</v>
      </c>
      <c r="C12" s="26">
        <f>DCIR_P70X!C12*7.4/7</f>
        <v>4.4396825391100547</v>
      </c>
      <c r="D12" s="26">
        <f>DCIR_P70X!D12*7.4/7</f>
        <v>4.4396825391100547</v>
      </c>
      <c r="E12" s="26">
        <f>DCIR_P70X!E12*7.4/7</f>
        <v>2.9728767788985864</v>
      </c>
      <c r="F12" s="26">
        <f>DCIR_P70X!F12*7.4/7</f>
        <v>5.9575862896986838</v>
      </c>
      <c r="G12" s="26">
        <f>DCIR_P70X!G12*7.4/7</f>
        <v>3.6713756155743309</v>
      </c>
      <c r="H12" s="27">
        <v>0</v>
      </c>
      <c r="I12" s="27">
        <v>0</v>
      </c>
      <c r="J12" s="12"/>
      <c r="K12" s="12"/>
      <c r="L12" s="12"/>
      <c r="M12"/>
      <c r="N12"/>
      <c r="O12"/>
      <c r="P12"/>
    </row>
    <row r="13" spans="1:17" x14ac:dyDescent="0.3">
      <c r="A13" s="24">
        <v>0.45</v>
      </c>
      <c r="B13" s="25">
        <v>3.7369220029972601</v>
      </c>
      <c r="C13" s="26">
        <f>DCIR_P70X!C13*7.4/7</f>
        <v>4.3311446915272223</v>
      </c>
      <c r="D13" s="26">
        <f>DCIR_P70X!D13*7.4/7</f>
        <v>4.3311446915272223</v>
      </c>
      <c r="E13" s="26">
        <f>DCIR_P70X!E13*7.4/7</f>
        <v>2.9087890919303776</v>
      </c>
      <c r="F13" s="26">
        <f>DCIR_P70X!F13*7.4/7</f>
        <v>5.8294940425111124</v>
      </c>
      <c r="G13" s="26">
        <f>DCIR_P70X!G13*7.4/7</f>
        <v>3.5669296641865698</v>
      </c>
      <c r="H13" s="27">
        <v>0</v>
      </c>
      <c r="I13" s="27">
        <v>0</v>
      </c>
      <c r="J13" s="12"/>
      <c r="K13" s="12"/>
      <c r="L13" s="12"/>
      <c r="M13"/>
      <c r="N13"/>
      <c r="O13"/>
      <c r="P13"/>
    </row>
    <row r="14" spans="1:17" x14ac:dyDescent="0.3">
      <c r="A14" s="24">
        <v>0.4</v>
      </c>
      <c r="B14" s="25">
        <v>3.6876240793757402</v>
      </c>
      <c r="C14" s="26">
        <f>DCIR_P70X!C14*7.4/7</f>
        <v>4.2232605007706061</v>
      </c>
      <c r="D14" s="26">
        <f>DCIR_P70X!D14*7.4/7</f>
        <v>4.2232605007706061</v>
      </c>
      <c r="E14" s="26">
        <f>DCIR_P70X!E14*7.4/7</f>
        <v>2.8136618776569398</v>
      </c>
      <c r="F14" s="26">
        <f>DCIR_P70X!F14*7.4/7</f>
        <v>5.7010795693373018</v>
      </c>
      <c r="G14" s="26">
        <f>DCIR_P70X!G14*7.4/7</f>
        <v>3.4726557219796272</v>
      </c>
      <c r="H14" s="27">
        <v>0</v>
      </c>
      <c r="I14" s="27">
        <v>0</v>
      </c>
      <c r="J14" s="12"/>
      <c r="K14" s="12"/>
      <c r="L14" s="12"/>
      <c r="M14"/>
      <c r="N14"/>
      <c r="O14"/>
      <c r="P14"/>
    </row>
    <row r="15" spans="1:17" x14ac:dyDescent="0.3">
      <c r="A15" s="24">
        <v>0.35</v>
      </c>
      <c r="B15" s="25">
        <v>3.6305248327695199</v>
      </c>
      <c r="C15" s="26">
        <f>DCIR_P70X!C15*7.4/7</f>
        <v>4.1650026469047789</v>
      </c>
      <c r="D15" s="26">
        <f>DCIR_P70X!D15*7.4/7</f>
        <v>4.1650026469047789</v>
      </c>
      <c r="E15" s="26">
        <f>DCIR_P70X!E15*7.4/7</f>
        <v>2.7354787394195816</v>
      </c>
      <c r="F15" s="26">
        <f>DCIR_P70X!F15*7.4/7</f>
        <v>5.6202625241395436</v>
      </c>
      <c r="G15" s="26">
        <f>DCIR_P70X!G15*7.4/7</f>
        <v>3.430498560406043</v>
      </c>
      <c r="H15" s="27">
        <v>0</v>
      </c>
      <c r="I15" s="27">
        <v>0</v>
      </c>
      <c r="J15" s="12"/>
      <c r="K15" s="12"/>
      <c r="L15" s="12"/>
      <c r="M15"/>
      <c r="N15"/>
      <c r="O15"/>
      <c r="P15"/>
    </row>
    <row r="16" spans="1:17" x14ac:dyDescent="0.3">
      <c r="A16" s="24">
        <v>0.3</v>
      </c>
      <c r="B16" s="25">
        <v>3.5850093782395298</v>
      </c>
      <c r="C16" s="26">
        <f>DCIR_P70X!C16*7.4/7</f>
        <v>4.2332501512787122</v>
      </c>
      <c r="D16" s="26">
        <f>DCIR_P70X!D16*7.4/7</f>
        <v>4.2332501512787122</v>
      </c>
      <c r="E16" s="26">
        <f>DCIR_P70X!E16*7.4/7</f>
        <v>2.7544067767504621</v>
      </c>
      <c r="F16" s="26">
        <f>DCIR_P70X!F16*7.4/7</f>
        <v>5.6581487428053165</v>
      </c>
      <c r="G16" s="26">
        <f>DCIR_P70X!G16*7.4/7</f>
        <v>3.5029387885539163</v>
      </c>
      <c r="H16" s="27">
        <f t="shared" ref="H16:I22" si="0">(H15-H14)+H15</f>
        <v>0</v>
      </c>
      <c r="I16" s="27">
        <f t="shared" si="0"/>
        <v>0</v>
      </c>
      <c r="J16"/>
      <c r="K16"/>
      <c r="L16"/>
      <c r="M16"/>
      <c r="N16"/>
      <c r="O16"/>
      <c r="P16"/>
    </row>
    <row r="17" spans="1:16" x14ac:dyDescent="0.3">
      <c r="A17" s="24">
        <v>0.25</v>
      </c>
      <c r="B17" s="25">
        <v>3.54083107074569</v>
      </c>
      <c r="C17" s="26">
        <f>DCIR_P70X!C17*7.4/7</f>
        <v>4.5137451268597504</v>
      </c>
      <c r="D17" s="26">
        <f>DCIR_P70X!D17*7.4/7</f>
        <v>4.5137451268597504</v>
      </c>
      <c r="E17" s="26">
        <f>DCIR_P70X!E17*7.4/7</f>
        <v>2.9579471695548549</v>
      </c>
      <c r="F17" s="26">
        <f>DCIR_P70X!F17*7.4/7</f>
        <v>5.8873439900229929</v>
      </c>
      <c r="G17" s="26">
        <f>DCIR_P70X!G17*7.4/7</f>
        <v>3.7632157831493864</v>
      </c>
      <c r="H17" s="27">
        <f t="shared" si="0"/>
        <v>0</v>
      </c>
      <c r="I17" s="27">
        <f t="shared" si="0"/>
        <v>0</v>
      </c>
      <c r="J17"/>
      <c r="K17"/>
      <c r="L17"/>
      <c r="M17"/>
      <c r="N17"/>
      <c r="O17"/>
      <c r="P17"/>
    </row>
    <row r="18" spans="1:16" x14ac:dyDescent="0.3">
      <c r="A18" s="24">
        <v>0.2</v>
      </c>
      <c r="B18" s="25">
        <v>3.4605374160065501</v>
      </c>
      <c r="C18" s="26">
        <f>DCIR_P70X!C18*7.4/7</f>
        <v>5.080869248060746</v>
      </c>
      <c r="D18" s="26">
        <f>DCIR_P70X!D18*7.4/7</f>
        <v>5.080869248060746</v>
      </c>
      <c r="E18" s="26">
        <f>DCIR_P70X!E18*7.4/7</f>
        <v>3.4308096543755786</v>
      </c>
      <c r="F18" s="26">
        <f>DCIR_P70X!F18*7.4/7</f>
        <v>6.366803356120637</v>
      </c>
      <c r="G18" s="26">
        <f>DCIR_P70X!G18*7.4/7</f>
        <v>4.288276122949628</v>
      </c>
      <c r="H18" s="27">
        <f t="shared" si="0"/>
        <v>0</v>
      </c>
      <c r="I18" s="27">
        <f t="shared" si="0"/>
        <v>0</v>
      </c>
      <c r="J18"/>
      <c r="K18"/>
      <c r="L18"/>
      <c r="M18"/>
      <c r="N18"/>
      <c r="O18"/>
      <c r="P18"/>
    </row>
    <row r="19" spans="1:16" x14ac:dyDescent="0.3">
      <c r="A19" s="24">
        <v>0.15</v>
      </c>
      <c r="B19" s="25">
        <v>3.3648775717017201</v>
      </c>
      <c r="C19" s="26">
        <f>DCIR_P70X!C19*7.4/7</f>
        <v>5.9912714180599105</v>
      </c>
      <c r="D19" s="26">
        <f>DCIR_P70X!D19*7.4/7</f>
        <v>5.9912714180599105</v>
      </c>
      <c r="E19" s="26">
        <f>DCIR_P70X!E19*7.4/7</f>
        <v>4.2534072516487047</v>
      </c>
      <c r="F19" s="26">
        <f>DCIR_P70X!F19*7.4/7</f>
        <v>7.1396979559224096</v>
      </c>
      <c r="G19" s="26">
        <f>DCIR_P70X!G19*7.4/7</f>
        <v>5.1459891547131615</v>
      </c>
      <c r="H19" s="27">
        <f t="shared" si="0"/>
        <v>0</v>
      </c>
      <c r="I19" s="27">
        <f t="shared" si="0"/>
        <v>0</v>
      </c>
      <c r="J19"/>
      <c r="K19"/>
      <c r="L19"/>
      <c r="M19"/>
      <c r="N19"/>
      <c r="O19"/>
      <c r="P19"/>
    </row>
    <row r="20" spans="1:16" x14ac:dyDescent="0.3">
      <c r="A20" s="24">
        <v>0.1</v>
      </c>
      <c r="B20" s="25">
        <v>3.2417861185468402</v>
      </c>
      <c r="C20" s="26">
        <f>DCIR_P70X!C20*7.4/7</f>
        <v>7.2452530755570006</v>
      </c>
      <c r="D20" s="26">
        <f>DCIR_P70X!D20*7.4/7</f>
        <v>7.2452530755570006</v>
      </c>
      <c r="E20" s="26">
        <f>DCIR_P70X!E20*7.4/7</f>
        <v>5.4706618998290963</v>
      </c>
      <c r="F20" s="26">
        <f>DCIR_P70X!F20*7.4/7</f>
        <v>8.2128315539676162</v>
      </c>
      <c r="G20" s="26">
        <f>DCIR_P70X!G20*7.4/7</f>
        <v>6.3679642570257231</v>
      </c>
      <c r="H20" s="27">
        <f t="shared" si="0"/>
        <v>0</v>
      </c>
      <c r="I20" s="27">
        <f t="shared" si="0"/>
        <v>0</v>
      </c>
      <c r="J20"/>
      <c r="K20"/>
      <c r="L20"/>
      <c r="M20"/>
      <c r="N20"/>
      <c r="O20"/>
      <c r="P20"/>
    </row>
    <row r="21" spans="1:16" x14ac:dyDescent="0.3">
      <c r="A21" s="24">
        <v>0.05</v>
      </c>
      <c r="B21" s="25">
        <v>3.0887593847711101</v>
      </c>
      <c r="C21" s="26">
        <f>DCIR_P70X!C21*7.4/7</f>
        <v>8.777669296248698</v>
      </c>
      <c r="D21" s="26">
        <f>DCIR_P70X!D21*7.4/7</f>
        <v>8.777669296248698</v>
      </c>
      <c r="E21" s="26">
        <f>DCIR_P70X!E21*7.4/7</f>
        <v>7.0532195901650869</v>
      </c>
      <c r="F21" s="26">
        <f>DCIR_P70X!F21*7.4/7</f>
        <v>9.5296016635053515</v>
      </c>
      <c r="G21" s="26">
        <f>DCIR_P70X!G21*7.4/7</f>
        <v>7.9113987039800717</v>
      </c>
      <c r="H21" s="27">
        <f t="shared" si="0"/>
        <v>0</v>
      </c>
      <c r="I21" s="27">
        <f t="shared" si="0"/>
        <v>0</v>
      </c>
      <c r="J21"/>
      <c r="K21"/>
      <c r="L21"/>
      <c r="M21"/>
      <c r="N21"/>
      <c r="O21"/>
      <c r="P21"/>
    </row>
    <row r="22" spans="1:16" x14ac:dyDescent="0.3">
      <c r="A22" s="24">
        <v>0</v>
      </c>
      <c r="B22" s="25">
        <v>2.6071158699808699</v>
      </c>
      <c r="C22" s="26">
        <f>DCIR_P70X!C22*7.4/7</f>
        <v>10.452229437847356</v>
      </c>
      <c r="D22" s="26">
        <f>DCIR_P70X!D22*7.4/7</f>
        <v>10.452229437847356</v>
      </c>
      <c r="E22" s="26">
        <f>DCIR_P70X!E22*7.4/7</f>
        <v>8.8596271673298759</v>
      </c>
      <c r="F22" s="26">
        <f>DCIR_P70X!F22*7.4/7</f>
        <v>10.961699716322929</v>
      </c>
      <c r="G22" s="26">
        <f>DCIR_P70X!G22*7.4/7</f>
        <v>9.6385324117298374</v>
      </c>
      <c r="H22" s="27">
        <f t="shared" si="0"/>
        <v>0</v>
      </c>
      <c r="I22" s="27">
        <f t="shared" si="0"/>
        <v>0</v>
      </c>
      <c r="J22"/>
      <c r="K22"/>
      <c r="L22"/>
      <c r="M22"/>
      <c r="N22"/>
      <c r="O22"/>
      <c r="P2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37C8F-71E0-4CDD-8812-398312F9C6B6}">
  <dimension ref="A1:G22"/>
  <sheetViews>
    <sheetView workbookViewId="0">
      <selection sqref="A1:G22"/>
    </sheetView>
  </sheetViews>
  <sheetFormatPr defaultRowHeight="14.4" x14ac:dyDescent="0.3"/>
  <sheetData>
    <row r="1" spans="1:7" x14ac:dyDescent="0.3">
      <c r="A1" s="21" t="s">
        <v>0</v>
      </c>
      <c r="B1" s="21" t="s">
        <v>1</v>
      </c>
      <c r="C1" s="21" t="s">
        <v>11</v>
      </c>
      <c r="D1" s="21" t="s">
        <v>12</v>
      </c>
      <c r="E1" s="21" t="s">
        <v>24</v>
      </c>
      <c r="F1" s="21" t="s">
        <v>25</v>
      </c>
      <c r="G1" s="21" t="s">
        <v>26</v>
      </c>
    </row>
    <row r="2" spans="1:7" x14ac:dyDescent="0.3">
      <c r="A2" s="24">
        <v>1</v>
      </c>
      <c r="B2" s="25">
        <v>4.1847162975762604</v>
      </c>
      <c r="C2" s="26">
        <v>7.4883571138675196</v>
      </c>
      <c r="D2" s="26">
        <v>7.4883571138675196</v>
      </c>
      <c r="E2" s="26">
        <v>6.7228282137220603</v>
      </c>
      <c r="F2" s="26">
        <v>8.6617317180837503</v>
      </c>
      <c r="G2" s="26">
        <v>7.5025553086589003</v>
      </c>
    </row>
    <row r="3" spans="1:7" x14ac:dyDescent="0.3">
      <c r="A3" s="24">
        <v>0.95</v>
      </c>
      <c r="B3" s="25">
        <v>4.10782572111445</v>
      </c>
      <c r="C3" s="26">
        <v>6.6968560915533102</v>
      </c>
      <c r="D3" s="26">
        <v>6.6968560915533102</v>
      </c>
      <c r="E3" s="26">
        <v>5.5795197803460903</v>
      </c>
      <c r="F3" s="26">
        <v>8.04288723766809</v>
      </c>
      <c r="G3" s="26">
        <v>6.5134089538640696</v>
      </c>
    </row>
    <row r="4" spans="1:7" x14ac:dyDescent="0.3">
      <c r="A4" s="24">
        <v>0.9</v>
      </c>
      <c r="B4" s="25">
        <v>4.0843482895880401</v>
      </c>
      <c r="C4" s="26">
        <v>6.0408271654816899</v>
      </c>
      <c r="D4" s="26">
        <v>6.0408271654816899</v>
      </c>
      <c r="E4" s="26">
        <v>4.6160407428354802</v>
      </c>
      <c r="F4" s="26">
        <v>7.4962101942099597</v>
      </c>
      <c r="G4" s="26">
        <v>5.6613415100828099</v>
      </c>
    </row>
    <row r="5" spans="1:7" x14ac:dyDescent="0.3">
      <c r="A5" s="24">
        <v>0.85</v>
      </c>
      <c r="B5" s="25">
        <v>4.0695644958727701</v>
      </c>
      <c r="C5" s="26">
        <v>5.5564249623380899</v>
      </c>
      <c r="D5" s="26">
        <v>5.5564249623380899</v>
      </c>
      <c r="E5" s="26">
        <v>3.89906941605954</v>
      </c>
      <c r="F5" s="26">
        <v>7.0421112809903601</v>
      </c>
      <c r="G5" s="26">
        <v>4.9968529301199904</v>
      </c>
    </row>
    <row r="6" spans="1:7" x14ac:dyDescent="0.3">
      <c r="A6" s="24">
        <v>0.8</v>
      </c>
      <c r="B6" s="25">
        <v>4.0377381338432103</v>
      </c>
      <c r="C6" s="26">
        <v>5.2022550522687103</v>
      </c>
      <c r="D6" s="26">
        <v>5.2022550522687103</v>
      </c>
      <c r="E6" s="26">
        <v>3.4123926978558101</v>
      </c>
      <c r="F6" s="26">
        <v>6.6674882764735504</v>
      </c>
      <c r="G6" s="26">
        <v>4.5066829825516797</v>
      </c>
    </row>
    <row r="7" spans="1:7" x14ac:dyDescent="0.3">
      <c r="A7" s="24">
        <v>0.75</v>
      </c>
      <c r="B7" s="25">
        <v>3.9801875043761599</v>
      </c>
      <c r="C7" s="26">
        <v>4.9210007194312197</v>
      </c>
      <c r="D7" s="26">
        <v>4.9210007194312197</v>
      </c>
      <c r="E7" s="26">
        <v>3.1068947839344498</v>
      </c>
      <c r="F7" s="26">
        <v>6.3617334918589199</v>
      </c>
      <c r="G7" s="26">
        <v>4.1577082524262998</v>
      </c>
    </row>
    <row r="8" spans="1:7" x14ac:dyDescent="0.3">
      <c r="A8" s="24">
        <v>0.7</v>
      </c>
      <c r="B8" s="25">
        <v>3.9291555043691102</v>
      </c>
      <c r="C8" s="26">
        <v>4.6904803325342304</v>
      </c>
      <c r="D8" s="26">
        <v>4.6904803325342304</v>
      </c>
      <c r="E8" s="26">
        <v>2.9342741007731599</v>
      </c>
      <c r="F8" s="26">
        <v>6.12580226471845</v>
      </c>
      <c r="G8" s="26">
        <v>3.91902004149697</v>
      </c>
    </row>
    <row r="9" spans="1:7" x14ac:dyDescent="0.3">
      <c r="A9" s="24">
        <v>0.65</v>
      </c>
      <c r="B9" s="25">
        <v>3.8883730783938799</v>
      </c>
      <c r="C9" s="26">
        <v>4.5100337875778198</v>
      </c>
      <c r="D9" s="26">
        <v>4.5100337875778198</v>
      </c>
      <c r="E9" s="26">
        <v>2.8555222274549199</v>
      </c>
      <c r="F9" s="26">
        <v>5.9571003381793801</v>
      </c>
      <c r="G9" s="26">
        <v>3.7614306433384899</v>
      </c>
    </row>
    <row r="10" spans="1:7" x14ac:dyDescent="0.3">
      <c r="A10" s="24">
        <v>0.6</v>
      </c>
      <c r="B10" s="25">
        <v>3.8577355804425002</v>
      </c>
      <c r="C10" s="26">
        <v>4.3833862744029304</v>
      </c>
      <c r="D10" s="26">
        <v>4.3833862744029304</v>
      </c>
      <c r="E10" s="26">
        <v>2.8356313095838099</v>
      </c>
      <c r="F10" s="26">
        <v>5.8383378369020198</v>
      </c>
      <c r="G10" s="26">
        <v>3.6534627938750499</v>
      </c>
    </row>
    <row r="11" spans="1:7" x14ac:dyDescent="0.3">
      <c r="A11" s="24">
        <v>0.55000000000000004</v>
      </c>
      <c r="B11" s="25">
        <v>3.8248067019939902</v>
      </c>
      <c r="C11" s="26">
        <v>4.2903402138605298</v>
      </c>
      <c r="D11" s="26">
        <v>4.2903402138605298</v>
      </c>
      <c r="E11" s="26">
        <v>2.83358695325692</v>
      </c>
      <c r="F11" s="26">
        <v>5.7400979223977604</v>
      </c>
      <c r="G11" s="26">
        <v>3.5644464442208799</v>
      </c>
    </row>
    <row r="12" spans="1:7" x14ac:dyDescent="0.3">
      <c r="A12" s="24">
        <v>0.5</v>
      </c>
      <c r="B12" s="25">
        <v>3.7836625730674598</v>
      </c>
      <c r="C12" s="26">
        <v>4.1996996991581597</v>
      </c>
      <c r="D12" s="26">
        <v>4.1996996991581597</v>
      </c>
      <c r="E12" s="26">
        <v>2.8121807367959599</v>
      </c>
      <c r="F12" s="26">
        <v>5.6355545983636199</v>
      </c>
      <c r="G12" s="26">
        <v>3.4729228795973399</v>
      </c>
    </row>
    <row r="13" spans="1:7" x14ac:dyDescent="0.3">
      <c r="A13" s="24">
        <v>0.45</v>
      </c>
      <c r="B13" s="25">
        <v>3.7369220029972601</v>
      </c>
      <c r="C13" s="26">
        <v>4.09702876225548</v>
      </c>
      <c r="D13" s="26">
        <v>4.09702876225548</v>
      </c>
      <c r="E13" s="26">
        <v>2.75155724912333</v>
      </c>
      <c r="F13" s="26">
        <v>5.5143862564294297</v>
      </c>
      <c r="G13" s="26">
        <v>3.3741226553116199</v>
      </c>
    </row>
    <row r="14" spans="1:7" x14ac:dyDescent="0.3">
      <c r="A14" s="24">
        <v>0.4</v>
      </c>
      <c r="B14" s="25">
        <v>3.6876240793757402</v>
      </c>
      <c r="C14" s="26">
        <v>3.9949761493775999</v>
      </c>
      <c r="D14" s="26">
        <v>3.9949761493775999</v>
      </c>
      <c r="E14" s="26">
        <v>2.6615720464322399</v>
      </c>
      <c r="F14" s="26">
        <v>5.3929131061298801</v>
      </c>
      <c r="G14" s="26">
        <v>3.2849446018726201</v>
      </c>
    </row>
    <row r="15" spans="1:7" x14ac:dyDescent="0.3">
      <c r="A15" s="24">
        <v>0.35</v>
      </c>
      <c r="B15" s="25">
        <v>3.6305248327695199</v>
      </c>
      <c r="C15" s="26">
        <v>3.9398673686937098</v>
      </c>
      <c r="D15" s="26">
        <v>3.9398673686937098</v>
      </c>
      <c r="E15" s="26">
        <v>2.58761502377528</v>
      </c>
      <c r="F15" s="26">
        <v>5.3164645498617302</v>
      </c>
      <c r="G15" s="26">
        <v>3.2450662057895001</v>
      </c>
    </row>
    <row r="16" spans="1:7" x14ac:dyDescent="0.3">
      <c r="A16" s="24">
        <v>0.3</v>
      </c>
      <c r="B16" s="25">
        <v>3.5850093782395298</v>
      </c>
      <c r="C16" s="26">
        <v>4.0044258187771602</v>
      </c>
      <c r="D16" s="26">
        <v>4.0044258187771602</v>
      </c>
      <c r="E16" s="26">
        <v>2.6055199239531399</v>
      </c>
      <c r="F16" s="26">
        <v>5.3523028648158402</v>
      </c>
      <c r="G16" s="26">
        <v>3.3135907459293801</v>
      </c>
    </row>
    <row r="17" spans="1:7" x14ac:dyDescent="0.3">
      <c r="A17" s="24">
        <v>0.25</v>
      </c>
      <c r="B17" s="25">
        <v>3.54083107074569</v>
      </c>
      <c r="C17" s="26">
        <v>4.2697589037862498</v>
      </c>
      <c r="D17" s="26">
        <v>4.2697589037862498</v>
      </c>
      <c r="E17" s="26">
        <v>2.7980581333627002</v>
      </c>
      <c r="F17" s="26">
        <v>5.5691091797514796</v>
      </c>
      <c r="G17" s="26">
        <v>3.5597987137899598</v>
      </c>
    </row>
    <row r="18" spans="1:7" x14ac:dyDescent="0.3">
      <c r="A18" s="24">
        <v>0.2</v>
      </c>
      <c r="B18" s="25">
        <v>3.4605374160065501</v>
      </c>
      <c r="C18" s="26">
        <v>4.8062276670844897</v>
      </c>
      <c r="D18" s="26">
        <v>4.8062276670844897</v>
      </c>
      <c r="E18" s="26">
        <v>3.2453604838687902</v>
      </c>
      <c r="F18" s="26">
        <v>6.0226518233573598</v>
      </c>
      <c r="G18" s="26">
        <v>4.0564774136009998</v>
      </c>
    </row>
    <row r="19" spans="1:7" x14ac:dyDescent="0.3">
      <c r="A19" s="24">
        <v>0.15</v>
      </c>
      <c r="B19" s="25">
        <v>3.3648775717017201</v>
      </c>
      <c r="C19" s="26">
        <v>5.6674189089755904</v>
      </c>
      <c r="D19" s="26">
        <v>5.6674189089755904</v>
      </c>
      <c r="E19" s="26">
        <v>4.0234933461541802</v>
      </c>
      <c r="F19" s="26">
        <v>6.7537683366833603</v>
      </c>
      <c r="G19" s="26">
        <v>4.8678275787827197</v>
      </c>
    </row>
    <row r="20" spans="1:7" x14ac:dyDescent="0.3">
      <c r="A20" s="24">
        <v>0.1</v>
      </c>
      <c r="B20" s="25">
        <v>3.2417861185468402</v>
      </c>
      <c r="C20" s="26">
        <v>6.8536177741755404</v>
      </c>
      <c r="D20" s="26">
        <v>6.8536177741755404</v>
      </c>
      <c r="E20" s="26">
        <v>5.1749504457842797</v>
      </c>
      <c r="F20" s="26">
        <v>7.7688947132126103</v>
      </c>
      <c r="G20" s="26">
        <v>6.02374997286217</v>
      </c>
    </row>
    <row r="21" spans="1:7" x14ac:dyDescent="0.3">
      <c r="A21" s="24">
        <v>0.05</v>
      </c>
      <c r="B21" s="25">
        <v>3.0887593847711101</v>
      </c>
      <c r="C21" s="26">
        <v>8.3032006856406593</v>
      </c>
      <c r="D21" s="26">
        <v>8.3032006856406593</v>
      </c>
      <c r="E21" s="26">
        <v>6.6719644771831899</v>
      </c>
      <c r="F21" s="26">
        <v>9.0144880600726296</v>
      </c>
      <c r="G21" s="26">
        <v>7.4837555307919601</v>
      </c>
    </row>
    <row r="22" spans="1:7" x14ac:dyDescent="0.3">
      <c r="A22" s="24">
        <v>0</v>
      </c>
      <c r="B22" s="25">
        <v>2.6071158699808699</v>
      </c>
      <c r="C22" s="26">
        <v>9.8872440628285805</v>
      </c>
      <c r="D22" s="26">
        <v>9.8872440628285805</v>
      </c>
      <c r="E22" s="26">
        <v>8.3807284015282608</v>
      </c>
      <c r="F22" s="26">
        <v>10.3691754073325</v>
      </c>
      <c r="G22" s="26">
        <v>9.1175306597444408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E17"/>
  <sheetViews>
    <sheetView workbookViewId="0">
      <selection activeCell="I10" sqref="I10"/>
    </sheetView>
  </sheetViews>
  <sheetFormatPr defaultRowHeight="14.4" x14ac:dyDescent="0.3"/>
  <cols>
    <col min="1" max="1" width="15.109375" style="12" bestFit="1" customWidth="1"/>
    <col min="2" max="3" width="13.5546875" style="13" bestFit="1" customWidth="1"/>
    <col min="4" max="4" width="10" style="14" bestFit="1" customWidth="1"/>
    <col min="5" max="5" width="30.44140625" style="15" bestFit="1" customWidth="1"/>
  </cols>
  <sheetData>
    <row r="1" spans="1:5" ht="20.399999999999999" customHeight="1" x14ac:dyDescent="0.3">
      <c r="A1" s="3" t="s">
        <v>13</v>
      </c>
      <c r="B1" s="4" t="s">
        <v>14</v>
      </c>
      <c r="C1" s="4" t="s">
        <v>15</v>
      </c>
      <c r="D1" s="10" t="s">
        <v>16</v>
      </c>
      <c r="E1" s="1" t="s">
        <v>17</v>
      </c>
    </row>
    <row r="2" spans="1:5" ht="20.399999999999999" customHeight="1" x14ac:dyDescent="0.3">
      <c r="A2" s="7" t="str">
        <f t="shared" ref="A2:A17" si="0">_xlfn.CONCAT("grp",TEXT(B2,"#"),"_to_mot",TEXT(C2,"#"))</f>
        <v>grp1_to_mot1</v>
      </c>
      <c r="B2" s="2">
        <v>1</v>
      </c>
      <c r="C2" s="2">
        <v>1</v>
      </c>
      <c r="D2" s="6">
        <f t="shared" ref="D2:D17" si="1">1260/16/3.281</f>
        <v>24.001828710758915</v>
      </c>
      <c r="E2" s="11">
        <f t="shared" ref="E2:E17" si="2">0.053*3.281</f>
        <v>0.17389299999999999</v>
      </c>
    </row>
    <row r="3" spans="1:5" ht="20.399999999999999" customHeight="1" x14ac:dyDescent="0.3">
      <c r="A3" s="7" t="str">
        <f t="shared" si="0"/>
        <v>grp1_to_mot2</v>
      </c>
      <c r="B3" s="2">
        <v>1</v>
      </c>
      <c r="C3" s="2">
        <v>2</v>
      </c>
      <c r="D3" s="6">
        <f t="shared" si="1"/>
        <v>24.001828710758915</v>
      </c>
      <c r="E3" s="11">
        <f t="shared" si="2"/>
        <v>0.17389299999999999</v>
      </c>
    </row>
    <row r="4" spans="1:5" ht="20.399999999999999" customHeight="1" x14ac:dyDescent="0.3">
      <c r="A4" s="7" t="str">
        <f t="shared" si="0"/>
        <v>grp1_to_mot3</v>
      </c>
      <c r="B4" s="2">
        <v>1</v>
      </c>
      <c r="C4" s="2">
        <v>3</v>
      </c>
      <c r="D4" s="6">
        <f t="shared" si="1"/>
        <v>24.001828710758915</v>
      </c>
      <c r="E4" s="11">
        <f t="shared" si="2"/>
        <v>0.17389299999999999</v>
      </c>
    </row>
    <row r="5" spans="1:5" ht="20.399999999999999" customHeight="1" x14ac:dyDescent="0.3">
      <c r="A5" s="7" t="str">
        <f t="shared" si="0"/>
        <v>grp1_to_mot4</v>
      </c>
      <c r="B5" s="2">
        <v>1</v>
      </c>
      <c r="C5" s="2">
        <v>4</v>
      </c>
      <c r="D5" s="6">
        <f t="shared" si="1"/>
        <v>24.001828710758915</v>
      </c>
      <c r="E5" s="11">
        <f t="shared" si="2"/>
        <v>0.17389299999999999</v>
      </c>
    </row>
    <row r="6" spans="1:5" ht="20.399999999999999" customHeight="1" x14ac:dyDescent="0.3">
      <c r="A6" s="7" t="str">
        <f t="shared" si="0"/>
        <v>grp2_to_mot1</v>
      </c>
      <c r="B6" s="2">
        <v>2</v>
      </c>
      <c r="C6" s="2">
        <v>1</v>
      </c>
      <c r="D6" s="6">
        <f t="shared" si="1"/>
        <v>24.001828710758915</v>
      </c>
      <c r="E6" s="11">
        <f t="shared" si="2"/>
        <v>0.17389299999999999</v>
      </c>
    </row>
    <row r="7" spans="1:5" ht="20.399999999999999" customHeight="1" x14ac:dyDescent="0.3">
      <c r="A7" s="7" t="str">
        <f t="shared" si="0"/>
        <v>grp2_to_mot2</v>
      </c>
      <c r="B7" s="2">
        <v>2</v>
      </c>
      <c r="C7" s="2">
        <v>2</v>
      </c>
      <c r="D7" s="6">
        <f t="shared" si="1"/>
        <v>24.001828710758915</v>
      </c>
      <c r="E7" s="11">
        <f t="shared" si="2"/>
        <v>0.17389299999999999</v>
      </c>
    </row>
    <row r="8" spans="1:5" ht="20.399999999999999" customHeight="1" x14ac:dyDescent="0.3">
      <c r="A8" s="7" t="str">
        <f t="shared" si="0"/>
        <v>grp2_to_mot3</v>
      </c>
      <c r="B8" s="2">
        <v>2</v>
      </c>
      <c r="C8" s="2">
        <v>3</v>
      </c>
      <c r="D8" s="6">
        <f t="shared" si="1"/>
        <v>24.001828710758915</v>
      </c>
      <c r="E8" s="11">
        <f t="shared" si="2"/>
        <v>0.17389299999999999</v>
      </c>
    </row>
    <row r="9" spans="1:5" ht="20.399999999999999" customHeight="1" x14ac:dyDescent="0.3">
      <c r="A9" s="7" t="str">
        <f t="shared" si="0"/>
        <v>grp2_to_mot4</v>
      </c>
      <c r="B9" s="2">
        <v>2</v>
      </c>
      <c r="C9" s="2">
        <v>4</v>
      </c>
      <c r="D9" s="6">
        <f t="shared" si="1"/>
        <v>24.001828710758915</v>
      </c>
      <c r="E9" s="11">
        <f t="shared" si="2"/>
        <v>0.17389299999999999</v>
      </c>
    </row>
    <row r="10" spans="1:5" ht="20.399999999999999" customHeight="1" x14ac:dyDescent="0.3">
      <c r="A10" s="7" t="str">
        <f t="shared" si="0"/>
        <v>grp3_to_mot1</v>
      </c>
      <c r="B10" s="2">
        <v>3</v>
      </c>
      <c r="C10" s="2">
        <v>1</v>
      </c>
      <c r="D10" s="6">
        <f t="shared" si="1"/>
        <v>24.001828710758915</v>
      </c>
      <c r="E10" s="11">
        <f t="shared" si="2"/>
        <v>0.17389299999999999</v>
      </c>
    </row>
    <row r="11" spans="1:5" ht="20.399999999999999" customHeight="1" x14ac:dyDescent="0.3">
      <c r="A11" s="7" t="str">
        <f t="shared" si="0"/>
        <v>grp3_to_mot2</v>
      </c>
      <c r="B11" s="2">
        <v>3</v>
      </c>
      <c r="C11" s="2">
        <v>2</v>
      </c>
      <c r="D11" s="6">
        <f t="shared" si="1"/>
        <v>24.001828710758915</v>
      </c>
      <c r="E11" s="11">
        <f t="shared" si="2"/>
        <v>0.17389299999999999</v>
      </c>
    </row>
    <row r="12" spans="1:5" ht="20.399999999999999" customHeight="1" x14ac:dyDescent="0.3">
      <c r="A12" s="7" t="str">
        <f t="shared" si="0"/>
        <v>grp3_to_mot3</v>
      </c>
      <c r="B12" s="2">
        <v>3</v>
      </c>
      <c r="C12" s="2">
        <v>3</v>
      </c>
      <c r="D12" s="6">
        <f t="shared" si="1"/>
        <v>24.001828710758915</v>
      </c>
      <c r="E12" s="11">
        <f t="shared" si="2"/>
        <v>0.17389299999999999</v>
      </c>
    </row>
    <row r="13" spans="1:5" ht="20.399999999999999" customHeight="1" x14ac:dyDescent="0.3">
      <c r="A13" s="7" t="str">
        <f t="shared" si="0"/>
        <v>grp3_to_mot4</v>
      </c>
      <c r="B13" s="2">
        <v>3</v>
      </c>
      <c r="C13" s="2">
        <v>4</v>
      </c>
      <c r="D13" s="6">
        <f t="shared" si="1"/>
        <v>24.001828710758915</v>
      </c>
      <c r="E13" s="11">
        <f t="shared" si="2"/>
        <v>0.17389299999999999</v>
      </c>
    </row>
    <row r="14" spans="1:5" ht="20.399999999999999" customHeight="1" x14ac:dyDescent="0.3">
      <c r="A14" s="7" t="str">
        <f t="shared" si="0"/>
        <v>grp4_to_mot1</v>
      </c>
      <c r="B14" s="2">
        <v>4</v>
      </c>
      <c r="C14" s="2">
        <v>1</v>
      </c>
      <c r="D14" s="6">
        <f t="shared" si="1"/>
        <v>24.001828710758915</v>
      </c>
      <c r="E14" s="11">
        <f t="shared" si="2"/>
        <v>0.17389299999999999</v>
      </c>
    </row>
    <row r="15" spans="1:5" ht="20.399999999999999" customHeight="1" x14ac:dyDescent="0.3">
      <c r="A15" s="7" t="str">
        <f t="shared" si="0"/>
        <v>grp4_to_mot2</v>
      </c>
      <c r="B15" s="2">
        <v>4</v>
      </c>
      <c r="C15" s="2">
        <v>2</v>
      </c>
      <c r="D15" s="6">
        <f t="shared" si="1"/>
        <v>24.001828710758915</v>
      </c>
      <c r="E15" s="11">
        <f t="shared" si="2"/>
        <v>0.17389299999999999</v>
      </c>
    </row>
    <row r="16" spans="1:5" ht="20.399999999999999" customHeight="1" x14ac:dyDescent="0.3">
      <c r="A16" s="7" t="str">
        <f t="shared" si="0"/>
        <v>grp4_to_mot3</v>
      </c>
      <c r="B16" s="2">
        <v>4</v>
      </c>
      <c r="C16" s="2">
        <v>3</v>
      </c>
      <c r="D16" s="6">
        <f t="shared" si="1"/>
        <v>24.001828710758915</v>
      </c>
      <c r="E16" s="11">
        <f t="shared" si="2"/>
        <v>0.17389299999999999</v>
      </c>
    </row>
    <row r="17" spans="1:5" ht="20.399999999999999" customHeight="1" x14ac:dyDescent="0.3">
      <c r="A17" s="7" t="str">
        <f t="shared" si="0"/>
        <v>grp4_to_mot4</v>
      </c>
      <c r="B17" s="2">
        <v>4</v>
      </c>
      <c r="C17" s="2">
        <v>4</v>
      </c>
      <c r="D17" s="6">
        <f t="shared" si="1"/>
        <v>24.001828710758915</v>
      </c>
      <c r="E17" s="11">
        <f t="shared" si="2"/>
        <v>0.17389299999999999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battery_config</vt:lpstr>
      <vt:lpstr>BOL_cell_fct_CRate</vt:lpstr>
      <vt:lpstr>DCIR_P70X</vt:lpstr>
      <vt:lpstr>cables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 St. Michel</cp:lastModifiedBy>
  <dcterms:created xsi:type="dcterms:W3CDTF">2025-05-08T19:48:10Z</dcterms:created>
  <dcterms:modified xsi:type="dcterms:W3CDTF">2025-11-17T13:41:56Z</dcterms:modified>
</cp:coreProperties>
</file>