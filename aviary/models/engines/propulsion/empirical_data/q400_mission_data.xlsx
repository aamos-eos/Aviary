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Amos\Documents\code\aircraft_performance\models\openconcept\openconcept\propulsion\empirical_data\"/>
    </mc:Choice>
  </mc:AlternateContent>
  <xr:revisionPtr revIDLastSave="0" documentId="13_ncr:1_{C5C1575D-05F8-442F-B538-7E96881EC98E}" xr6:coauthVersionLast="47" xr6:coauthVersionMax="47" xr10:uidLastSave="{00000000-0000-0000-0000-000000000000}"/>
  <bookViews>
    <workbookView xWindow="28680" yWindow="-120" windowWidth="25440" windowHeight="15270" xr2:uid="{506C2DB4-C107-474F-A7B1-2F6C48F84029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" i="1"/>
  <c r="K115" i="1"/>
  <c r="Q10" i="1"/>
  <c r="R10" i="1" s="1"/>
  <c r="Q11" i="1"/>
  <c r="Q12" i="1"/>
  <c r="Q13" i="1"/>
  <c r="Q14" i="1"/>
  <c r="Q15" i="1"/>
  <c r="Q16" i="1"/>
  <c r="R16" i="1" s="1"/>
  <c r="Q17" i="1"/>
  <c r="Q26" i="1"/>
  <c r="R26" i="1" s="1"/>
  <c r="Q27" i="1"/>
  <c r="R27" i="1" s="1"/>
  <c r="Q28" i="1"/>
  <c r="R28" i="1" s="1"/>
  <c r="Q29" i="1"/>
  <c r="R29" i="1" s="1"/>
  <c r="Q30" i="1"/>
  <c r="R30" i="1" s="1"/>
  <c r="Q31" i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74" i="1"/>
  <c r="Q75" i="1"/>
  <c r="Q76" i="1"/>
  <c r="Q77" i="1"/>
  <c r="R77" i="1" s="1"/>
  <c r="Q78" i="1"/>
  <c r="R78" i="1" s="1"/>
  <c r="Q79" i="1"/>
  <c r="R79" i="1" s="1"/>
  <c r="Q80" i="1"/>
  <c r="R80" i="1" s="1"/>
  <c r="Q81" i="1"/>
  <c r="R81" i="1" s="1"/>
  <c r="Q90" i="1"/>
  <c r="Q91" i="1"/>
  <c r="Q92" i="1"/>
  <c r="Q93" i="1"/>
  <c r="Q94" i="1"/>
  <c r="R94" i="1" s="1"/>
  <c r="Q95" i="1"/>
  <c r="R95" i="1" s="1"/>
  <c r="Q106" i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9" i="1"/>
  <c r="Q120" i="1"/>
  <c r="Q121" i="1"/>
  <c r="Q123" i="1"/>
  <c r="Q124" i="1"/>
  <c r="Q125" i="1"/>
  <c r="Q126" i="1"/>
  <c r="Q127" i="1"/>
  <c r="Q138" i="1"/>
  <c r="Q139" i="1"/>
  <c r="Q140" i="1"/>
  <c r="Q141" i="1"/>
  <c r="Q142" i="1"/>
  <c r="Q143" i="1"/>
  <c r="Q144" i="1"/>
  <c r="Q145" i="1"/>
  <c r="Q151" i="1"/>
  <c r="Q152" i="1"/>
  <c r="Q154" i="1"/>
  <c r="Q155" i="1"/>
  <c r="Q156" i="1"/>
  <c r="Q157" i="1"/>
  <c r="Q158" i="1"/>
  <c r="Q159" i="1"/>
  <c r="Q160" i="1"/>
  <c r="Q170" i="1"/>
  <c r="Q171" i="1"/>
  <c r="Q172" i="1"/>
  <c r="Q173" i="1"/>
  <c r="Q174" i="1"/>
  <c r="Q175" i="1"/>
  <c r="Q176" i="1"/>
  <c r="Q177" i="1"/>
  <c r="Q186" i="1"/>
  <c r="Q187" i="1"/>
  <c r="Q188" i="1"/>
  <c r="Q189" i="1"/>
  <c r="Q190" i="1"/>
  <c r="Q191" i="1"/>
  <c r="Q202" i="1"/>
  <c r="Q203" i="1"/>
  <c r="Q204" i="1"/>
  <c r="Q205" i="1"/>
  <c r="Q206" i="1"/>
  <c r="Q207" i="1"/>
  <c r="Q208" i="1"/>
  <c r="Q209" i="1"/>
  <c r="Q218" i="1"/>
  <c r="Q219" i="1"/>
  <c r="Q220" i="1"/>
  <c r="Q221" i="1"/>
  <c r="Q222" i="1"/>
  <c r="Q223" i="1"/>
  <c r="Q224" i="1"/>
  <c r="Q234" i="1"/>
  <c r="Q235" i="1"/>
  <c r="Q236" i="1"/>
  <c r="Q237" i="1"/>
  <c r="Q238" i="1"/>
  <c r="Q239" i="1"/>
  <c r="Q240" i="1"/>
  <c r="Q241" i="1"/>
  <c r="Q250" i="1"/>
  <c r="Q251" i="1"/>
  <c r="Q252" i="1"/>
  <c r="Q253" i="1"/>
  <c r="Q254" i="1"/>
  <c r="Q255" i="1"/>
  <c r="Q256" i="1"/>
  <c r="Q266" i="1"/>
  <c r="Q267" i="1"/>
  <c r="Q268" i="1"/>
  <c r="Q269" i="1"/>
  <c r="Q270" i="1"/>
  <c r="Q271" i="1"/>
  <c r="Q272" i="1"/>
  <c r="Q273" i="1"/>
  <c r="J3" i="1"/>
  <c r="Q3" i="1" s="1"/>
  <c r="R3" i="1" s="1"/>
  <c r="J4" i="1"/>
  <c r="Q4" i="1" s="1"/>
  <c r="R4" i="1" s="1"/>
  <c r="J5" i="1"/>
  <c r="Q5" i="1" s="1"/>
  <c r="R5" i="1" s="1"/>
  <c r="J6" i="1"/>
  <c r="Q6" i="1" s="1"/>
  <c r="R6" i="1" s="1"/>
  <c r="J7" i="1"/>
  <c r="Q7" i="1" s="1"/>
  <c r="R7" i="1" s="1"/>
  <c r="J8" i="1"/>
  <c r="Q8" i="1" s="1"/>
  <c r="R8" i="1" s="1"/>
  <c r="J9" i="1"/>
  <c r="Q9" i="1" s="1"/>
  <c r="J10" i="1"/>
  <c r="J11" i="1"/>
  <c r="J12" i="1"/>
  <c r="J13" i="1"/>
  <c r="J14" i="1"/>
  <c r="J15" i="1"/>
  <c r="J16" i="1"/>
  <c r="J17" i="1"/>
  <c r="J18" i="1"/>
  <c r="Q18" i="1" s="1"/>
  <c r="J19" i="1"/>
  <c r="Q19" i="1" s="1"/>
  <c r="J20" i="1"/>
  <c r="Q20" i="1" s="1"/>
  <c r="R20" i="1" s="1"/>
  <c r="J21" i="1"/>
  <c r="Q21" i="1" s="1"/>
  <c r="R21" i="1" s="1"/>
  <c r="J22" i="1"/>
  <c r="Q22" i="1" s="1"/>
  <c r="R22" i="1" s="1"/>
  <c r="J23" i="1"/>
  <c r="Q23" i="1" s="1"/>
  <c r="R23" i="1" s="1"/>
  <c r="J24" i="1"/>
  <c r="Q24" i="1" s="1"/>
  <c r="R24" i="1" s="1"/>
  <c r="J25" i="1"/>
  <c r="Q25" i="1" s="1"/>
  <c r="R25" i="1" s="1"/>
  <c r="J26" i="1"/>
  <c r="J27" i="1"/>
  <c r="J28" i="1"/>
  <c r="J29" i="1"/>
  <c r="J30" i="1"/>
  <c r="J31" i="1"/>
  <c r="J32" i="1"/>
  <c r="Q32" i="1" s="1"/>
  <c r="R32" i="1" s="1"/>
  <c r="J33" i="1"/>
  <c r="Q33" i="1" s="1"/>
  <c r="J34" i="1"/>
  <c r="Q34" i="1" s="1"/>
  <c r="J35" i="1"/>
  <c r="Q35" i="1" s="1"/>
  <c r="R35" i="1" s="1"/>
  <c r="J36" i="1"/>
  <c r="Q36" i="1" s="1"/>
  <c r="R36" i="1" s="1"/>
  <c r="J37" i="1"/>
  <c r="Q37" i="1" s="1"/>
  <c r="R37" i="1" s="1"/>
  <c r="J38" i="1"/>
  <c r="Q38" i="1" s="1"/>
  <c r="R38" i="1" s="1"/>
  <c r="J39" i="1"/>
  <c r="Q39" i="1" s="1"/>
  <c r="R39" i="1" s="1"/>
  <c r="J40" i="1"/>
  <c r="Q40" i="1" s="1"/>
  <c r="R40" i="1" s="1"/>
  <c r="J41" i="1"/>
  <c r="Q41" i="1" s="1"/>
  <c r="R41" i="1" s="1"/>
  <c r="J42" i="1"/>
  <c r="J43" i="1"/>
  <c r="J44" i="1"/>
  <c r="J45" i="1"/>
  <c r="J46" i="1"/>
  <c r="J47" i="1"/>
  <c r="J48" i="1"/>
  <c r="J49" i="1"/>
  <c r="J50" i="1"/>
  <c r="Q50" i="1" s="1"/>
  <c r="R50" i="1" s="1"/>
  <c r="J51" i="1"/>
  <c r="Q51" i="1" s="1"/>
  <c r="R51" i="1" s="1"/>
  <c r="J52" i="1"/>
  <c r="Q52" i="1" s="1"/>
  <c r="R52" i="1" s="1"/>
  <c r="J53" i="1"/>
  <c r="Q53" i="1" s="1"/>
  <c r="R53" i="1" s="1"/>
  <c r="J54" i="1"/>
  <c r="Q54" i="1" s="1"/>
  <c r="R54" i="1" s="1"/>
  <c r="J55" i="1"/>
  <c r="Q55" i="1" s="1"/>
  <c r="R55" i="1" s="1"/>
  <c r="J56" i="1"/>
  <c r="J57" i="1"/>
  <c r="J58" i="1"/>
  <c r="J59" i="1"/>
  <c r="J60" i="1"/>
  <c r="J61" i="1"/>
  <c r="J62" i="1"/>
  <c r="J63" i="1"/>
  <c r="J64" i="1"/>
  <c r="Q64" i="1" s="1"/>
  <c r="R64" i="1" s="1"/>
  <c r="J65" i="1"/>
  <c r="Q65" i="1" s="1"/>
  <c r="R65" i="1" s="1"/>
  <c r="J66" i="1"/>
  <c r="Q66" i="1" s="1"/>
  <c r="R66" i="1" s="1"/>
  <c r="J67" i="1"/>
  <c r="Q67" i="1" s="1"/>
  <c r="R67" i="1" s="1"/>
  <c r="J68" i="1"/>
  <c r="Q68" i="1" s="1"/>
  <c r="R68" i="1" s="1"/>
  <c r="J69" i="1"/>
  <c r="Q69" i="1" s="1"/>
  <c r="R69" i="1" s="1"/>
  <c r="J70" i="1"/>
  <c r="Q70" i="1" s="1"/>
  <c r="R70" i="1" s="1"/>
  <c r="J71" i="1"/>
  <c r="Q71" i="1" s="1"/>
  <c r="R71" i="1" s="1"/>
  <c r="J72" i="1"/>
  <c r="Q72" i="1" s="1"/>
  <c r="R72" i="1" s="1"/>
  <c r="J73" i="1"/>
  <c r="Q73" i="1" s="1"/>
  <c r="J74" i="1"/>
  <c r="J75" i="1"/>
  <c r="J76" i="1"/>
  <c r="J77" i="1"/>
  <c r="J78" i="1"/>
  <c r="J79" i="1"/>
  <c r="J80" i="1"/>
  <c r="J81" i="1"/>
  <c r="J82" i="1"/>
  <c r="Q82" i="1" s="1"/>
  <c r="R82" i="1" s="1"/>
  <c r="J83" i="1"/>
  <c r="Q83" i="1" s="1"/>
  <c r="J84" i="1"/>
  <c r="Q84" i="1" s="1"/>
  <c r="J85" i="1"/>
  <c r="Q85" i="1" s="1"/>
  <c r="J86" i="1"/>
  <c r="Q86" i="1" s="1"/>
  <c r="R86" i="1" s="1"/>
  <c r="J87" i="1"/>
  <c r="Q87" i="1" s="1"/>
  <c r="R87" i="1" s="1"/>
  <c r="J88" i="1"/>
  <c r="Q88" i="1" s="1"/>
  <c r="R88" i="1" s="1"/>
  <c r="J89" i="1"/>
  <c r="Q89" i="1" s="1"/>
  <c r="R89" i="1" s="1"/>
  <c r="J90" i="1"/>
  <c r="J91" i="1"/>
  <c r="J92" i="1"/>
  <c r="J93" i="1"/>
  <c r="J94" i="1"/>
  <c r="J95" i="1"/>
  <c r="J96" i="1"/>
  <c r="Q96" i="1" s="1"/>
  <c r="R96" i="1" s="1"/>
  <c r="J97" i="1"/>
  <c r="Q97" i="1" s="1"/>
  <c r="R97" i="1" s="1"/>
  <c r="J98" i="1"/>
  <c r="Q98" i="1" s="1"/>
  <c r="R98" i="1" s="1"/>
  <c r="J99" i="1"/>
  <c r="Q99" i="1" s="1"/>
  <c r="R99" i="1" s="1"/>
  <c r="J100" i="1"/>
  <c r="Q100" i="1" s="1"/>
  <c r="R100" i="1" s="1"/>
  <c r="J101" i="1"/>
  <c r="Q101" i="1" s="1"/>
  <c r="R101" i="1" s="1"/>
  <c r="J102" i="1"/>
  <c r="Q102" i="1" s="1"/>
  <c r="R102" i="1" s="1"/>
  <c r="J103" i="1"/>
  <c r="Q103" i="1" s="1"/>
  <c r="R103" i="1" s="1"/>
  <c r="J104" i="1"/>
  <c r="Q104" i="1" s="1"/>
  <c r="R104" i="1" s="1"/>
  <c r="J105" i="1"/>
  <c r="Q105" i="1" s="1"/>
  <c r="J106" i="1"/>
  <c r="J107" i="1"/>
  <c r="J108" i="1"/>
  <c r="J109" i="1"/>
  <c r="J110" i="1"/>
  <c r="J111" i="1"/>
  <c r="J112" i="1"/>
  <c r="J113" i="1"/>
  <c r="J114" i="1"/>
  <c r="Q114" i="1" s="1"/>
  <c r="J115" i="1"/>
  <c r="Q115" i="1" s="1"/>
  <c r="J116" i="1"/>
  <c r="Q116" i="1" s="1"/>
  <c r="J117" i="1"/>
  <c r="Q117" i="1" s="1"/>
  <c r="J118" i="1"/>
  <c r="Q118" i="1" s="1"/>
  <c r="J119" i="1"/>
  <c r="J120" i="1"/>
  <c r="J121" i="1"/>
  <c r="J122" i="1"/>
  <c r="Q122" i="1" s="1"/>
  <c r="J123" i="1"/>
  <c r="J124" i="1"/>
  <c r="J125" i="1"/>
  <c r="J126" i="1"/>
  <c r="J127" i="1"/>
  <c r="J128" i="1"/>
  <c r="Q128" i="1" s="1"/>
  <c r="J129" i="1"/>
  <c r="Q129" i="1" s="1"/>
  <c r="J130" i="1"/>
  <c r="Q130" i="1" s="1"/>
  <c r="J131" i="1"/>
  <c r="Q131" i="1" s="1"/>
  <c r="J132" i="1"/>
  <c r="Q132" i="1" s="1"/>
  <c r="J133" i="1"/>
  <c r="Q133" i="1" s="1"/>
  <c r="J134" i="1"/>
  <c r="Q134" i="1" s="1"/>
  <c r="J135" i="1"/>
  <c r="Q135" i="1" s="1"/>
  <c r="J136" i="1"/>
  <c r="Q136" i="1" s="1"/>
  <c r="J137" i="1"/>
  <c r="Q137" i="1" s="1"/>
  <c r="J138" i="1"/>
  <c r="J139" i="1"/>
  <c r="J140" i="1"/>
  <c r="J141" i="1"/>
  <c r="J142" i="1"/>
  <c r="J143" i="1"/>
  <c r="J144" i="1"/>
  <c r="J145" i="1"/>
  <c r="J146" i="1"/>
  <c r="Q146" i="1" s="1"/>
  <c r="J147" i="1"/>
  <c r="Q147" i="1" s="1"/>
  <c r="J148" i="1"/>
  <c r="Q148" i="1" s="1"/>
  <c r="J149" i="1"/>
  <c r="Q149" i="1" s="1"/>
  <c r="J150" i="1"/>
  <c r="Q150" i="1" s="1"/>
  <c r="J151" i="1"/>
  <c r="J152" i="1"/>
  <c r="J153" i="1"/>
  <c r="Q153" i="1" s="1"/>
  <c r="J154" i="1"/>
  <c r="J155" i="1"/>
  <c r="J156" i="1"/>
  <c r="J157" i="1"/>
  <c r="J158" i="1"/>
  <c r="J159" i="1"/>
  <c r="J160" i="1"/>
  <c r="J161" i="1"/>
  <c r="Q161" i="1" s="1"/>
  <c r="J162" i="1"/>
  <c r="Q162" i="1" s="1"/>
  <c r="J163" i="1"/>
  <c r="Q163" i="1" s="1"/>
  <c r="J164" i="1"/>
  <c r="Q164" i="1" s="1"/>
  <c r="J165" i="1"/>
  <c r="Q165" i="1" s="1"/>
  <c r="J166" i="1"/>
  <c r="Q166" i="1" s="1"/>
  <c r="J167" i="1"/>
  <c r="Q167" i="1" s="1"/>
  <c r="J168" i="1"/>
  <c r="Q168" i="1" s="1"/>
  <c r="J169" i="1"/>
  <c r="Q169" i="1" s="1"/>
  <c r="J170" i="1"/>
  <c r="J171" i="1"/>
  <c r="J172" i="1"/>
  <c r="J173" i="1"/>
  <c r="J174" i="1"/>
  <c r="J175" i="1"/>
  <c r="J176" i="1"/>
  <c r="J177" i="1"/>
  <c r="J178" i="1"/>
  <c r="Q178" i="1" s="1"/>
  <c r="J179" i="1"/>
  <c r="Q179" i="1" s="1"/>
  <c r="J180" i="1"/>
  <c r="Q180" i="1" s="1"/>
  <c r="J181" i="1"/>
  <c r="Q181" i="1" s="1"/>
  <c r="J182" i="1"/>
  <c r="Q182" i="1" s="1"/>
  <c r="J183" i="1"/>
  <c r="Q183" i="1" s="1"/>
  <c r="J184" i="1"/>
  <c r="Q184" i="1" s="1"/>
  <c r="J185" i="1"/>
  <c r="Q185" i="1" s="1"/>
  <c r="J186" i="1"/>
  <c r="J187" i="1"/>
  <c r="J188" i="1"/>
  <c r="J189" i="1"/>
  <c r="J190" i="1"/>
  <c r="J191" i="1"/>
  <c r="J192" i="1"/>
  <c r="Q192" i="1" s="1"/>
  <c r="J193" i="1"/>
  <c r="Q193" i="1" s="1"/>
  <c r="J194" i="1"/>
  <c r="Q194" i="1" s="1"/>
  <c r="J195" i="1"/>
  <c r="Q195" i="1" s="1"/>
  <c r="J196" i="1"/>
  <c r="Q196" i="1" s="1"/>
  <c r="J197" i="1"/>
  <c r="Q197" i="1" s="1"/>
  <c r="J198" i="1"/>
  <c r="Q198" i="1" s="1"/>
  <c r="J199" i="1"/>
  <c r="Q199" i="1" s="1"/>
  <c r="J200" i="1"/>
  <c r="Q200" i="1" s="1"/>
  <c r="J201" i="1"/>
  <c r="Q201" i="1" s="1"/>
  <c r="J202" i="1"/>
  <c r="J203" i="1"/>
  <c r="J204" i="1"/>
  <c r="J205" i="1"/>
  <c r="J206" i="1"/>
  <c r="J207" i="1"/>
  <c r="J208" i="1"/>
  <c r="J209" i="1"/>
  <c r="J210" i="1"/>
  <c r="Q210" i="1" s="1"/>
  <c r="J211" i="1"/>
  <c r="Q211" i="1" s="1"/>
  <c r="J212" i="1"/>
  <c r="Q212" i="1" s="1"/>
  <c r="J213" i="1"/>
  <c r="Q213" i="1" s="1"/>
  <c r="J214" i="1"/>
  <c r="Q214" i="1" s="1"/>
  <c r="J215" i="1"/>
  <c r="Q215" i="1" s="1"/>
  <c r="J216" i="1"/>
  <c r="Q216" i="1" s="1"/>
  <c r="J217" i="1"/>
  <c r="Q217" i="1" s="1"/>
  <c r="J218" i="1"/>
  <c r="J219" i="1"/>
  <c r="J220" i="1"/>
  <c r="J221" i="1"/>
  <c r="J222" i="1"/>
  <c r="J223" i="1"/>
  <c r="J224" i="1"/>
  <c r="J225" i="1"/>
  <c r="Q225" i="1" s="1"/>
  <c r="J226" i="1"/>
  <c r="Q226" i="1" s="1"/>
  <c r="J227" i="1"/>
  <c r="Q227" i="1" s="1"/>
  <c r="J228" i="1"/>
  <c r="Q228" i="1" s="1"/>
  <c r="J229" i="1"/>
  <c r="Q229" i="1" s="1"/>
  <c r="J230" i="1"/>
  <c r="Q230" i="1" s="1"/>
  <c r="J231" i="1"/>
  <c r="Q231" i="1" s="1"/>
  <c r="J232" i="1"/>
  <c r="Q232" i="1" s="1"/>
  <c r="J233" i="1"/>
  <c r="Q233" i="1" s="1"/>
  <c r="J234" i="1"/>
  <c r="J235" i="1"/>
  <c r="J236" i="1"/>
  <c r="J237" i="1"/>
  <c r="J238" i="1"/>
  <c r="J239" i="1"/>
  <c r="J240" i="1"/>
  <c r="J241" i="1"/>
  <c r="J242" i="1"/>
  <c r="Q242" i="1" s="1"/>
  <c r="J243" i="1"/>
  <c r="Q243" i="1" s="1"/>
  <c r="J244" i="1"/>
  <c r="Q244" i="1" s="1"/>
  <c r="J245" i="1"/>
  <c r="Q245" i="1" s="1"/>
  <c r="J246" i="1"/>
  <c r="Q246" i="1" s="1"/>
  <c r="J247" i="1"/>
  <c r="Q247" i="1" s="1"/>
  <c r="J248" i="1"/>
  <c r="Q248" i="1" s="1"/>
  <c r="J249" i="1"/>
  <c r="Q249" i="1" s="1"/>
  <c r="J250" i="1"/>
  <c r="J251" i="1"/>
  <c r="J252" i="1"/>
  <c r="J253" i="1"/>
  <c r="J254" i="1"/>
  <c r="J255" i="1"/>
  <c r="J256" i="1"/>
  <c r="J257" i="1"/>
  <c r="Q257" i="1" s="1"/>
  <c r="J258" i="1"/>
  <c r="Q258" i="1" s="1"/>
  <c r="J259" i="1"/>
  <c r="Q259" i="1" s="1"/>
  <c r="J260" i="1"/>
  <c r="Q260" i="1" s="1"/>
  <c r="J261" i="1"/>
  <c r="Q261" i="1" s="1"/>
  <c r="J262" i="1"/>
  <c r="Q262" i="1" s="1"/>
  <c r="J263" i="1"/>
  <c r="Q263" i="1" s="1"/>
  <c r="J264" i="1"/>
  <c r="Q264" i="1" s="1"/>
  <c r="J265" i="1"/>
  <c r="Q265" i="1" s="1"/>
  <c r="J266" i="1"/>
  <c r="J267" i="1"/>
  <c r="J268" i="1"/>
  <c r="J269" i="1"/>
  <c r="J270" i="1"/>
  <c r="J271" i="1"/>
  <c r="J272" i="1"/>
  <c r="J273" i="1"/>
  <c r="J274" i="1"/>
  <c r="Q274" i="1" s="1"/>
  <c r="J275" i="1"/>
  <c r="Q275" i="1" s="1"/>
  <c r="J276" i="1"/>
  <c r="Q276" i="1" s="1"/>
  <c r="J277" i="1"/>
  <c r="Q277" i="1" s="1"/>
  <c r="J278" i="1"/>
  <c r="Q278" i="1" s="1"/>
  <c r="J279" i="1"/>
  <c r="Q279" i="1" s="1"/>
  <c r="J280" i="1"/>
  <c r="Q280" i="1" s="1"/>
  <c r="J281" i="1"/>
  <c r="Q281" i="1" s="1"/>
  <c r="J2" i="1"/>
  <c r="Q2" i="1" s="1"/>
  <c r="R2" i="1" s="1"/>
  <c r="R9" i="1"/>
  <c r="R11" i="1"/>
  <c r="R12" i="1"/>
  <c r="R13" i="1"/>
  <c r="R14" i="1"/>
  <c r="R15" i="1"/>
  <c r="R17" i="1"/>
  <c r="R18" i="1"/>
  <c r="R19" i="1"/>
  <c r="R31" i="1"/>
  <c r="R33" i="1"/>
  <c r="R34" i="1"/>
  <c r="R73" i="1"/>
  <c r="R74" i="1"/>
  <c r="R75" i="1"/>
  <c r="R76" i="1"/>
  <c r="R83" i="1"/>
  <c r="R84" i="1"/>
  <c r="R85" i="1"/>
  <c r="R90" i="1"/>
  <c r="R91" i="1"/>
  <c r="R92" i="1"/>
  <c r="R93" i="1"/>
  <c r="R105" i="1"/>
  <c r="R106" i="1"/>
  <c r="E12" i="1"/>
  <c r="E14" i="1"/>
  <c r="E28" i="1"/>
  <c r="E30" i="1"/>
  <c r="E31" i="1"/>
  <c r="E44" i="1"/>
  <c r="E46" i="1"/>
  <c r="E47" i="1"/>
  <c r="E48" i="1"/>
  <c r="E50" i="1"/>
  <c r="E76" i="1"/>
  <c r="E78" i="1"/>
  <c r="E92" i="1"/>
  <c r="E93" i="1"/>
  <c r="E107" i="1"/>
  <c r="E114" i="1"/>
  <c r="E116" i="1"/>
  <c r="E129" i="1"/>
  <c r="H129" i="1" s="1"/>
  <c r="R129" i="1" s="1"/>
  <c r="E142" i="1"/>
  <c r="E143" i="1"/>
  <c r="H143" i="1" s="1"/>
  <c r="R143" i="1" s="1"/>
  <c r="E144" i="1"/>
  <c r="H144" i="1" s="1"/>
  <c r="E146" i="1"/>
  <c r="E156" i="1"/>
  <c r="E157" i="1"/>
  <c r="E158" i="1"/>
  <c r="E171" i="1"/>
  <c r="E172" i="1"/>
  <c r="E173" i="1"/>
  <c r="E188" i="1"/>
  <c r="E189" i="1"/>
  <c r="E190" i="1"/>
  <c r="E204" i="1"/>
  <c r="E213" i="1"/>
  <c r="E214" i="1"/>
  <c r="E240" i="1"/>
  <c r="E242" i="1"/>
  <c r="E243" i="1"/>
  <c r="E254" i="1"/>
  <c r="E255" i="1"/>
  <c r="E256" i="1"/>
  <c r="E270" i="1"/>
  <c r="E271" i="1"/>
  <c r="E276" i="1"/>
  <c r="E278" i="1"/>
  <c r="F3" i="1"/>
  <c r="E3" i="1" s="1"/>
  <c r="F4" i="1"/>
  <c r="E4" i="1" s="1"/>
  <c r="F5" i="1"/>
  <c r="E5" i="1" s="1"/>
  <c r="F6" i="1"/>
  <c r="E6" i="1" s="1"/>
  <c r="F7" i="1"/>
  <c r="E7" i="1" s="1"/>
  <c r="F8" i="1"/>
  <c r="E8" i="1" s="1"/>
  <c r="F9" i="1"/>
  <c r="E9" i="1" s="1"/>
  <c r="F10" i="1"/>
  <c r="E10" i="1" s="1"/>
  <c r="F11" i="1"/>
  <c r="E11" i="1" s="1"/>
  <c r="F12" i="1"/>
  <c r="F13" i="1"/>
  <c r="E13" i="1" s="1"/>
  <c r="F14" i="1"/>
  <c r="F15" i="1"/>
  <c r="E15" i="1" s="1"/>
  <c r="F16" i="1"/>
  <c r="E16" i="1" s="1"/>
  <c r="F17" i="1"/>
  <c r="E17" i="1" s="1"/>
  <c r="F18" i="1"/>
  <c r="E18" i="1" s="1"/>
  <c r="F19" i="1"/>
  <c r="E19" i="1" s="1"/>
  <c r="F20" i="1"/>
  <c r="E20" i="1" s="1"/>
  <c r="F21" i="1"/>
  <c r="E21" i="1" s="1"/>
  <c r="F22" i="1"/>
  <c r="E22" i="1" s="1"/>
  <c r="F23" i="1"/>
  <c r="E23" i="1" s="1"/>
  <c r="F24" i="1"/>
  <c r="E24" i="1" s="1"/>
  <c r="F25" i="1"/>
  <c r="E25" i="1" s="1"/>
  <c r="F26" i="1"/>
  <c r="E26" i="1" s="1"/>
  <c r="F27" i="1"/>
  <c r="E27" i="1" s="1"/>
  <c r="F28" i="1"/>
  <c r="F29" i="1"/>
  <c r="E29" i="1" s="1"/>
  <c r="F30" i="1"/>
  <c r="F31" i="1"/>
  <c r="F32" i="1"/>
  <c r="E32" i="1" s="1"/>
  <c r="F33" i="1"/>
  <c r="E33" i="1" s="1"/>
  <c r="F34" i="1"/>
  <c r="E34" i="1" s="1"/>
  <c r="F35" i="1"/>
  <c r="E35" i="1" s="1"/>
  <c r="F36" i="1"/>
  <c r="E36" i="1" s="1"/>
  <c r="F37" i="1"/>
  <c r="E37" i="1" s="1"/>
  <c r="F38" i="1"/>
  <c r="E38" i="1" s="1"/>
  <c r="F39" i="1"/>
  <c r="E39" i="1" s="1"/>
  <c r="F40" i="1"/>
  <c r="E40" i="1" s="1"/>
  <c r="F41" i="1"/>
  <c r="E41" i="1" s="1"/>
  <c r="F42" i="1"/>
  <c r="E42" i="1" s="1"/>
  <c r="F43" i="1"/>
  <c r="E43" i="1" s="1"/>
  <c r="F44" i="1"/>
  <c r="F45" i="1"/>
  <c r="E45" i="1" s="1"/>
  <c r="F46" i="1"/>
  <c r="F47" i="1"/>
  <c r="F48" i="1"/>
  <c r="F49" i="1"/>
  <c r="E49" i="1" s="1"/>
  <c r="F50" i="1"/>
  <c r="F51" i="1"/>
  <c r="E51" i="1" s="1"/>
  <c r="F52" i="1"/>
  <c r="E52" i="1" s="1"/>
  <c r="F53" i="1"/>
  <c r="E53" i="1" s="1"/>
  <c r="F54" i="1"/>
  <c r="E54" i="1" s="1"/>
  <c r="F55" i="1"/>
  <c r="E55" i="1" s="1"/>
  <c r="F56" i="1"/>
  <c r="E56" i="1" s="1"/>
  <c r="F57" i="1"/>
  <c r="E57" i="1" s="1"/>
  <c r="F58" i="1"/>
  <c r="E58" i="1" s="1"/>
  <c r="F59" i="1"/>
  <c r="E59" i="1" s="1"/>
  <c r="F60" i="1"/>
  <c r="E60" i="1" s="1"/>
  <c r="F61" i="1"/>
  <c r="E61" i="1" s="1"/>
  <c r="F62" i="1"/>
  <c r="E62" i="1" s="1"/>
  <c r="F63" i="1"/>
  <c r="E63" i="1" s="1"/>
  <c r="F64" i="1"/>
  <c r="E64" i="1" s="1"/>
  <c r="F65" i="1"/>
  <c r="E65" i="1" s="1"/>
  <c r="F66" i="1"/>
  <c r="E66" i="1" s="1"/>
  <c r="F67" i="1"/>
  <c r="E67" i="1" s="1"/>
  <c r="F68" i="1"/>
  <c r="E68" i="1" s="1"/>
  <c r="F69" i="1"/>
  <c r="E69" i="1" s="1"/>
  <c r="F70" i="1"/>
  <c r="E70" i="1" s="1"/>
  <c r="F71" i="1"/>
  <c r="E71" i="1" s="1"/>
  <c r="F72" i="1"/>
  <c r="E72" i="1" s="1"/>
  <c r="F73" i="1"/>
  <c r="E73" i="1" s="1"/>
  <c r="F74" i="1"/>
  <c r="E74" i="1" s="1"/>
  <c r="F75" i="1"/>
  <c r="E75" i="1" s="1"/>
  <c r="F76" i="1"/>
  <c r="F77" i="1"/>
  <c r="E77" i="1" s="1"/>
  <c r="F78" i="1"/>
  <c r="F79" i="1"/>
  <c r="E79" i="1" s="1"/>
  <c r="F80" i="1"/>
  <c r="E80" i="1" s="1"/>
  <c r="F81" i="1"/>
  <c r="E81" i="1" s="1"/>
  <c r="F82" i="1"/>
  <c r="E82" i="1" s="1"/>
  <c r="F83" i="1"/>
  <c r="E83" i="1" s="1"/>
  <c r="F84" i="1"/>
  <c r="E84" i="1" s="1"/>
  <c r="F85" i="1"/>
  <c r="E85" i="1" s="1"/>
  <c r="F86" i="1"/>
  <c r="E86" i="1" s="1"/>
  <c r="F87" i="1"/>
  <c r="E87" i="1" s="1"/>
  <c r="F88" i="1"/>
  <c r="E88" i="1" s="1"/>
  <c r="F89" i="1"/>
  <c r="E89" i="1" s="1"/>
  <c r="F90" i="1"/>
  <c r="E90" i="1" s="1"/>
  <c r="F91" i="1"/>
  <c r="E91" i="1" s="1"/>
  <c r="F92" i="1"/>
  <c r="F93" i="1"/>
  <c r="F94" i="1"/>
  <c r="E94" i="1" s="1"/>
  <c r="F95" i="1"/>
  <c r="E95" i="1" s="1"/>
  <c r="F96" i="1"/>
  <c r="E96" i="1" s="1"/>
  <c r="F97" i="1"/>
  <c r="E97" i="1" s="1"/>
  <c r="F98" i="1"/>
  <c r="E98" i="1" s="1"/>
  <c r="F99" i="1"/>
  <c r="E99" i="1" s="1"/>
  <c r="F100" i="1"/>
  <c r="E100" i="1" s="1"/>
  <c r="F101" i="1"/>
  <c r="E101" i="1" s="1"/>
  <c r="F102" i="1"/>
  <c r="E102" i="1" s="1"/>
  <c r="F103" i="1"/>
  <c r="E103" i="1" s="1"/>
  <c r="F104" i="1"/>
  <c r="E104" i="1" s="1"/>
  <c r="F105" i="1"/>
  <c r="E105" i="1" s="1"/>
  <c r="F106" i="1"/>
  <c r="E106" i="1" s="1"/>
  <c r="F107" i="1"/>
  <c r="F108" i="1"/>
  <c r="E108" i="1" s="1"/>
  <c r="F109" i="1"/>
  <c r="E109" i="1" s="1"/>
  <c r="F110" i="1"/>
  <c r="E110" i="1" s="1"/>
  <c r="F111" i="1"/>
  <c r="E111" i="1" s="1"/>
  <c r="F112" i="1"/>
  <c r="E112" i="1" s="1"/>
  <c r="F113" i="1"/>
  <c r="E113" i="1" s="1"/>
  <c r="F114" i="1"/>
  <c r="F115" i="1"/>
  <c r="E115" i="1" s="1"/>
  <c r="F116" i="1"/>
  <c r="F117" i="1"/>
  <c r="E117" i="1" s="1"/>
  <c r="F118" i="1"/>
  <c r="E118" i="1" s="1"/>
  <c r="F119" i="1"/>
  <c r="E119" i="1" s="1"/>
  <c r="F120" i="1"/>
  <c r="E120" i="1" s="1"/>
  <c r="F121" i="1"/>
  <c r="E121" i="1" s="1"/>
  <c r="F122" i="1"/>
  <c r="E122" i="1" s="1"/>
  <c r="F123" i="1"/>
  <c r="E123" i="1" s="1"/>
  <c r="F124" i="1"/>
  <c r="E124" i="1" s="1"/>
  <c r="F125" i="1"/>
  <c r="E125" i="1" s="1"/>
  <c r="F126" i="1"/>
  <c r="E126" i="1" s="1"/>
  <c r="F127" i="1"/>
  <c r="E127" i="1" s="1"/>
  <c r="F128" i="1"/>
  <c r="E128" i="1" s="1"/>
  <c r="F129" i="1"/>
  <c r="F130" i="1"/>
  <c r="E130" i="1" s="1"/>
  <c r="F131" i="1"/>
  <c r="E131" i="1" s="1"/>
  <c r="F132" i="1"/>
  <c r="E132" i="1" s="1"/>
  <c r="F133" i="1"/>
  <c r="E133" i="1" s="1"/>
  <c r="F134" i="1"/>
  <c r="E134" i="1" s="1"/>
  <c r="F135" i="1"/>
  <c r="E135" i="1" s="1"/>
  <c r="F136" i="1"/>
  <c r="E136" i="1" s="1"/>
  <c r="F137" i="1"/>
  <c r="E137" i="1" s="1"/>
  <c r="F138" i="1"/>
  <c r="E138" i="1" s="1"/>
  <c r="F139" i="1"/>
  <c r="E139" i="1" s="1"/>
  <c r="F140" i="1"/>
  <c r="E140" i="1" s="1"/>
  <c r="F141" i="1"/>
  <c r="E141" i="1" s="1"/>
  <c r="F142" i="1"/>
  <c r="F143" i="1"/>
  <c r="F144" i="1"/>
  <c r="F145" i="1"/>
  <c r="E145" i="1" s="1"/>
  <c r="F146" i="1"/>
  <c r="F147" i="1"/>
  <c r="E147" i="1" s="1"/>
  <c r="F148" i="1"/>
  <c r="E148" i="1" s="1"/>
  <c r="F149" i="1"/>
  <c r="E149" i="1" s="1"/>
  <c r="F150" i="1"/>
  <c r="E150" i="1" s="1"/>
  <c r="F151" i="1"/>
  <c r="E151" i="1" s="1"/>
  <c r="F152" i="1"/>
  <c r="E152" i="1" s="1"/>
  <c r="F153" i="1"/>
  <c r="E153" i="1" s="1"/>
  <c r="F154" i="1"/>
  <c r="E154" i="1" s="1"/>
  <c r="F155" i="1"/>
  <c r="E155" i="1" s="1"/>
  <c r="F156" i="1"/>
  <c r="F157" i="1"/>
  <c r="F158" i="1"/>
  <c r="F159" i="1"/>
  <c r="E159" i="1" s="1"/>
  <c r="F160" i="1"/>
  <c r="E160" i="1" s="1"/>
  <c r="F161" i="1"/>
  <c r="E161" i="1" s="1"/>
  <c r="F162" i="1"/>
  <c r="E162" i="1" s="1"/>
  <c r="F163" i="1"/>
  <c r="E163" i="1" s="1"/>
  <c r="F164" i="1"/>
  <c r="E164" i="1" s="1"/>
  <c r="F165" i="1"/>
  <c r="E165" i="1" s="1"/>
  <c r="F166" i="1"/>
  <c r="E166" i="1" s="1"/>
  <c r="H166" i="1" s="1"/>
  <c r="F167" i="1"/>
  <c r="E167" i="1" s="1"/>
  <c r="H167" i="1" s="1"/>
  <c r="F168" i="1"/>
  <c r="E168" i="1" s="1"/>
  <c r="H168" i="1" s="1"/>
  <c r="F169" i="1"/>
  <c r="E169" i="1" s="1"/>
  <c r="H169" i="1" s="1"/>
  <c r="R169" i="1" s="1"/>
  <c r="F170" i="1"/>
  <c r="E170" i="1" s="1"/>
  <c r="F171" i="1"/>
  <c r="F172" i="1"/>
  <c r="F173" i="1"/>
  <c r="F174" i="1"/>
  <c r="E174" i="1" s="1"/>
  <c r="F175" i="1"/>
  <c r="E175" i="1" s="1"/>
  <c r="F176" i="1"/>
  <c r="E176" i="1" s="1"/>
  <c r="F177" i="1"/>
  <c r="E177" i="1" s="1"/>
  <c r="F178" i="1"/>
  <c r="E178" i="1" s="1"/>
  <c r="F179" i="1"/>
  <c r="E179" i="1" s="1"/>
  <c r="F180" i="1"/>
  <c r="E180" i="1" s="1"/>
  <c r="F181" i="1"/>
  <c r="E181" i="1" s="1"/>
  <c r="F182" i="1"/>
  <c r="E182" i="1" s="1"/>
  <c r="F183" i="1"/>
  <c r="E183" i="1" s="1"/>
  <c r="F184" i="1"/>
  <c r="E184" i="1" s="1"/>
  <c r="F185" i="1"/>
  <c r="E185" i="1" s="1"/>
  <c r="F186" i="1"/>
  <c r="E186" i="1" s="1"/>
  <c r="F187" i="1"/>
  <c r="E187" i="1" s="1"/>
  <c r="F188" i="1"/>
  <c r="F189" i="1"/>
  <c r="F190" i="1"/>
  <c r="F191" i="1"/>
  <c r="E191" i="1" s="1"/>
  <c r="F192" i="1"/>
  <c r="E192" i="1" s="1"/>
  <c r="F193" i="1"/>
  <c r="E193" i="1" s="1"/>
  <c r="F194" i="1"/>
  <c r="E194" i="1" s="1"/>
  <c r="F195" i="1"/>
  <c r="E195" i="1" s="1"/>
  <c r="F196" i="1"/>
  <c r="E196" i="1" s="1"/>
  <c r="F197" i="1"/>
  <c r="E197" i="1" s="1"/>
  <c r="F198" i="1"/>
  <c r="E198" i="1" s="1"/>
  <c r="F199" i="1"/>
  <c r="E199" i="1" s="1"/>
  <c r="F200" i="1"/>
  <c r="E200" i="1" s="1"/>
  <c r="F201" i="1"/>
  <c r="E201" i="1" s="1"/>
  <c r="F202" i="1"/>
  <c r="E202" i="1" s="1"/>
  <c r="F203" i="1"/>
  <c r="E203" i="1" s="1"/>
  <c r="F204" i="1"/>
  <c r="F205" i="1"/>
  <c r="E205" i="1" s="1"/>
  <c r="F206" i="1"/>
  <c r="E206" i="1" s="1"/>
  <c r="F207" i="1"/>
  <c r="E207" i="1" s="1"/>
  <c r="F208" i="1"/>
  <c r="E208" i="1" s="1"/>
  <c r="F209" i="1"/>
  <c r="E209" i="1" s="1"/>
  <c r="F210" i="1"/>
  <c r="E210" i="1" s="1"/>
  <c r="F211" i="1"/>
  <c r="E211" i="1" s="1"/>
  <c r="F212" i="1"/>
  <c r="E212" i="1" s="1"/>
  <c r="F213" i="1"/>
  <c r="F214" i="1"/>
  <c r="F215" i="1"/>
  <c r="E215" i="1" s="1"/>
  <c r="F216" i="1"/>
  <c r="E216" i="1" s="1"/>
  <c r="F217" i="1"/>
  <c r="E217" i="1" s="1"/>
  <c r="F218" i="1"/>
  <c r="E218" i="1" s="1"/>
  <c r="F219" i="1"/>
  <c r="E219" i="1" s="1"/>
  <c r="F220" i="1"/>
  <c r="E220" i="1" s="1"/>
  <c r="F221" i="1"/>
  <c r="E221" i="1" s="1"/>
  <c r="F222" i="1"/>
  <c r="E222" i="1" s="1"/>
  <c r="F223" i="1"/>
  <c r="E223" i="1" s="1"/>
  <c r="F224" i="1"/>
  <c r="E224" i="1" s="1"/>
  <c r="F225" i="1"/>
  <c r="E225" i="1" s="1"/>
  <c r="F226" i="1"/>
  <c r="E226" i="1" s="1"/>
  <c r="F227" i="1"/>
  <c r="E227" i="1" s="1"/>
  <c r="F228" i="1"/>
  <c r="E228" i="1" s="1"/>
  <c r="F229" i="1"/>
  <c r="E229" i="1" s="1"/>
  <c r="F230" i="1"/>
  <c r="E230" i="1" s="1"/>
  <c r="F231" i="1"/>
  <c r="E231" i="1" s="1"/>
  <c r="H231" i="1" s="1"/>
  <c r="F232" i="1"/>
  <c r="E232" i="1" s="1"/>
  <c r="F233" i="1"/>
  <c r="E233" i="1" s="1"/>
  <c r="F234" i="1"/>
  <c r="E234" i="1" s="1"/>
  <c r="H234" i="1" s="1"/>
  <c r="F235" i="1"/>
  <c r="E235" i="1" s="1"/>
  <c r="F236" i="1"/>
  <c r="E236" i="1" s="1"/>
  <c r="F237" i="1"/>
  <c r="E237" i="1" s="1"/>
  <c r="F238" i="1"/>
  <c r="E238" i="1" s="1"/>
  <c r="F239" i="1"/>
  <c r="E239" i="1" s="1"/>
  <c r="F240" i="1"/>
  <c r="F241" i="1"/>
  <c r="E241" i="1" s="1"/>
  <c r="F242" i="1"/>
  <c r="F243" i="1"/>
  <c r="F244" i="1"/>
  <c r="E244" i="1" s="1"/>
  <c r="F245" i="1"/>
  <c r="E245" i="1" s="1"/>
  <c r="F246" i="1"/>
  <c r="E246" i="1" s="1"/>
  <c r="F247" i="1"/>
  <c r="E247" i="1" s="1"/>
  <c r="F248" i="1"/>
  <c r="E248" i="1" s="1"/>
  <c r="F249" i="1"/>
  <c r="E249" i="1" s="1"/>
  <c r="F250" i="1"/>
  <c r="E250" i="1" s="1"/>
  <c r="F251" i="1"/>
  <c r="E251" i="1" s="1"/>
  <c r="F252" i="1"/>
  <c r="E252" i="1" s="1"/>
  <c r="F253" i="1"/>
  <c r="E253" i="1" s="1"/>
  <c r="F254" i="1"/>
  <c r="F255" i="1"/>
  <c r="F256" i="1"/>
  <c r="F257" i="1"/>
  <c r="E257" i="1" s="1"/>
  <c r="F258" i="1"/>
  <c r="E258" i="1" s="1"/>
  <c r="F259" i="1"/>
  <c r="E259" i="1" s="1"/>
  <c r="F260" i="1"/>
  <c r="E260" i="1" s="1"/>
  <c r="F261" i="1"/>
  <c r="E261" i="1" s="1"/>
  <c r="F262" i="1"/>
  <c r="E262" i="1" s="1"/>
  <c r="F263" i="1"/>
  <c r="E263" i="1" s="1"/>
  <c r="F264" i="1"/>
  <c r="E264" i="1" s="1"/>
  <c r="H264" i="1" s="1"/>
  <c r="F265" i="1"/>
  <c r="E265" i="1" s="1"/>
  <c r="H265" i="1" s="1"/>
  <c r="R265" i="1" s="1"/>
  <c r="F266" i="1"/>
  <c r="E266" i="1" s="1"/>
  <c r="H266" i="1" s="1"/>
  <c r="R266" i="1" s="1"/>
  <c r="F267" i="1"/>
  <c r="E267" i="1" s="1"/>
  <c r="F268" i="1"/>
  <c r="E268" i="1" s="1"/>
  <c r="F269" i="1"/>
  <c r="E269" i="1" s="1"/>
  <c r="F270" i="1"/>
  <c r="F271" i="1"/>
  <c r="F272" i="1"/>
  <c r="E272" i="1" s="1"/>
  <c r="F273" i="1"/>
  <c r="E273" i="1" s="1"/>
  <c r="F274" i="1"/>
  <c r="E274" i="1" s="1"/>
  <c r="F275" i="1"/>
  <c r="E275" i="1" s="1"/>
  <c r="F276" i="1"/>
  <c r="F277" i="1"/>
  <c r="E277" i="1" s="1"/>
  <c r="F278" i="1"/>
  <c r="F279" i="1"/>
  <c r="E279" i="1" s="1"/>
  <c r="F280" i="1"/>
  <c r="E280" i="1" s="1"/>
  <c r="F281" i="1"/>
  <c r="E281" i="1" s="1"/>
  <c r="F2" i="1"/>
  <c r="E2" i="1" s="1"/>
  <c r="H190" i="1" l="1"/>
  <c r="R190" i="1" s="1"/>
  <c r="H135" i="1"/>
  <c r="R135" i="1" s="1"/>
  <c r="H202" i="1"/>
  <c r="R202" i="1" s="1"/>
  <c r="H227" i="1"/>
  <c r="R227" i="1" s="1"/>
  <c r="H262" i="1"/>
  <c r="R262" i="1" s="1"/>
  <c r="H114" i="1"/>
  <c r="R114" i="1" s="1"/>
  <c r="H197" i="1"/>
  <c r="R197" i="1" s="1"/>
  <c r="H165" i="1"/>
  <c r="R165" i="1" s="1"/>
  <c r="H133" i="1"/>
  <c r="R133" i="1" s="1"/>
  <c r="H196" i="1"/>
  <c r="R196" i="1" s="1"/>
  <c r="H164" i="1"/>
  <c r="R164" i="1" s="1"/>
  <c r="H259" i="1"/>
  <c r="R259" i="1" s="1"/>
  <c r="H195" i="1"/>
  <c r="R195" i="1" s="1"/>
  <c r="H258" i="1"/>
  <c r="R258" i="1" s="1"/>
  <c r="H194" i="1"/>
  <c r="R194" i="1" s="1"/>
  <c r="H130" i="1"/>
  <c r="R130" i="1" s="1"/>
  <c r="H278" i="1"/>
  <c r="R278" i="1" s="1"/>
  <c r="H257" i="1"/>
  <c r="R257" i="1" s="1"/>
  <c r="H225" i="1"/>
  <c r="R225" i="1" s="1"/>
  <c r="H193" i="1"/>
  <c r="R193" i="1" s="1"/>
  <c r="H161" i="1"/>
  <c r="R161" i="1" s="1"/>
  <c r="H276" i="1"/>
  <c r="R276" i="1" s="1"/>
  <c r="H256" i="1"/>
  <c r="R256" i="1" s="1"/>
  <c r="H255" i="1"/>
  <c r="R255" i="1" s="1"/>
  <c r="R264" i="1"/>
  <c r="R168" i="1"/>
  <c r="R167" i="1"/>
  <c r="H254" i="1"/>
  <c r="R254" i="1" s="1"/>
  <c r="H251" i="1"/>
  <c r="R251" i="1" s="1"/>
  <c r="H187" i="1"/>
  <c r="R187" i="1" s="1"/>
  <c r="H279" i="1"/>
  <c r="R279" i="1" s="1"/>
  <c r="H151" i="1"/>
  <c r="R151" i="1" s="1"/>
  <c r="H213" i="1"/>
  <c r="R213" i="1" s="1"/>
  <c r="H246" i="1"/>
  <c r="R246" i="1" s="1"/>
  <c r="H182" i="1"/>
  <c r="R182" i="1" s="1"/>
  <c r="H118" i="1"/>
  <c r="R118" i="1" s="1"/>
  <c r="H245" i="1"/>
  <c r="R245" i="1" s="1"/>
  <c r="H181" i="1"/>
  <c r="R181" i="1" s="1"/>
  <c r="H117" i="1"/>
  <c r="H212" i="1"/>
  <c r="H180" i="1"/>
  <c r="R180" i="1" s="1"/>
  <c r="H157" i="1"/>
  <c r="R157" i="1" s="1"/>
  <c r="H156" i="1"/>
  <c r="R156" i="1" s="1"/>
  <c r="R231" i="1"/>
  <c r="R166" i="1"/>
  <c r="H219" i="1"/>
  <c r="R219" i="1" s="1"/>
  <c r="H155" i="1"/>
  <c r="R155" i="1" s="1"/>
  <c r="H240" i="1"/>
  <c r="R240" i="1" s="1"/>
  <c r="H280" i="1"/>
  <c r="R280" i="1" s="1"/>
  <c r="H248" i="1"/>
  <c r="H216" i="1"/>
  <c r="R216" i="1" s="1"/>
  <c r="H183" i="1"/>
  <c r="R183" i="1" s="1"/>
  <c r="H119" i="1"/>
  <c r="R119" i="1" s="1"/>
  <c r="H150" i="1"/>
  <c r="H277" i="1"/>
  <c r="R277" i="1" s="1"/>
  <c r="H149" i="1"/>
  <c r="R149" i="1" s="1"/>
  <c r="H244" i="1"/>
  <c r="R244" i="1" s="1"/>
  <c r="H148" i="1"/>
  <c r="R148" i="1" s="1"/>
  <c r="H224" i="1"/>
  <c r="R224" i="1" s="1"/>
  <c r="H192" i="1"/>
  <c r="R192" i="1" s="1"/>
  <c r="H128" i="1"/>
  <c r="H223" i="1"/>
  <c r="R223" i="1" s="1"/>
  <c r="H222" i="1"/>
  <c r="R222" i="1" s="1"/>
  <c r="H271" i="1"/>
  <c r="R271" i="1" s="1"/>
  <c r="H253" i="1"/>
  <c r="R253" i="1" s="1"/>
  <c r="H221" i="1"/>
  <c r="R221" i="1" s="1"/>
  <c r="H252" i="1"/>
  <c r="R252" i="1" s="1"/>
  <c r="H220" i="1"/>
  <c r="R220" i="1" s="1"/>
  <c r="H209" i="1"/>
  <c r="R209" i="1" s="1"/>
  <c r="H239" i="1"/>
  <c r="R239" i="1" s="1"/>
  <c r="H175" i="1"/>
  <c r="R175" i="1" s="1"/>
  <c r="H272" i="1"/>
  <c r="R272" i="1" s="1"/>
  <c r="H208" i="1"/>
  <c r="R208" i="1" s="1"/>
  <c r="H176" i="1"/>
  <c r="R176" i="1" s="1"/>
  <c r="H189" i="1"/>
  <c r="R189" i="1" s="1"/>
  <c r="H207" i="1"/>
  <c r="R207" i="1" s="1"/>
  <c r="H188" i="1"/>
  <c r="R188" i="1" s="1"/>
  <c r="H273" i="1"/>
  <c r="R273" i="1" s="1"/>
  <c r="R212" i="1"/>
  <c r="R144" i="1"/>
  <c r="R117" i="1"/>
  <c r="R248" i="1"/>
  <c r="R234" i="1"/>
  <c r="R150" i="1"/>
  <c r="R128" i="1"/>
  <c r="H226" i="1"/>
  <c r="R226" i="1" s="1"/>
  <c r="H198" i="1"/>
  <c r="R198" i="1" s="1"/>
  <c r="H184" i="1"/>
  <c r="R184" i="1" s="1"/>
  <c r="H214" i="1"/>
  <c r="R214" i="1" s="1"/>
  <c r="H120" i="1"/>
  <c r="R120" i="1" s="1"/>
  <c r="H136" i="1"/>
  <c r="R136" i="1" s="1"/>
  <c r="H263" i="1"/>
  <c r="R263" i="1" s="1"/>
  <c r="H134" i="1"/>
  <c r="R134" i="1" s="1"/>
  <c r="H261" i="1"/>
  <c r="R261" i="1" s="1"/>
  <c r="H233" i="1"/>
  <c r="R233" i="1" s="1"/>
  <c r="H177" i="1"/>
  <c r="R177" i="1" s="1"/>
  <c r="H116" i="1"/>
  <c r="R116" i="1" s="1"/>
  <c r="H191" i="1"/>
  <c r="R191" i="1" s="1"/>
  <c r="H247" i="1"/>
  <c r="R247" i="1" s="1"/>
  <c r="H163" i="1"/>
  <c r="R163" i="1" s="1"/>
  <c r="H127" i="1"/>
  <c r="R127" i="1" s="1"/>
  <c r="H260" i="1"/>
  <c r="R260" i="1" s="1"/>
  <c r="H232" i="1"/>
  <c r="R232" i="1" s="1"/>
  <c r="H162" i="1"/>
  <c r="R162" i="1" s="1"/>
  <c r="H126" i="1"/>
  <c r="R126" i="1" s="1"/>
  <c r="H139" i="1"/>
  <c r="R139" i="1" s="1"/>
  <c r="H125" i="1"/>
  <c r="R125" i="1" s="1"/>
  <c r="H132" i="1"/>
  <c r="R132" i="1" s="1"/>
  <c r="H124" i="1"/>
  <c r="R124" i="1" s="1"/>
  <c r="H229" i="1"/>
  <c r="R229" i="1" s="1"/>
  <c r="H215" i="1"/>
  <c r="R215" i="1" s="1"/>
  <c r="H201" i="1"/>
  <c r="R201" i="1" s="1"/>
  <c r="H159" i="1"/>
  <c r="R159" i="1" s="1"/>
  <c r="H145" i="1"/>
  <c r="R145" i="1" s="1"/>
  <c r="H131" i="1"/>
  <c r="R131" i="1" s="1"/>
  <c r="H123" i="1"/>
  <c r="R123" i="1" s="1"/>
  <c r="H152" i="1"/>
  <c r="R152" i="1" s="1"/>
  <c r="H230" i="1"/>
  <c r="R230" i="1" s="1"/>
  <c r="H228" i="1"/>
  <c r="R228" i="1" s="1"/>
  <c r="H200" i="1"/>
  <c r="R200" i="1" s="1"/>
  <c r="H122" i="1"/>
  <c r="R122" i="1" s="1"/>
  <c r="H138" i="1"/>
  <c r="R138" i="1" s="1"/>
  <c r="H170" i="1"/>
  <c r="R170" i="1" s="1"/>
  <c r="H160" i="1"/>
  <c r="R160" i="1" s="1"/>
  <c r="H158" i="1"/>
  <c r="R158" i="1" s="1"/>
  <c r="H241" i="1"/>
  <c r="R241" i="1" s="1"/>
  <c r="H199" i="1"/>
  <c r="R199" i="1" s="1"/>
  <c r="H121" i="1"/>
  <c r="R121" i="1" s="1"/>
  <c r="H137" i="1"/>
  <c r="R137" i="1" s="1"/>
  <c r="H250" i="1"/>
  <c r="R250" i="1" s="1"/>
  <c r="H218" i="1"/>
  <c r="R218" i="1" s="1"/>
  <c r="H154" i="1"/>
  <c r="R154" i="1" s="1"/>
  <c r="H115" i="1"/>
  <c r="R115" i="1" s="1"/>
  <c r="H186" i="1"/>
  <c r="R186" i="1" s="1"/>
  <c r="H281" i="1"/>
  <c r="R281" i="1" s="1"/>
  <c r="H249" i="1"/>
  <c r="R249" i="1" s="1"/>
  <c r="H217" i="1"/>
  <c r="R217" i="1" s="1"/>
  <c r="H185" i="1"/>
  <c r="R185" i="1" s="1"/>
  <c r="H153" i="1"/>
  <c r="R153" i="1" s="1"/>
  <c r="H275" i="1"/>
  <c r="R275" i="1" s="1"/>
  <c r="H243" i="1"/>
  <c r="R243" i="1" s="1"/>
  <c r="H211" i="1"/>
  <c r="R211" i="1" s="1"/>
  <c r="H179" i="1"/>
  <c r="R179" i="1" s="1"/>
  <c r="H147" i="1"/>
  <c r="R147" i="1" s="1"/>
  <c r="H274" i="1"/>
  <c r="R274" i="1" s="1"/>
  <c r="H242" i="1"/>
  <c r="R242" i="1" s="1"/>
  <c r="H210" i="1"/>
  <c r="R210" i="1" s="1"/>
  <c r="H178" i="1"/>
  <c r="R178" i="1" s="1"/>
  <c r="H146" i="1"/>
  <c r="R146" i="1" s="1"/>
  <c r="H270" i="1"/>
  <c r="R270" i="1" s="1"/>
  <c r="H238" i="1"/>
  <c r="R238" i="1" s="1"/>
  <c r="H206" i="1"/>
  <c r="R206" i="1" s="1"/>
  <c r="H174" i="1"/>
  <c r="R174" i="1" s="1"/>
  <c r="H142" i="1"/>
  <c r="R142" i="1" s="1"/>
  <c r="H269" i="1"/>
  <c r="R269" i="1" s="1"/>
  <c r="H237" i="1"/>
  <c r="R237" i="1" s="1"/>
  <c r="H205" i="1"/>
  <c r="R205" i="1" s="1"/>
  <c r="H173" i="1"/>
  <c r="R173" i="1" s="1"/>
  <c r="H141" i="1"/>
  <c r="R141" i="1" s="1"/>
  <c r="H268" i="1"/>
  <c r="R268" i="1" s="1"/>
  <c r="H236" i="1"/>
  <c r="R236" i="1" s="1"/>
  <c r="H204" i="1"/>
  <c r="R204" i="1" s="1"/>
  <c r="H172" i="1"/>
  <c r="R172" i="1" s="1"/>
  <c r="H140" i="1"/>
  <c r="R140" i="1" s="1"/>
  <c r="H267" i="1"/>
  <c r="R267" i="1" s="1"/>
  <c r="H235" i="1"/>
  <c r="R235" i="1" s="1"/>
  <c r="H203" i="1"/>
  <c r="R203" i="1" s="1"/>
  <c r="H171" i="1"/>
  <c r="R171" i="1" s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69" i="1"/>
  <c r="K268" i="1" s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55" i="1"/>
  <c r="K254" i="1" s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41" i="1"/>
  <c r="K240" i="1" s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27" i="1"/>
  <c r="K226" i="1" s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13" i="1"/>
  <c r="K212" i="1" s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199" i="1"/>
  <c r="K198" i="1" s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85" i="1"/>
  <c r="K184" i="1" s="1"/>
  <c r="K172" i="1"/>
  <c r="K171" i="1"/>
  <c r="K170" i="1" s="1"/>
  <c r="K173" i="1"/>
  <c r="K174" i="1"/>
  <c r="K175" i="1"/>
  <c r="K176" i="1"/>
  <c r="K177" i="1"/>
  <c r="K178" i="1"/>
  <c r="K179" i="1"/>
  <c r="K180" i="1"/>
  <c r="K181" i="1"/>
  <c r="K182" i="1"/>
  <c r="K183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57" i="1"/>
  <c r="K156" i="1" s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43" i="1"/>
  <c r="K142" i="1" s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29" i="1"/>
  <c r="K128" i="1" s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14" i="1"/>
</calcChain>
</file>

<file path=xl/sharedStrings.xml><?xml version="1.0" encoding="utf-8"?>
<sst xmlns="http://schemas.openxmlformats.org/spreadsheetml/2006/main" count="298" uniqueCount="21">
  <si>
    <t>data_type</t>
  </si>
  <si>
    <t>weight_lbm</t>
  </si>
  <si>
    <t>OAT_C</t>
  </si>
  <si>
    <t>altitude_ft</t>
  </si>
  <si>
    <t>KIAS</t>
  </si>
  <si>
    <t>KTAS</t>
  </si>
  <si>
    <t>time_min</t>
  </si>
  <si>
    <t>dist_NM</t>
  </si>
  <si>
    <t>fuel_lb</t>
  </si>
  <si>
    <t>RPM</t>
  </si>
  <si>
    <t>unit_shaft_power_kW</t>
  </si>
  <si>
    <t>unit_thrust_N</t>
  </si>
  <si>
    <t>ISC</t>
  </si>
  <si>
    <t>Climb</t>
  </si>
  <si>
    <t>Descent</t>
  </si>
  <si>
    <t>density_kg_,3</t>
  </si>
  <si>
    <t>pressure_kPa</t>
  </si>
  <si>
    <t>throttle_torque</t>
  </si>
  <si>
    <t>torque_Nm</t>
  </si>
  <si>
    <t>total_fuel_flow_lbph</t>
  </si>
  <si>
    <t>unit_fuel_flow_lbph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</si>
</sst>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5198-2DDF-441D-A4ED-34964DD8907B}">
  <dimension ref="A1:R281"/>
  <sheetViews>
    <sheetView tabSelected="1" workbookViewId="0">
      <pane xSplit="1" ySplit="1" topLeftCell="B256" activePane="bottomRight" state="frozen"/>
      <selection pane="topRight" activeCell="B1" sqref="B1"/>
      <selection pane="bottomLeft" activeCell="A2" sqref="A2"/>
      <selection pane="bottomRight" activeCell="N269" sqref="N269"/>
    </sheetView>
  </sheetViews>
  <sheetFormatPr defaultRowHeight="15" x14ac:dyDescent="0.25"/>
  <cols>
    <col min="11" max="11" width="13.85546875" bestFit="1" customWidth="1"/>
    <col min="12" max="12" width="13.85546875" customWidth="1"/>
    <col min="17" max="17" width="18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4</v>
      </c>
      <c r="H1" t="s">
        <v>5</v>
      </c>
      <c r="I1" t="s">
        <v>17</v>
      </c>
      <c r="J1" t="s">
        <v>18</v>
      </c>
      <c r="K1" t="s">
        <v>19</v>
      </c>
      <c r="L1" t="s">
        <v>20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</row>
    <row r="2" spans="1:18" x14ac:dyDescent="0.25">
      <c r="A2" t="s">
        <v>12</v>
      </c>
      <c r="B2">
        <v>42000</v>
      </c>
      <c r="C2">
        <v>15</v>
      </c>
      <c r="D2">
        <v>0</v>
      </c>
      <c r="E2">
        <f>F2/(0.2869*(C2+273.15))</f>
        <v>1.226794975834826</v>
      </c>
      <c r="F2">
        <f>101.29*((C2+273.15)/288.08)^5.256</f>
        <v>101.41942894908438</v>
      </c>
      <c r="G2">
        <v>239</v>
      </c>
      <c r="H2">
        <v>239</v>
      </c>
      <c r="I2">
        <v>39.5</v>
      </c>
      <c r="J2">
        <f>I2/100*35404</f>
        <v>13984.58</v>
      </c>
      <c r="K2">
        <v>2311</v>
      </c>
      <c r="L2">
        <f>K2/2</f>
        <v>1155.5</v>
      </c>
      <c r="P2">
        <v>850</v>
      </c>
      <c r="Q2">
        <f>P2/60*2*PI()*J2/1000</f>
        <v>1244.7925240935976</v>
      </c>
      <c r="R2">
        <f t="shared" ref="R2:R10" si="0">Q2*1000/(H2*0.51444)*(0.0000000280836682*H2^3 - 0.0000271683584*H2^2 + 0.00848348631*H2 + 0.00836930492)</f>
        <v>8782.1556554209328</v>
      </c>
    </row>
    <row r="3" spans="1:18" x14ac:dyDescent="0.25">
      <c r="A3" t="s">
        <v>12</v>
      </c>
      <c r="B3">
        <v>42000</v>
      </c>
      <c r="C3">
        <v>11</v>
      </c>
      <c r="D3">
        <v>2000</v>
      </c>
      <c r="E3">
        <f t="shared" ref="E3:E66" si="1">F3/(0.2869*(C3+273.15))</f>
        <v>1.1559364750414849</v>
      </c>
      <c r="F3">
        <f t="shared" ref="F3:F66" si="2">101.29*((C3+273.15)/288.08)^5.256</f>
        <v>94.234987337993573</v>
      </c>
      <c r="G3">
        <v>236</v>
      </c>
      <c r="H3">
        <v>243</v>
      </c>
      <c r="I3">
        <v>39.200000000000003</v>
      </c>
      <c r="J3">
        <f t="shared" ref="J3:J66" si="3">I3/100*35404</f>
        <v>13878.368</v>
      </c>
      <c r="K3">
        <v>2219</v>
      </c>
      <c r="L3">
        <f t="shared" ref="L3:L66" si="4">K3/2</f>
        <v>1109.5</v>
      </c>
      <c r="P3">
        <v>850</v>
      </c>
      <c r="Q3">
        <f t="shared" ref="Q3:Q66" si="5">P3/60*2*PI()*J3/1000</f>
        <v>1235.3384036574439</v>
      </c>
      <c r="R3">
        <f t="shared" si="0"/>
        <v>8583.1317241850029</v>
      </c>
    </row>
    <row r="4" spans="1:18" x14ac:dyDescent="0.25">
      <c r="A4" t="s">
        <v>12</v>
      </c>
      <c r="B4">
        <v>42000</v>
      </c>
      <c r="C4">
        <v>7.1</v>
      </c>
      <c r="D4">
        <v>4000</v>
      </c>
      <c r="E4">
        <f t="shared" si="1"/>
        <v>1.0899066174514316</v>
      </c>
      <c r="F4">
        <f t="shared" si="2"/>
        <v>87.632551945245098</v>
      </c>
      <c r="G4">
        <v>234</v>
      </c>
      <c r="H4">
        <v>247</v>
      </c>
      <c r="I4">
        <v>39.4</v>
      </c>
      <c r="J4">
        <f t="shared" si="3"/>
        <v>13949.175999999999</v>
      </c>
      <c r="K4">
        <v>2143</v>
      </c>
      <c r="L4">
        <f t="shared" si="4"/>
        <v>1071.5</v>
      </c>
      <c r="P4">
        <v>850</v>
      </c>
      <c r="Q4">
        <f t="shared" si="5"/>
        <v>1241.6411506148797</v>
      </c>
      <c r="R4">
        <f t="shared" si="0"/>
        <v>8496.1381641635853</v>
      </c>
    </row>
    <row r="5" spans="1:18" x14ac:dyDescent="0.25">
      <c r="A5" t="s">
        <v>12</v>
      </c>
      <c r="B5">
        <v>42000</v>
      </c>
      <c r="C5">
        <v>3.1</v>
      </c>
      <c r="D5">
        <v>6000</v>
      </c>
      <c r="E5">
        <f t="shared" si="1"/>
        <v>1.0252213873142479</v>
      </c>
      <c r="F5">
        <f t="shared" si="2"/>
        <v>81.255074425651443</v>
      </c>
      <c r="G5">
        <v>232</v>
      </c>
      <c r="H5">
        <v>253</v>
      </c>
      <c r="I5">
        <v>39.799999999999997</v>
      </c>
      <c r="J5">
        <f t="shared" si="3"/>
        <v>14090.791999999999</v>
      </c>
      <c r="K5">
        <v>2080</v>
      </c>
      <c r="L5">
        <f t="shared" si="4"/>
        <v>1040</v>
      </c>
      <c r="P5">
        <v>850</v>
      </c>
      <c r="Q5">
        <f t="shared" si="5"/>
        <v>1254.2466445297518</v>
      </c>
      <c r="R5">
        <f t="shared" si="0"/>
        <v>8388.4129913023007</v>
      </c>
    </row>
    <row r="6" spans="1:18" x14ac:dyDescent="0.25">
      <c r="A6" t="s">
        <v>12</v>
      </c>
      <c r="B6">
        <v>42000</v>
      </c>
      <c r="C6">
        <v>-0.8</v>
      </c>
      <c r="D6">
        <v>8000</v>
      </c>
      <c r="E6">
        <f t="shared" si="1"/>
        <v>0.96502208599689476</v>
      </c>
      <c r="F6">
        <f t="shared" si="2"/>
        <v>75.404138213287837</v>
      </c>
      <c r="G6">
        <v>230</v>
      </c>
      <c r="H6">
        <v>258</v>
      </c>
      <c r="I6">
        <v>40</v>
      </c>
      <c r="J6">
        <f t="shared" si="3"/>
        <v>14161.6</v>
      </c>
      <c r="K6">
        <v>2024</v>
      </c>
      <c r="L6">
        <f t="shared" si="4"/>
        <v>1012</v>
      </c>
      <c r="P6">
        <v>850</v>
      </c>
      <c r="Q6">
        <f t="shared" si="5"/>
        <v>1260.5493914871877</v>
      </c>
      <c r="R6">
        <f t="shared" si="0"/>
        <v>8271.9579356880568</v>
      </c>
    </row>
    <row r="7" spans="1:18" x14ac:dyDescent="0.25">
      <c r="A7" t="s">
        <v>12</v>
      </c>
      <c r="B7">
        <v>42000</v>
      </c>
      <c r="C7">
        <v>-4.8</v>
      </c>
      <c r="D7">
        <v>10000</v>
      </c>
      <c r="E7">
        <f t="shared" si="1"/>
        <v>0.90612712934108608</v>
      </c>
      <c r="F7">
        <f t="shared" si="2"/>
        <v>69.762378829025408</v>
      </c>
      <c r="G7">
        <v>246</v>
      </c>
      <c r="H7">
        <v>284</v>
      </c>
      <c r="I7">
        <v>48.7</v>
      </c>
      <c r="J7">
        <f t="shared" si="3"/>
        <v>17241.748000000003</v>
      </c>
      <c r="K7">
        <v>2207</v>
      </c>
      <c r="L7">
        <f t="shared" si="4"/>
        <v>1103.5</v>
      </c>
      <c r="P7">
        <v>850</v>
      </c>
      <c r="Q7">
        <f t="shared" si="5"/>
        <v>1534.7188841356513</v>
      </c>
      <c r="R7">
        <f t="shared" si="0"/>
        <v>9135.5757032398724</v>
      </c>
    </row>
    <row r="8" spans="1:18" x14ac:dyDescent="0.25">
      <c r="A8" t="s">
        <v>12</v>
      </c>
      <c r="B8">
        <v>42000</v>
      </c>
      <c r="C8">
        <v>-8.8000000000000007</v>
      </c>
      <c r="D8">
        <v>12000</v>
      </c>
      <c r="E8">
        <f t="shared" si="1"/>
        <v>0.85002224022584971</v>
      </c>
      <c r="F8">
        <f t="shared" si="2"/>
        <v>64.467399493542487</v>
      </c>
      <c r="G8">
        <v>243</v>
      </c>
      <c r="H8">
        <v>290</v>
      </c>
      <c r="I8">
        <v>48.8</v>
      </c>
      <c r="J8">
        <f t="shared" si="3"/>
        <v>17277.151999999998</v>
      </c>
      <c r="K8">
        <v>2136</v>
      </c>
      <c r="L8">
        <f t="shared" si="4"/>
        <v>1068</v>
      </c>
      <c r="P8">
        <v>850</v>
      </c>
      <c r="Q8">
        <f t="shared" si="5"/>
        <v>1537.8702576143687</v>
      </c>
      <c r="R8">
        <f t="shared" si="0"/>
        <v>8954.3441650351233</v>
      </c>
    </row>
    <row r="9" spans="1:18" x14ac:dyDescent="0.25">
      <c r="A9" t="s">
        <v>12</v>
      </c>
      <c r="B9">
        <v>42000</v>
      </c>
      <c r="C9">
        <v>-12.7</v>
      </c>
      <c r="D9">
        <v>14000</v>
      </c>
      <c r="E9">
        <f t="shared" si="1"/>
        <v>0.79791753463950577</v>
      </c>
      <c r="F9">
        <f t="shared" si="2"/>
        <v>59.622875722208917</v>
      </c>
      <c r="G9">
        <v>241</v>
      </c>
      <c r="H9">
        <v>295</v>
      </c>
      <c r="I9">
        <v>48.8</v>
      </c>
      <c r="J9">
        <f t="shared" si="3"/>
        <v>17277.151999999998</v>
      </c>
      <c r="K9">
        <v>2069</v>
      </c>
      <c r="L9">
        <f t="shared" si="4"/>
        <v>1034.5</v>
      </c>
      <c r="P9">
        <v>850</v>
      </c>
      <c r="Q9">
        <f t="shared" si="5"/>
        <v>1537.8702576143687</v>
      </c>
      <c r="R9">
        <f t="shared" si="0"/>
        <v>8792.3595604874426</v>
      </c>
    </row>
    <row r="10" spans="1:18" x14ac:dyDescent="0.25">
      <c r="A10" t="s">
        <v>12</v>
      </c>
      <c r="B10">
        <v>42000</v>
      </c>
      <c r="C10">
        <v>-16.7</v>
      </c>
      <c r="D10">
        <v>16000</v>
      </c>
      <c r="E10">
        <f t="shared" si="1"/>
        <v>0.74705165293004538</v>
      </c>
      <c r="F10">
        <f t="shared" si="2"/>
        <v>54.964702625412812</v>
      </c>
      <c r="G10">
        <v>239</v>
      </c>
      <c r="H10">
        <v>302</v>
      </c>
      <c r="I10">
        <v>49.4</v>
      </c>
      <c r="J10">
        <f t="shared" si="3"/>
        <v>17489.576000000001</v>
      </c>
      <c r="K10">
        <v>2024</v>
      </c>
      <c r="L10">
        <f t="shared" si="4"/>
        <v>1012</v>
      </c>
      <c r="P10">
        <v>850</v>
      </c>
      <c r="Q10">
        <f t="shared" si="5"/>
        <v>1556.7784984866767</v>
      </c>
      <c r="R10">
        <f t="shared" si="0"/>
        <v>8678.1167803601093</v>
      </c>
    </row>
    <row r="11" spans="1:18" x14ac:dyDescent="0.25">
      <c r="A11" t="s">
        <v>12</v>
      </c>
      <c r="B11">
        <v>42000</v>
      </c>
      <c r="C11">
        <v>-20.7</v>
      </c>
      <c r="D11">
        <v>18000</v>
      </c>
      <c r="E11">
        <f t="shared" si="1"/>
        <v>0.69870446964341482</v>
      </c>
      <c r="F11">
        <f t="shared" si="2"/>
        <v>50.605700950408632</v>
      </c>
      <c r="G11">
        <v>235</v>
      </c>
      <c r="H11">
        <v>307</v>
      </c>
      <c r="I11">
        <v>49</v>
      </c>
      <c r="J11">
        <f t="shared" si="3"/>
        <v>17347.96</v>
      </c>
      <c r="K11">
        <v>1965</v>
      </c>
      <c r="L11">
        <f t="shared" si="4"/>
        <v>982.5</v>
      </c>
      <c r="P11">
        <v>850</v>
      </c>
      <c r="Q11">
        <f t="shared" si="5"/>
        <v>1544.1730045718048</v>
      </c>
      <c r="R11">
        <f t="shared" ref="R11:R74" si="6">Q11*1000/(H11*0.51444)*(0.0000000280836682*H11^3 - 0.0000271683584*H11^2 + 0.00848348631*H11 + 0.00836930492)</f>
        <v>8455.4293125693057</v>
      </c>
    </row>
    <row r="12" spans="1:18" x14ac:dyDescent="0.25">
      <c r="A12" t="s">
        <v>12</v>
      </c>
      <c r="B12">
        <v>42000</v>
      </c>
      <c r="C12">
        <v>-24.6</v>
      </c>
      <c r="D12">
        <v>20000</v>
      </c>
      <c r="E12">
        <f t="shared" si="1"/>
        <v>0.65390720062118801</v>
      </c>
      <c r="F12">
        <f t="shared" si="2"/>
        <v>46.629465299560287</v>
      </c>
      <c r="G12">
        <v>232</v>
      </c>
      <c r="H12">
        <v>312</v>
      </c>
      <c r="I12">
        <v>48.5</v>
      </c>
      <c r="J12">
        <f t="shared" si="3"/>
        <v>17170.939999999999</v>
      </c>
      <c r="K12">
        <v>1911</v>
      </c>
      <c r="L12">
        <f t="shared" si="4"/>
        <v>955.5</v>
      </c>
      <c r="P12">
        <v>850</v>
      </c>
      <c r="Q12">
        <f t="shared" si="5"/>
        <v>1528.416137178215</v>
      </c>
      <c r="R12">
        <f t="shared" si="6"/>
        <v>8222.5002546108426</v>
      </c>
    </row>
    <row r="13" spans="1:18" x14ac:dyDescent="0.25">
      <c r="A13" t="s">
        <v>12</v>
      </c>
      <c r="B13">
        <v>42000</v>
      </c>
      <c r="C13">
        <v>-28.6</v>
      </c>
      <c r="D13">
        <v>22000</v>
      </c>
      <c r="E13">
        <f t="shared" si="1"/>
        <v>0.61027828449683619</v>
      </c>
      <c r="F13">
        <f t="shared" si="2"/>
        <v>42.817975778504902</v>
      </c>
      <c r="G13">
        <v>226</v>
      </c>
      <c r="H13">
        <v>314</v>
      </c>
      <c r="I13">
        <v>47.1</v>
      </c>
      <c r="J13">
        <f t="shared" si="3"/>
        <v>16675.284</v>
      </c>
      <c r="K13">
        <v>1832</v>
      </c>
      <c r="L13">
        <f t="shared" si="4"/>
        <v>916</v>
      </c>
      <c r="P13">
        <v>850</v>
      </c>
      <c r="Q13">
        <f t="shared" si="5"/>
        <v>1484.2969084761635</v>
      </c>
      <c r="R13">
        <f t="shared" si="6"/>
        <v>7929.3289785531933</v>
      </c>
    </row>
    <row r="14" spans="1:18" x14ac:dyDescent="0.25">
      <c r="A14" t="s">
        <v>12</v>
      </c>
      <c r="B14">
        <v>42000</v>
      </c>
      <c r="C14">
        <v>-32.5</v>
      </c>
      <c r="D14">
        <v>24000</v>
      </c>
      <c r="E14">
        <f t="shared" si="1"/>
        <v>0.56991930881758013</v>
      </c>
      <c r="F14">
        <f t="shared" si="2"/>
        <v>39.348645330248132</v>
      </c>
      <c r="G14">
        <v>219</v>
      </c>
      <c r="H14">
        <v>315</v>
      </c>
      <c r="I14">
        <v>45.3</v>
      </c>
      <c r="J14">
        <f t="shared" si="3"/>
        <v>16038.011999999999</v>
      </c>
      <c r="K14">
        <v>1742</v>
      </c>
      <c r="L14">
        <f t="shared" si="4"/>
        <v>871</v>
      </c>
      <c r="P14">
        <v>850</v>
      </c>
      <c r="Q14">
        <f t="shared" si="5"/>
        <v>1427.5721858592399</v>
      </c>
      <c r="R14">
        <f t="shared" si="6"/>
        <v>7599.6896143184886</v>
      </c>
    </row>
    <row r="15" spans="1:18" x14ac:dyDescent="0.25">
      <c r="A15" t="s">
        <v>12</v>
      </c>
      <c r="B15">
        <v>42000</v>
      </c>
      <c r="C15">
        <v>-34.5</v>
      </c>
      <c r="D15">
        <v>25000</v>
      </c>
      <c r="E15">
        <f t="shared" si="1"/>
        <v>0.55003181210936014</v>
      </c>
      <c r="F15">
        <f t="shared" si="2"/>
        <v>37.659954883294965</v>
      </c>
      <c r="G15">
        <v>215</v>
      </c>
      <c r="H15">
        <v>315</v>
      </c>
      <c r="I15">
        <v>44</v>
      </c>
      <c r="J15">
        <f t="shared" si="3"/>
        <v>15577.76</v>
      </c>
      <c r="K15">
        <v>1686</v>
      </c>
      <c r="L15">
        <f t="shared" si="4"/>
        <v>843</v>
      </c>
      <c r="P15">
        <v>850</v>
      </c>
      <c r="Q15">
        <f t="shared" si="5"/>
        <v>1386.6043306359065</v>
      </c>
      <c r="R15">
        <f t="shared" si="6"/>
        <v>7381.5969763799912</v>
      </c>
    </row>
    <row r="16" spans="1:18" x14ac:dyDescent="0.25">
      <c r="A16" t="s">
        <v>12</v>
      </c>
      <c r="B16">
        <v>46000</v>
      </c>
      <c r="C16">
        <v>15</v>
      </c>
      <c r="D16">
        <v>0</v>
      </c>
      <c r="E16">
        <f t="shared" si="1"/>
        <v>1.226794975834826</v>
      </c>
      <c r="F16">
        <f t="shared" si="2"/>
        <v>101.41942894908438</v>
      </c>
      <c r="G16">
        <v>240</v>
      </c>
      <c r="H16">
        <v>240</v>
      </c>
      <c r="I16">
        <v>40.4</v>
      </c>
      <c r="J16">
        <f t="shared" si="3"/>
        <v>14303.215999999999</v>
      </c>
      <c r="K16">
        <v>2339</v>
      </c>
      <c r="L16">
        <f t="shared" si="4"/>
        <v>1169.5</v>
      </c>
      <c r="P16">
        <v>850</v>
      </c>
      <c r="Q16">
        <f t="shared" si="5"/>
        <v>1273.1548854020593</v>
      </c>
      <c r="R16">
        <f t="shared" si="6"/>
        <v>8947.9487515501842</v>
      </c>
    </row>
    <row r="17" spans="1:18" x14ac:dyDescent="0.25">
      <c r="A17" t="s">
        <v>12</v>
      </c>
      <c r="B17">
        <v>46000</v>
      </c>
      <c r="C17">
        <v>11</v>
      </c>
      <c r="D17">
        <v>2000</v>
      </c>
      <c r="E17">
        <f t="shared" si="1"/>
        <v>1.1559364750414849</v>
      </c>
      <c r="F17">
        <f t="shared" si="2"/>
        <v>94.234987337993573</v>
      </c>
      <c r="G17">
        <v>237</v>
      </c>
      <c r="H17">
        <v>244</v>
      </c>
      <c r="I17">
        <v>40.4</v>
      </c>
      <c r="J17">
        <f t="shared" si="3"/>
        <v>14303.215999999999</v>
      </c>
      <c r="K17">
        <v>2253</v>
      </c>
      <c r="L17">
        <f t="shared" si="4"/>
        <v>1126.5</v>
      </c>
      <c r="P17">
        <v>850</v>
      </c>
      <c r="Q17">
        <f t="shared" si="5"/>
        <v>1273.1548854020593</v>
      </c>
      <c r="R17">
        <f t="shared" si="6"/>
        <v>8812.1417876730666</v>
      </c>
    </row>
    <row r="18" spans="1:18" x14ac:dyDescent="0.25">
      <c r="A18" t="s">
        <v>12</v>
      </c>
      <c r="B18">
        <v>46000</v>
      </c>
      <c r="C18">
        <v>7.1</v>
      </c>
      <c r="D18">
        <v>4000</v>
      </c>
      <c r="E18">
        <f t="shared" si="1"/>
        <v>1.0899066174514316</v>
      </c>
      <c r="F18">
        <f t="shared" si="2"/>
        <v>87.632551945245098</v>
      </c>
      <c r="G18">
        <v>236</v>
      </c>
      <c r="H18">
        <v>249</v>
      </c>
      <c r="I18">
        <v>40.9</v>
      </c>
      <c r="J18">
        <f t="shared" si="3"/>
        <v>14480.235999999999</v>
      </c>
      <c r="K18">
        <v>2184</v>
      </c>
      <c r="L18">
        <f t="shared" si="4"/>
        <v>1092</v>
      </c>
      <c r="P18">
        <v>850</v>
      </c>
      <c r="Q18">
        <f t="shared" si="5"/>
        <v>1288.9117527956491</v>
      </c>
      <c r="R18">
        <f t="shared" si="6"/>
        <v>8752.574302237821</v>
      </c>
    </row>
    <row r="19" spans="1:18" x14ac:dyDescent="0.25">
      <c r="A19" t="s">
        <v>12</v>
      </c>
      <c r="B19">
        <v>46000</v>
      </c>
      <c r="C19">
        <v>3.1</v>
      </c>
      <c r="D19">
        <v>6000</v>
      </c>
      <c r="E19">
        <f t="shared" si="1"/>
        <v>1.0252213873142479</v>
      </c>
      <c r="F19">
        <f t="shared" si="2"/>
        <v>81.255074425651443</v>
      </c>
      <c r="G19">
        <v>234</v>
      </c>
      <c r="H19">
        <v>255</v>
      </c>
      <c r="I19">
        <v>41.2</v>
      </c>
      <c r="J19">
        <f t="shared" si="3"/>
        <v>14586.448</v>
      </c>
      <c r="K19">
        <v>2123</v>
      </c>
      <c r="L19">
        <f t="shared" si="4"/>
        <v>1061.5</v>
      </c>
      <c r="P19">
        <v>850</v>
      </c>
      <c r="Q19">
        <f t="shared" si="5"/>
        <v>1298.3658732318033</v>
      </c>
      <c r="R19">
        <f t="shared" si="6"/>
        <v>8617.7034597001693</v>
      </c>
    </row>
    <row r="20" spans="1:18" x14ac:dyDescent="0.25">
      <c r="A20" t="s">
        <v>12</v>
      </c>
      <c r="B20">
        <v>46000</v>
      </c>
      <c r="C20">
        <v>-0.8</v>
      </c>
      <c r="D20">
        <v>8000</v>
      </c>
      <c r="E20">
        <f t="shared" si="1"/>
        <v>0.96502208599689476</v>
      </c>
      <c r="F20">
        <f t="shared" si="2"/>
        <v>75.404138213287837</v>
      </c>
      <c r="G20">
        <v>232</v>
      </c>
      <c r="H20">
        <v>260</v>
      </c>
      <c r="I20">
        <v>41.4</v>
      </c>
      <c r="J20">
        <f t="shared" si="3"/>
        <v>14657.255999999999</v>
      </c>
      <c r="K20">
        <v>2066</v>
      </c>
      <c r="L20">
        <f t="shared" si="4"/>
        <v>1033</v>
      </c>
      <c r="P20">
        <v>850</v>
      </c>
      <c r="Q20">
        <f t="shared" si="5"/>
        <v>1304.6686201892389</v>
      </c>
      <c r="R20">
        <f t="shared" si="6"/>
        <v>8496.8274283240044</v>
      </c>
    </row>
    <row r="21" spans="1:18" x14ac:dyDescent="0.25">
      <c r="A21" t="s">
        <v>12</v>
      </c>
      <c r="B21">
        <v>46000</v>
      </c>
      <c r="C21">
        <v>-4.8</v>
      </c>
      <c r="D21">
        <v>10000</v>
      </c>
      <c r="E21">
        <f t="shared" si="1"/>
        <v>0.90612712934108608</v>
      </c>
      <c r="F21">
        <f t="shared" si="2"/>
        <v>69.762378829025408</v>
      </c>
      <c r="G21">
        <v>247</v>
      </c>
      <c r="H21">
        <v>285</v>
      </c>
      <c r="I21">
        <v>49.9</v>
      </c>
      <c r="J21">
        <f t="shared" si="3"/>
        <v>17666.596000000001</v>
      </c>
      <c r="K21">
        <v>2238</v>
      </c>
      <c r="L21">
        <f t="shared" si="4"/>
        <v>1119</v>
      </c>
      <c r="P21">
        <v>850</v>
      </c>
      <c r="Q21">
        <f t="shared" si="5"/>
        <v>1572.5353658802667</v>
      </c>
      <c r="R21">
        <f t="shared" si="6"/>
        <v>9326.1645454612735</v>
      </c>
    </row>
    <row r="22" spans="1:18" x14ac:dyDescent="0.25">
      <c r="A22" t="s">
        <v>12</v>
      </c>
      <c r="B22">
        <v>46000</v>
      </c>
      <c r="C22">
        <v>-8.8000000000000007</v>
      </c>
      <c r="D22">
        <v>12000</v>
      </c>
      <c r="E22">
        <f t="shared" si="1"/>
        <v>0.85002224022584971</v>
      </c>
      <c r="F22">
        <f t="shared" si="2"/>
        <v>64.467399493542487</v>
      </c>
      <c r="G22">
        <v>244</v>
      </c>
      <c r="H22">
        <v>291</v>
      </c>
      <c r="I22">
        <v>49.7</v>
      </c>
      <c r="J22">
        <f t="shared" si="3"/>
        <v>17595.788</v>
      </c>
      <c r="K22">
        <v>2163</v>
      </c>
      <c r="L22">
        <f t="shared" si="4"/>
        <v>1081.5</v>
      </c>
      <c r="P22">
        <v>850</v>
      </c>
      <c r="Q22">
        <f t="shared" si="5"/>
        <v>1566.2326189228306</v>
      </c>
      <c r="R22">
        <f t="shared" si="6"/>
        <v>9086.145251754011</v>
      </c>
    </row>
    <row r="23" spans="1:18" x14ac:dyDescent="0.25">
      <c r="A23" t="s">
        <v>12</v>
      </c>
      <c r="B23">
        <v>46000</v>
      </c>
      <c r="C23">
        <v>-12.7</v>
      </c>
      <c r="D23">
        <v>14000</v>
      </c>
      <c r="E23">
        <f t="shared" si="1"/>
        <v>0.79791753463950577</v>
      </c>
      <c r="F23">
        <f t="shared" si="2"/>
        <v>59.622875722208917</v>
      </c>
      <c r="G23">
        <v>243</v>
      </c>
      <c r="H23">
        <v>298</v>
      </c>
      <c r="I23">
        <v>50.7</v>
      </c>
      <c r="J23">
        <f t="shared" si="3"/>
        <v>17949.828000000001</v>
      </c>
      <c r="K23">
        <v>2118</v>
      </c>
      <c r="L23">
        <f t="shared" si="4"/>
        <v>1059</v>
      </c>
      <c r="P23">
        <v>850</v>
      </c>
      <c r="Q23">
        <f t="shared" si="5"/>
        <v>1597.7463537100105</v>
      </c>
      <c r="R23">
        <f t="shared" si="6"/>
        <v>9035.8280083936716</v>
      </c>
    </row>
    <row r="24" spans="1:18" x14ac:dyDescent="0.25">
      <c r="A24" t="s">
        <v>12</v>
      </c>
      <c r="B24">
        <v>46000</v>
      </c>
      <c r="C24">
        <v>-16.7</v>
      </c>
      <c r="D24">
        <v>16000</v>
      </c>
      <c r="E24">
        <f t="shared" si="1"/>
        <v>0.74705165293004538</v>
      </c>
      <c r="F24">
        <f t="shared" si="2"/>
        <v>54.964702625412812</v>
      </c>
      <c r="G24">
        <v>243</v>
      </c>
      <c r="H24">
        <v>308</v>
      </c>
      <c r="I24">
        <v>52.3</v>
      </c>
      <c r="J24">
        <f t="shared" si="3"/>
        <v>18516.292000000001</v>
      </c>
      <c r="K24">
        <v>2109</v>
      </c>
      <c r="L24">
        <f t="shared" si="4"/>
        <v>1054.5</v>
      </c>
      <c r="P24">
        <v>850</v>
      </c>
      <c r="Q24">
        <f t="shared" si="5"/>
        <v>1648.168329369498</v>
      </c>
      <c r="R24">
        <f t="shared" si="6"/>
        <v>8992.8852172486313</v>
      </c>
    </row>
    <row r="25" spans="1:18" x14ac:dyDescent="0.25">
      <c r="A25" t="s">
        <v>12</v>
      </c>
      <c r="B25">
        <v>46000</v>
      </c>
      <c r="C25">
        <v>-20.7</v>
      </c>
      <c r="D25">
        <v>18000</v>
      </c>
      <c r="E25">
        <f t="shared" si="1"/>
        <v>0.69870446964341482</v>
      </c>
      <c r="F25">
        <f t="shared" si="2"/>
        <v>50.605700950408632</v>
      </c>
      <c r="G25">
        <v>239</v>
      </c>
      <c r="H25">
        <v>312</v>
      </c>
      <c r="I25">
        <v>51.7</v>
      </c>
      <c r="J25">
        <f t="shared" si="3"/>
        <v>18303.868000000002</v>
      </c>
      <c r="K25">
        <v>2048</v>
      </c>
      <c r="L25">
        <f t="shared" si="4"/>
        <v>1024</v>
      </c>
      <c r="P25">
        <v>850</v>
      </c>
      <c r="Q25">
        <f t="shared" si="5"/>
        <v>1629.2600884971903</v>
      </c>
      <c r="R25">
        <f t="shared" si="6"/>
        <v>8765.0157353274371</v>
      </c>
    </row>
    <row r="26" spans="1:18" x14ac:dyDescent="0.25">
      <c r="A26" t="s">
        <v>12</v>
      </c>
      <c r="B26">
        <v>46000</v>
      </c>
      <c r="C26">
        <v>-24.6</v>
      </c>
      <c r="D26">
        <v>20000</v>
      </c>
      <c r="E26">
        <f t="shared" si="1"/>
        <v>0.65390720062118801</v>
      </c>
      <c r="F26">
        <f t="shared" si="2"/>
        <v>46.629465299560287</v>
      </c>
      <c r="G26">
        <v>234</v>
      </c>
      <c r="H26">
        <v>315</v>
      </c>
      <c r="I26">
        <v>50.6</v>
      </c>
      <c r="J26">
        <f t="shared" si="3"/>
        <v>17914.423999999999</v>
      </c>
      <c r="K26">
        <v>1973</v>
      </c>
      <c r="L26">
        <f t="shared" si="4"/>
        <v>986.5</v>
      </c>
      <c r="P26">
        <v>850</v>
      </c>
      <c r="Q26">
        <f t="shared" si="5"/>
        <v>1594.5949802312923</v>
      </c>
      <c r="R26">
        <f t="shared" si="6"/>
        <v>8488.8365228369894</v>
      </c>
    </row>
    <row r="27" spans="1:18" x14ac:dyDescent="0.25">
      <c r="A27" t="s">
        <v>12</v>
      </c>
      <c r="B27">
        <v>46000</v>
      </c>
      <c r="C27">
        <v>-28.6</v>
      </c>
      <c r="D27">
        <v>22000</v>
      </c>
      <c r="E27">
        <f t="shared" si="1"/>
        <v>0.61027828449683619</v>
      </c>
      <c r="F27">
        <f t="shared" si="2"/>
        <v>42.817975778504902</v>
      </c>
      <c r="G27">
        <v>228</v>
      </c>
      <c r="H27">
        <v>317</v>
      </c>
      <c r="I27">
        <v>49</v>
      </c>
      <c r="J27">
        <f t="shared" si="3"/>
        <v>17347.96</v>
      </c>
      <c r="K27">
        <v>1888</v>
      </c>
      <c r="L27">
        <f t="shared" si="4"/>
        <v>944</v>
      </c>
      <c r="P27">
        <v>850</v>
      </c>
      <c r="Q27">
        <f t="shared" si="5"/>
        <v>1544.1730045718048</v>
      </c>
      <c r="R27">
        <f t="shared" si="6"/>
        <v>8163.3635312826582</v>
      </c>
    </row>
    <row r="28" spans="1:18" x14ac:dyDescent="0.25">
      <c r="A28" t="s">
        <v>12</v>
      </c>
      <c r="B28">
        <v>46000</v>
      </c>
      <c r="C28">
        <v>-32.5</v>
      </c>
      <c r="D28">
        <v>24000</v>
      </c>
      <c r="E28">
        <f t="shared" si="1"/>
        <v>0.56991930881758013</v>
      </c>
      <c r="F28">
        <f t="shared" si="2"/>
        <v>39.348645330248132</v>
      </c>
      <c r="G28">
        <v>220</v>
      </c>
      <c r="H28">
        <v>316</v>
      </c>
      <c r="I28">
        <v>46.5</v>
      </c>
      <c r="J28">
        <f t="shared" si="3"/>
        <v>16462.86</v>
      </c>
      <c r="K28">
        <v>1778</v>
      </c>
      <c r="L28">
        <f t="shared" si="4"/>
        <v>889</v>
      </c>
      <c r="P28">
        <v>850</v>
      </c>
      <c r="Q28">
        <f t="shared" si="5"/>
        <v>1465.3886676038558</v>
      </c>
      <c r="R28">
        <f t="shared" si="6"/>
        <v>7773.8548915096499</v>
      </c>
    </row>
    <row r="29" spans="1:18" x14ac:dyDescent="0.25">
      <c r="A29" t="s">
        <v>12</v>
      </c>
      <c r="B29">
        <v>46000</v>
      </c>
      <c r="C29">
        <v>-34.5</v>
      </c>
      <c r="D29">
        <v>25000</v>
      </c>
      <c r="E29">
        <f t="shared" si="1"/>
        <v>0.55003181210936014</v>
      </c>
      <c r="F29">
        <f t="shared" si="2"/>
        <v>37.659954883294965</v>
      </c>
      <c r="G29">
        <v>215</v>
      </c>
      <c r="H29">
        <v>315</v>
      </c>
      <c r="I29">
        <v>45.2</v>
      </c>
      <c r="J29">
        <f t="shared" si="3"/>
        <v>16002.608</v>
      </c>
      <c r="K29">
        <v>1721</v>
      </c>
      <c r="L29">
        <f t="shared" si="4"/>
        <v>860.5</v>
      </c>
      <c r="P29">
        <v>850</v>
      </c>
      <c r="Q29">
        <f t="shared" si="5"/>
        <v>1424.420812380522</v>
      </c>
      <c r="R29">
        <f t="shared" si="6"/>
        <v>7582.9132575539907</v>
      </c>
    </row>
    <row r="30" spans="1:18" x14ac:dyDescent="0.25">
      <c r="A30" t="s">
        <v>12</v>
      </c>
      <c r="B30">
        <v>50000</v>
      </c>
      <c r="C30">
        <v>15</v>
      </c>
      <c r="D30">
        <v>0</v>
      </c>
      <c r="E30">
        <f t="shared" si="1"/>
        <v>1.226794975834826</v>
      </c>
      <c r="F30">
        <f t="shared" si="2"/>
        <v>101.41942894908438</v>
      </c>
      <c r="G30">
        <v>241</v>
      </c>
      <c r="H30">
        <v>242</v>
      </c>
      <c r="I30">
        <v>41.7</v>
      </c>
      <c r="J30">
        <f t="shared" si="3"/>
        <v>14763.468000000001</v>
      </c>
      <c r="K30">
        <v>2379</v>
      </c>
      <c r="L30">
        <f t="shared" si="4"/>
        <v>1189.5</v>
      </c>
      <c r="P30">
        <v>850</v>
      </c>
      <c r="Q30">
        <f t="shared" si="5"/>
        <v>1314.1227406253931</v>
      </c>
      <c r="R30">
        <f t="shared" si="6"/>
        <v>9165.4963103514001</v>
      </c>
    </row>
    <row r="31" spans="1:18" x14ac:dyDescent="0.25">
      <c r="A31" t="s">
        <v>12</v>
      </c>
      <c r="B31">
        <v>50000</v>
      </c>
      <c r="C31">
        <v>11</v>
      </c>
      <c r="D31">
        <v>2000</v>
      </c>
      <c r="E31">
        <f t="shared" si="1"/>
        <v>1.1559364750414849</v>
      </c>
      <c r="F31">
        <f t="shared" si="2"/>
        <v>94.234987337993573</v>
      </c>
      <c r="G31">
        <v>239</v>
      </c>
      <c r="H31">
        <v>246</v>
      </c>
      <c r="I31">
        <v>41.9</v>
      </c>
      <c r="J31">
        <f t="shared" si="3"/>
        <v>14834.276</v>
      </c>
      <c r="K31">
        <v>2294</v>
      </c>
      <c r="L31">
        <f t="shared" si="4"/>
        <v>1147</v>
      </c>
      <c r="P31">
        <v>850</v>
      </c>
      <c r="Q31">
        <f t="shared" si="5"/>
        <v>1320.4254875828292</v>
      </c>
      <c r="R31">
        <f t="shared" si="6"/>
        <v>9069.7835096191557</v>
      </c>
    </row>
    <row r="32" spans="1:18" x14ac:dyDescent="0.25">
      <c r="A32" t="s">
        <v>12</v>
      </c>
      <c r="B32">
        <v>50000</v>
      </c>
      <c r="C32">
        <v>7.1</v>
      </c>
      <c r="D32">
        <v>4000</v>
      </c>
      <c r="E32">
        <f t="shared" si="1"/>
        <v>1.0899066174514316</v>
      </c>
      <c r="F32">
        <f t="shared" si="2"/>
        <v>87.632551945245098</v>
      </c>
      <c r="G32">
        <v>238</v>
      </c>
      <c r="H32">
        <v>252</v>
      </c>
      <c r="I32">
        <v>42.6</v>
      </c>
      <c r="J32">
        <f t="shared" si="3"/>
        <v>15082.103999999999</v>
      </c>
      <c r="K32">
        <v>2235</v>
      </c>
      <c r="L32">
        <f t="shared" si="4"/>
        <v>1117.5</v>
      </c>
      <c r="P32">
        <v>850</v>
      </c>
      <c r="Q32">
        <f t="shared" si="5"/>
        <v>1342.4851019338548</v>
      </c>
      <c r="R32">
        <f t="shared" si="6"/>
        <v>9012.7837684594851</v>
      </c>
    </row>
    <row r="33" spans="1:18" x14ac:dyDescent="0.25">
      <c r="A33" t="s">
        <v>12</v>
      </c>
      <c r="B33">
        <v>50000</v>
      </c>
      <c r="C33">
        <v>3.1</v>
      </c>
      <c r="D33">
        <v>6000</v>
      </c>
      <c r="E33">
        <f t="shared" si="1"/>
        <v>1.0252213873142479</v>
      </c>
      <c r="F33">
        <f t="shared" si="2"/>
        <v>81.255074425651443</v>
      </c>
      <c r="G33">
        <v>236</v>
      </c>
      <c r="H33">
        <v>257</v>
      </c>
      <c r="I33">
        <v>42.7</v>
      </c>
      <c r="J33">
        <f t="shared" si="3"/>
        <v>15117.508000000002</v>
      </c>
      <c r="K33">
        <v>2170</v>
      </c>
      <c r="L33">
        <f t="shared" si="4"/>
        <v>1085</v>
      </c>
      <c r="P33">
        <v>850</v>
      </c>
      <c r="Q33">
        <f t="shared" si="5"/>
        <v>1345.636475412573</v>
      </c>
      <c r="R33">
        <f t="shared" si="6"/>
        <v>8863.8788225046828</v>
      </c>
    </row>
    <row r="34" spans="1:18" x14ac:dyDescent="0.25">
      <c r="A34" t="s">
        <v>12</v>
      </c>
      <c r="B34">
        <v>50000</v>
      </c>
      <c r="C34">
        <v>-0.8</v>
      </c>
      <c r="D34">
        <v>8000</v>
      </c>
      <c r="E34">
        <f t="shared" si="1"/>
        <v>0.96502208599689476</v>
      </c>
      <c r="F34">
        <f t="shared" si="2"/>
        <v>75.404138213287837</v>
      </c>
      <c r="G34">
        <v>232</v>
      </c>
      <c r="H34">
        <v>261</v>
      </c>
      <c r="I34">
        <v>42.6</v>
      </c>
      <c r="J34">
        <f t="shared" si="3"/>
        <v>15082.103999999999</v>
      </c>
      <c r="K34">
        <v>2099</v>
      </c>
      <c r="L34">
        <f t="shared" si="4"/>
        <v>1049.5</v>
      </c>
      <c r="P34">
        <v>850</v>
      </c>
      <c r="Q34">
        <f t="shared" si="5"/>
        <v>1342.4851019338548</v>
      </c>
      <c r="R34">
        <f t="shared" si="6"/>
        <v>8710.0744254658966</v>
      </c>
    </row>
    <row r="35" spans="1:18" x14ac:dyDescent="0.25">
      <c r="A35" t="s">
        <v>12</v>
      </c>
      <c r="B35">
        <v>50000</v>
      </c>
      <c r="C35">
        <v>-4.8</v>
      </c>
      <c r="D35">
        <v>10000</v>
      </c>
      <c r="E35">
        <f t="shared" si="1"/>
        <v>0.90612712934108608</v>
      </c>
      <c r="F35">
        <f t="shared" si="2"/>
        <v>69.762378829025408</v>
      </c>
      <c r="G35">
        <v>248</v>
      </c>
      <c r="H35">
        <v>287</v>
      </c>
      <c r="I35">
        <v>51.1</v>
      </c>
      <c r="J35">
        <f t="shared" si="3"/>
        <v>18091.444</v>
      </c>
      <c r="K35">
        <v>2272</v>
      </c>
      <c r="L35">
        <f t="shared" si="4"/>
        <v>1136</v>
      </c>
      <c r="P35">
        <v>850</v>
      </c>
      <c r="Q35">
        <f t="shared" si="5"/>
        <v>1610.3518476248821</v>
      </c>
      <c r="R35">
        <f t="shared" si="6"/>
        <v>9480.2796122246564</v>
      </c>
    </row>
    <row r="36" spans="1:18" x14ac:dyDescent="0.25">
      <c r="A36" t="s">
        <v>12</v>
      </c>
      <c r="B36">
        <v>50000</v>
      </c>
      <c r="C36">
        <v>-8.8000000000000007</v>
      </c>
      <c r="D36">
        <v>12000</v>
      </c>
      <c r="E36">
        <f t="shared" si="1"/>
        <v>0.85002224022584971</v>
      </c>
      <c r="F36">
        <f t="shared" si="2"/>
        <v>64.467399493542487</v>
      </c>
      <c r="G36">
        <v>247</v>
      </c>
      <c r="H36">
        <v>294</v>
      </c>
      <c r="I36">
        <v>51.9</v>
      </c>
      <c r="J36">
        <f t="shared" si="3"/>
        <v>18374.675999999999</v>
      </c>
      <c r="K36">
        <v>2218</v>
      </c>
      <c r="L36">
        <f t="shared" si="4"/>
        <v>1109</v>
      </c>
      <c r="P36">
        <v>850</v>
      </c>
      <c r="Q36">
        <f t="shared" si="5"/>
        <v>1635.5628354546259</v>
      </c>
      <c r="R36">
        <f t="shared" si="6"/>
        <v>9384.9841420347857</v>
      </c>
    </row>
    <row r="37" spans="1:18" x14ac:dyDescent="0.25">
      <c r="A37" t="s">
        <v>12</v>
      </c>
      <c r="B37">
        <v>50000</v>
      </c>
      <c r="C37">
        <v>-12.7</v>
      </c>
      <c r="D37">
        <v>14000</v>
      </c>
      <c r="E37">
        <f t="shared" si="1"/>
        <v>0.79791753463950577</v>
      </c>
      <c r="F37">
        <f t="shared" si="2"/>
        <v>59.622875722208917</v>
      </c>
      <c r="G37">
        <v>247</v>
      </c>
      <c r="H37">
        <v>303</v>
      </c>
      <c r="I37">
        <v>53.6</v>
      </c>
      <c r="J37">
        <f t="shared" si="3"/>
        <v>18976.544000000002</v>
      </c>
      <c r="K37">
        <v>2198</v>
      </c>
      <c r="L37">
        <f t="shared" si="4"/>
        <v>1099</v>
      </c>
      <c r="P37">
        <v>850</v>
      </c>
      <c r="Q37">
        <f t="shared" si="5"/>
        <v>1689.1361845928316</v>
      </c>
      <c r="R37">
        <f t="shared" si="6"/>
        <v>9382.2140057940287</v>
      </c>
    </row>
    <row r="38" spans="1:18" x14ac:dyDescent="0.25">
      <c r="A38" t="s">
        <v>12</v>
      </c>
      <c r="B38">
        <v>50000</v>
      </c>
      <c r="C38">
        <v>-16.7</v>
      </c>
      <c r="D38">
        <v>16000</v>
      </c>
      <c r="E38">
        <f t="shared" si="1"/>
        <v>0.74705165293004538</v>
      </c>
      <c r="F38">
        <f t="shared" si="2"/>
        <v>54.964702625412812</v>
      </c>
      <c r="G38">
        <v>247</v>
      </c>
      <c r="H38">
        <v>312</v>
      </c>
      <c r="I38">
        <v>55.1</v>
      </c>
      <c r="J38">
        <f t="shared" si="3"/>
        <v>19507.604000000003</v>
      </c>
      <c r="K38">
        <v>2193</v>
      </c>
      <c r="L38">
        <f t="shared" si="4"/>
        <v>1096.5</v>
      </c>
      <c r="P38">
        <v>850</v>
      </c>
      <c r="Q38">
        <f t="shared" si="5"/>
        <v>1736.4067867736014</v>
      </c>
      <c r="R38">
        <f t="shared" si="6"/>
        <v>9341.4384335888153</v>
      </c>
    </row>
    <row r="39" spans="1:18" x14ac:dyDescent="0.25">
      <c r="A39" t="s">
        <v>12</v>
      </c>
      <c r="B39">
        <v>50000</v>
      </c>
      <c r="C39">
        <v>-20.7</v>
      </c>
      <c r="D39">
        <v>18000</v>
      </c>
      <c r="E39">
        <f t="shared" si="1"/>
        <v>0.69870446964341482</v>
      </c>
      <c r="F39">
        <f t="shared" si="2"/>
        <v>50.605700950408632</v>
      </c>
      <c r="G39">
        <v>242</v>
      </c>
      <c r="H39">
        <v>315</v>
      </c>
      <c r="I39">
        <v>54</v>
      </c>
      <c r="J39">
        <f t="shared" si="3"/>
        <v>19118.16</v>
      </c>
      <c r="K39">
        <v>2118</v>
      </c>
      <c r="L39">
        <f t="shared" si="4"/>
        <v>1059</v>
      </c>
      <c r="P39">
        <v>850</v>
      </c>
      <c r="Q39">
        <f t="shared" si="5"/>
        <v>1701.7416785077035</v>
      </c>
      <c r="R39">
        <f t="shared" si="6"/>
        <v>9059.2326528299873</v>
      </c>
    </row>
    <row r="40" spans="1:18" x14ac:dyDescent="0.25">
      <c r="A40" t="s">
        <v>12</v>
      </c>
      <c r="B40">
        <v>50000</v>
      </c>
      <c r="C40">
        <v>-24.6</v>
      </c>
      <c r="D40">
        <v>20000</v>
      </c>
      <c r="E40">
        <f t="shared" si="1"/>
        <v>0.65390720062118801</v>
      </c>
      <c r="F40">
        <f t="shared" si="2"/>
        <v>46.629465299560287</v>
      </c>
      <c r="G40">
        <v>236</v>
      </c>
      <c r="H40">
        <v>318</v>
      </c>
      <c r="I40">
        <v>52.7</v>
      </c>
      <c r="J40">
        <f t="shared" si="3"/>
        <v>18657.907999999999</v>
      </c>
      <c r="K40">
        <v>2040</v>
      </c>
      <c r="L40">
        <f t="shared" si="4"/>
        <v>1020</v>
      </c>
      <c r="P40">
        <v>850</v>
      </c>
      <c r="Q40">
        <f t="shared" si="5"/>
        <v>1660.7738232843697</v>
      </c>
      <c r="R40">
        <f t="shared" si="6"/>
        <v>8749.3757001698414</v>
      </c>
    </row>
    <row r="41" spans="1:18" x14ac:dyDescent="0.25">
      <c r="A41" t="s">
        <v>12</v>
      </c>
      <c r="B41">
        <v>50000</v>
      </c>
      <c r="C41">
        <v>-28.6</v>
      </c>
      <c r="D41">
        <v>22000</v>
      </c>
      <c r="E41">
        <f t="shared" si="1"/>
        <v>0.61027828449683619</v>
      </c>
      <c r="F41">
        <f t="shared" si="2"/>
        <v>42.817975778504902</v>
      </c>
      <c r="G41">
        <v>228</v>
      </c>
      <c r="H41">
        <v>317</v>
      </c>
      <c r="I41">
        <v>50.2</v>
      </c>
      <c r="J41">
        <f t="shared" si="3"/>
        <v>17772.808000000001</v>
      </c>
      <c r="K41">
        <v>1925</v>
      </c>
      <c r="L41">
        <f t="shared" si="4"/>
        <v>962.5</v>
      </c>
      <c r="P41">
        <v>850</v>
      </c>
      <c r="Q41">
        <f t="shared" si="5"/>
        <v>1581.9894863164207</v>
      </c>
      <c r="R41">
        <f t="shared" si="6"/>
        <v>8363.2826381712148</v>
      </c>
    </row>
    <row r="42" spans="1:18" x14ac:dyDescent="0.25">
      <c r="A42" t="s">
        <v>12</v>
      </c>
      <c r="B42">
        <v>50000</v>
      </c>
      <c r="C42">
        <v>-32.5</v>
      </c>
      <c r="D42">
        <v>24000</v>
      </c>
      <c r="E42">
        <f t="shared" si="1"/>
        <v>0.56991930881758013</v>
      </c>
      <c r="F42">
        <f t="shared" si="2"/>
        <v>39.348645330248132</v>
      </c>
      <c r="G42">
        <v>220</v>
      </c>
      <c r="H42">
        <v>316</v>
      </c>
      <c r="I42">
        <v>48</v>
      </c>
      <c r="J42">
        <f t="shared" si="3"/>
        <v>16993.919999999998</v>
      </c>
      <c r="K42">
        <v>1823</v>
      </c>
      <c r="L42">
        <f t="shared" si="4"/>
        <v>911.5</v>
      </c>
      <c r="P42">
        <v>850</v>
      </c>
      <c r="Q42">
        <f t="shared" si="5"/>
        <v>1512.6592697846249</v>
      </c>
      <c r="R42">
        <f t="shared" si="6"/>
        <v>8024.6244041389928</v>
      </c>
    </row>
    <row r="43" spans="1:18" x14ac:dyDescent="0.25">
      <c r="A43" t="s">
        <v>12</v>
      </c>
      <c r="B43">
        <v>50000</v>
      </c>
      <c r="C43">
        <v>-34.5</v>
      </c>
      <c r="D43">
        <v>25000</v>
      </c>
      <c r="E43">
        <f t="shared" si="1"/>
        <v>0.55003181210936014</v>
      </c>
      <c r="F43">
        <f t="shared" si="2"/>
        <v>37.659954883294965</v>
      </c>
      <c r="G43">
        <v>216</v>
      </c>
      <c r="H43">
        <v>316</v>
      </c>
      <c r="I43">
        <v>46.8</v>
      </c>
      <c r="J43">
        <f t="shared" si="3"/>
        <v>16569.072</v>
      </c>
      <c r="K43">
        <v>1769</v>
      </c>
      <c r="L43">
        <f t="shared" si="4"/>
        <v>884.5</v>
      </c>
      <c r="P43">
        <v>850</v>
      </c>
      <c r="Q43">
        <f t="shared" si="5"/>
        <v>1474.8427880400095</v>
      </c>
      <c r="R43">
        <f t="shared" si="6"/>
        <v>7824.0087940355179</v>
      </c>
    </row>
    <row r="44" spans="1:18" x14ac:dyDescent="0.25">
      <c r="A44" t="s">
        <v>12</v>
      </c>
      <c r="B44">
        <v>54000</v>
      </c>
      <c r="C44">
        <v>15</v>
      </c>
      <c r="D44">
        <v>0</v>
      </c>
      <c r="E44">
        <f t="shared" si="1"/>
        <v>1.226794975834826</v>
      </c>
      <c r="F44">
        <f t="shared" si="2"/>
        <v>101.41942894908438</v>
      </c>
      <c r="G44">
        <v>243</v>
      </c>
      <c r="H44">
        <v>243</v>
      </c>
      <c r="I44">
        <v>43.2</v>
      </c>
      <c r="J44">
        <f t="shared" si="3"/>
        <v>15294.528000000002</v>
      </c>
      <c r="K44">
        <v>2421</v>
      </c>
      <c r="L44">
        <f t="shared" si="4"/>
        <v>1210.5</v>
      </c>
      <c r="P44">
        <v>850</v>
      </c>
      <c r="Q44">
        <f t="shared" si="5"/>
        <v>1361.3933428061628</v>
      </c>
      <c r="R44">
        <f t="shared" si="6"/>
        <v>9458.961491958984</v>
      </c>
    </row>
    <row r="45" spans="1:18" x14ac:dyDescent="0.25">
      <c r="A45" t="s">
        <v>12</v>
      </c>
      <c r="B45">
        <v>54000</v>
      </c>
      <c r="C45">
        <v>11</v>
      </c>
      <c r="D45">
        <v>2000</v>
      </c>
      <c r="E45">
        <f t="shared" si="1"/>
        <v>1.1559364750414849</v>
      </c>
      <c r="F45">
        <f t="shared" si="2"/>
        <v>94.234987337993573</v>
      </c>
      <c r="G45">
        <v>242</v>
      </c>
      <c r="H45">
        <v>249</v>
      </c>
      <c r="I45">
        <v>43.7</v>
      </c>
      <c r="J45">
        <f t="shared" si="3"/>
        <v>15471.548000000003</v>
      </c>
      <c r="K45">
        <v>2346</v>
      </c>
      <c r="L45">
        <f t="shared" si="4"/>
        <v>1173</v>
      </c>
      <c r="P45">
        <v>850</v>
      </c>
      <c r="Q45">
        <f t="shared" si="5"/>
        <v>1377.1502101997526</v>
      </c>
      <c r="R45">
        <f t="shared" si="6"/>
        <v>9351.7725429778202</v>
      </c>
    </row>
    <row r="46" spans="1:18" x14ac:dyDescent="0.25">
      <c r="A46" t="s">
        <v>12</v>
      </c>
      <c r="B46">
        <v>54000</v>
      </c>
      <c r="C46">
        <v>7.1</v>
      </c>
      <c r="D46">
        <v>4000</v>
      </c>
      <c r="E46">
        <f t="shared" si="1"/>
        <v>1.0899066174514316</v>
      </c>
      <c r="F46">
        <f t="shared" si="2"/>
        <v>87.632551945245098</v>
      </c>
      <c r="G46">
        <v>240</v>
      </c>
      <c r="H46">
        <v>254</v>
      </c>
      <c r="I46">
        <v>44.2</v>
      </c>
      <c r="J46">
        <f t="shared" si="3"/>
        <v>15648.567999999999</v>
      </c>
      <c r="K46">
        <v>2284</v>
      </c>
      <c r="L46">
        <f t="shared" si="4"/>
        <v>1142</v>
      </c>
      <c r="P46">
        <v>850</v>
      </c>
      <c r="Q46">
        <f t="shared" si="5"/>
        <v>1392.9070775933421</v>
      </c>
      <c r="R46">
        <f t="shared" si="6"/>
        <v>9280.4132624528193</v>
      </c>
    </row>
    <row r="47" spans="1:18" x14ac:dyDescent="0.25">
      <c r="A47" t="s">
        <v>12</v>
      </c>
      <c r="B47">
        <v>54000</v>
      </c>
      <c r="C47">
        <v>3.1</v>
      </c>
      <c r="D47">
        <v>6000</v>
      </c>
      <c r="E47">
        <f t="shared" si="1"/>
        <v>1.0252213873142479</v>
      </c>
      <c r="F47">
        <f t="shared" si="2"/>
        <v>81.255074425651443</v>
      </c>
      <c r="G47">
        <v>237</v>
      </c>
      <c r="H47">
        <v>258</v>
      </c>
      <c r="I47">
        <v>44.6</v>
      </c>
      <c r="J47">
        <f t="shared" si="3"/>
        <v>15790.184000000001</v>
      </c>
      <c r="K47">
        <v>2212</v>
      </c>
      <c r="L47">
        <f t="shared" si="4"/>
        <v>1106</v>
      </c>
      <c r="P47">
        <v>850</v>
      </c>
      <c r="Q47">
        <f t="shared" si="5"/>
        <v>1405.5125715082143</v>
      </c>
      <c r="R47">
        <f t="shared" si="6"/>
        <v>9223.2330982921831</v>
      </c>
    </row>
    <row r="48" spans="1:18" x14ac:dyDescent="0.25">
      <c r="A48" t="s">
        <v>12</v>
      </c>
      <c r="B48">
        <v>54000</v>
      </c>
      <c r="C48">
        <v>-0.8</v>
      </c>
      <c r="D48">
        <v>8000</v>
      </c>
      <c r="E48">
        <f t="shared" si="1"/>
        <v>0.96502208599689476</v>
      </c>
      <c r="F48">
        <f t="shared" si="2"/>
        <v>75.404138213287837</v>
      </c>
      <c r="G48">
        <v>234</v>
      </c>
      <c r="H48">
        <v>263</v>
      </c>
      <c r="I48">
        <v>44.2</v>
      </c>
      <c r="J48">
        <f t="shared" si="3"/>
        <v>15648.567999999999</v>
      </c>
      <c r="K48">
        <v>2146</v>
      </c>
      <c r="L48">
        <f t="shared" si="4"/>
        <v>1073</v>
      </c>
      <c r="P48">
        <v>850</v>
      </c>
      <c r="Q48">
        <f t="shared" si="5"/>
        <v>1392.9070775933421</v>
      </c>
      <c r="R48">
        <f t="shared" si="6"/>
        <v>8969.1197998496718</v>
      </c>
    </row>
    <row r="49" spans="1:18" x14ac:dyDescent="0.25">
      <c r="A49" t="s">
        <v>12</v>
      </c>
      <c r="B49">
        <v>54000</v>
      </c>
      <c r="C49">
        <v>-4.8</v>
      </c>
      <c r="D49">
        <v>10000</v>
      </c>
      <c r="E49">
        <f t="shared" si="1"/>
        <v>0.90612712934108608</v>
      </c>
      <c r="F49">
        <f t="shared" si="2"/>
        <v>69.762378829025408</v>
      </c>
      <c r="G49">
        <v>250</v>
      </c>
      <c r="H49">
        <v>289</v>
      </c>
      <c r="I49">
        <v>52.9</v>
      </c>
      <c r="J49">
        <f t="shared" si="3"/>
        <v>18728.716</v>
      </c>
      <c r="K49">
        <v>2319</v>
      </c>
      <c r="L49">
        <f t="shared" si="4"/>
        <v>1159.5</v>
      </c>
      <c r="P49">
        <v>850</v>
      </c>
      <c r="Q49">
        <f t="shared" si="5"/>
        <v>1667.0765702418057</v>
      </c>
      <c r="R49">
        <f t="shared" si="6"/>
        <v>9742.3272843875493</v>
      </c>
    </row>
    <row r="50" spans="1:18" x14ac:dyDescent="0.25">
      <c r="A50" t="s">
        <v>12</v>
      </c>
      <c r="B50">
        <v>54000</v>
      </c>
      <c r="C50">
        <v>-8.8000000000000007</v>
      </c>
      <c r="D50">
        <v>12000</v>
      </c>
      <c r="E50">
        <f t="shared" si="1"/>
        <v>0.85002224022584971</v>
      </c>
      <c r="F50">
        <f t="shared" si="2"/>
        <v>64.467399493542487</v>
      </c>
      <c r="G50">
        <v>250</v>
      </c>
      <c r="H50">
        <v>298</v>
      </c>
      <c r="I50">
        <v>54.6</v>
      </c>
      <c r="J50">
        <f t="shared" si="3"/>
        <v>19330.584000000003</v>
      </c>
      <c r="K50">
        <v>2289</v>
      </c>
      <c r="L50">
        <f t="shared" si="4"/>
        <v>1144.5</v>
      </c>
      <c r="P50">
        <v>850</v>
      </c>
      <c r="Q50">
        <f t="shared" si="5"/>
        <v>1720.6499193800112</v>
      </c>
      <c r="R50">
        <f t="shared" si="6"/>
        <v>9730.8917013470309</v>
      </c>
    </row>
    <row r="51" spans="1:18" x14ac:dyDescent="0.25">
      <c r="A51" t="s">
        <v>12</v>
      </c>
      <c r="B51">
        <v>54000</v>
      </c>
      <c r="C51">
        <v>-12.7</v>
      </c>
      <c r="D51">
        <v>14000</v>
      </c>
      <c r="E51">
        <f t="shared" si="1"/>
        <v>0.79791753463950577</v>
      </c>
      <c r="F51">
        <f t="shared" si="2"/>
        <v>59.622875722208917</v>
      </c>
      <c r="G51">
        <v>250</v>
      </c>
      <c r="H51">
        <v>307</v>
      </c>
      <c r="I51">
        <v>56.3</v>
      </c>
      <c r="J51">
        <f t="shared" si="3"/>
        <v>19932.451999999997</v>
      </c>
      <c r="K51">
        <v>2279</v>
      </c>
      <c r="L51">
        <f t="shared" si="4"/>
        <v>1139.5</v>
      </c>
      <c r="P51">
        <v>850</v>
      </c>
      <c r="Q51">
        <f t="shared" si="5"/>
        <v>1774.2232685182164</v>
      </c>
      <c r="R51">
        <f t="shared" si="6"/>
        <v>9715.1157203602415</v>
      </c>
    </row>
    <row r="52" spans="1:18" x14ac:dyDescent="0.25">
      <c r="A52" t="s">
        <v>12</v>
      </c>
      <c r="B52">
        <v>54000</v>
      </c>
      <c r="C52">
        <v>-16.7</v>
      </c>
      <c r="D52">
        <v>16000</v>
      </c>
      <c r="E52">
        <f t="shared" si="1"/>
        <v>0.74705165293004538</v>
      </c>
      <c r="F52">
        <f t="shared" si="2"/>
        <v>54.964702625412812</v>
      </c>
      <c r="G52">
        <v>249</v>
      </c>
      <c r="H52">
        <v>315</v>
      </c>
      <c r="I52">
        <v>57.5</v>
      </c>
      <c r="J52">
        <f t="shared" si="3"/>
        <v>20357.3</v>
      </c>
      <c r="K52">
        <v>2266</v>
      </c>
      <c r="L52">
        <f t="shared" si="4"/>
        <v>1133</v>
      </c>
      <c r="P52">
        <v>850</v>
      </c>
      <c r="Q52">
        <f t="shared" si="5"/>
        <v>1812.0397502628321</v>
      </c>
      <c r="R52">
        <f t="shared" si="6"/>
        <v>9646.4051395874867</v>
      </c>
    </row>
    <row r="53" spans="1:18" x14ac:dyDescent="0.25">
      <c r="A53" t="s">
        <v>12</v>
      </c>
      <c r="B53">
        <v>54000</v>
      </c>
      <c r="C53">
        <v>-20.7</v>
      </c>
      <c r="D53">
        <v>18000</v>
      </c>
      <c r="E53">
        <f t="shared" si="1"/>
        <v>0.69870446964341482</v>
      </c>
      <c r="F53">
        <f t="shared" si="2"/>
        <v>50.605700950408632</v>
      </c>
      <c r="G53">
        <v>244</v>
      </c>
      <c r="H53">
        <v>318</v>
      </c>
      <c r="I53">
        <v>56.2</v>
      </c>
      <c r="J53">
        <f t="shared" si="3"/>
        <v>19897.048000000003</v>
      </c>
      <c r="K53">
        <v>2186</v>
      </c>
      <c r="L53">
        <f t="shared" si="4"/>
        <v>1093</v>
      </c>
      <c r="P53">
        <v>850</v>
      </c>
      <c r="Q53">
        <f t="shared" si="5"/>
        <v>1771.0718950394987</v>
      </c>
      <c r="R53">
        <f t="shared" si="6"/>
        <v>9330.4537827238164</v>
      </c>
    </row>
    <row r="54" spans="1:18" x14ac:dyDescent="0.25">
      <c r="A54" t="s">
        <v>12</v>
      </c>
      <c r="B54">
        <v>54000</v>
      </c>
      <c r="C54">
        <v>-24.6</v>
      </c>
      <c r="D54">
        <v>20000</v>
      </c>
      <c r="E54">
        <f t="shared" si="1"/>
        <v>0.65390720062118801</v>
      </c>
      <c r="F54">
        <f t="shared" si="2"/>
        <v>46.629465299560287</v>
      </c>
      <c r="G54">
        <v>236</v>
      </c>
      <c r="H54">
        <v>318</v>
      </c>
      <c r="I54">
        <v>53.9</v>
      </c>
      <c r="J54">
        <f t="shared" si="3"/>
        <v>19082.756000000001</v>
      </c>
      <c r="K54">
        <v>2073</v>
      </c>
      <c r="L54">
        <f t="shared" si="4"/>
        <v>1036.5</v>
      </c>
      <c r="P54">
        <v>850</v>
      </c>
      <c r="Q54">
        <f t="shared" si="5"/>
        <v>1698.5903050289855</v>
      </c>
      <c r="R54">
        <f t="shared" si="6"/>
        <v>8948.6024713312036</v>
      </c>
    </row>
    <row r="55" spans="1:18" x14ac:dyDescent="0.25">
      <c r="A55" t="s">
        <v>12</v>
      </c>
      <c r="B55">
        <v>54000</v>
      </c>
      <c r="C55">
        <v>-28.6</v>
      </c>
      <c r="D55">
        <v>22000</v>
      </c>
      <c r="E55">
        <f t="shared" si="1"/>
        <v>0.61027828449683619</v>
      </c>
      <c r="F55">
        <f t="shared" si="2"/>
        <v>42.817975778504902</v>
      </c>
      <c r="G55">
        <v>228</v>
      </c>
      <c r="H55">
        <v>317</v>
      </c>
      <c r="I55">
        <v>51.3</v>
      </c>
      <c r="J55">
        <f t="shared" si="3"/>
        <v>18162.252</v>
      </c>
      <c r="K55">
        <v>1958</v>
      </c>
      <c r="L55">
        <f t="shared" si="4"/>
        <v>979</v>
      </c>
      <c r="P55">
        <v>850</v>
      </c>
      <c r="Q55">
        <f t="shared" si="5"/>
        <v>1616.6545945823182</v>
      </c>
      <c r="R55">
        <f t="shared" si="6"/>
        <v>8546.5418194857211</v>
      </c>
    </row>
    <row r="56" spans="1:18" x14ac:dyDescent="0.25">
      <c r="A56" t="s">
        <v>12</v>
      </c>
      <c r="B56">
        <v>54000</v>
      </c>
      <c r="C56">
        <v>-32.5</v>
      </c>
      <c r="D56">
        <v>24000</v>
      </c>
      <c r="E56">
        <f t="shared" si="1"/>
        <v>0.56991930881758013</v>
      </c>
      <c r="F56">
        <f t="shared" si="2"/>
        <v>39.348645330248132</v>
      </c>
      <c r="G56">
        <v>220</v>
      </c>
      <c r="H56">
        <v>317</v>
      </c>
      <c r="I56">
        <v>49.1</v>
      </c>
      <c r="J56">
        <f t="shared" si="3"/>
        <v>17383.364000000001</v>
      </c>
      <c r="K56">
        <v>1864</v>
      </c>
      <c r="L56">
        <f t="shared" si="4"/>
        <v>932</v>
      </c>
      <c r="P56">
        <v>850</v>
      </c>
      <c r="Q56">
        <f t="shared" si="5"/>
        <v>1547.3243780505229</v>
      </c>
      <c r="R56">
        <f t="shared" si="6"/>
        <v>8180.0234568567057</v>
      </c>
    </row>
    <row r="57" spans="1:18" x14ac:dyDescent="0.25">
      <c r="A57" t="s">
        <v>12</v>
      </c>
      <c r="B57">
        <v>54000</v>
      </c>
      <c r="C57">
        <v>-34.5</v>
      </c>
      <c r="D57">
        <v>25000</v>
      </c>
      <c r="E57">
        <f t="shared" si="1"/>
        <v>0.55003181210936014</v>
      </c>
      <c r="F57">
        <f t="shared" si="2"/>
        <v>37.659954883294965</v>
      </c>
      <c r="G57">
        <v>216</v>
      </c>
      <c r="H57">
        <v>316</v>
      </c>
      <c r="I57">
        <v>48.3</v>
      </c>
      <c r="J57">
        <f t="shared" si="3"/>
        <v>17100.131999999998</v>
      </c>
      <c r="K57">
        <v>1816</v>
      </c>
      <c r="L57">
        <f t="shared" si="4"/>
        <v>908</v>
      </c>
      <c r="P57">
        <v>850</v>
      </c>
      <c r="Q57">
        <f t="shared" si="5"/>
        <v>1522.1133902207787</v>
      </c>
      <c r="R57">
        <f t="shared" si="6"/>
        <v>8074.7783066648608</v>
      </c>
    </row>
    <row r="58" spans="1:18" x14ac:dyDescent="0.25">
      <c r="A58" t="s">
        <v>12</v>
      </c>
      <c r="B58">
        <v>58000</v>
      </c>
      <c r="C58">
        <v>15</v>
      </c>
      <c r="D58">
        <v>0</v>
      </c>
      <c r="E58">
        <f t="shared" si="1"/>
        <v>1.226794975834826</v>
      </c>
      <c r="F58">
        <f t="shared" si="2"/>
        <v>101.41942894908438</v>
      </c>
      <c r="G58">
        <v>245</v>
      </c>
      <c r="H58">
        <v>245</v>
      </c>
      <c r="I58">
        <v>44.7</v>
      </c>
      <c r="J58">
        <f t="shared" si="3"/>
        <v>15825.588</v>
      </c>
      <c r="K58">
        <v>2462</v>
      </c>
      <c r="L58">
        <f t="shared" si="4"/>
        <v>1231</v>
      </c>
      <c r="P58">
        <v>850</v>
      </c>
      <c r="Q58">
        <f t="shared" si="5"/>
        <v>1408.6639449869322</v>
      </c>
      <c r="R58">
        <f t="shared" si="6"/>
        <v>9712.8948404538987</v>
      </c>
    </row>
    <row r="59" spans="1:18" x14ac:dyDescent="0.25">
      <c r="A59" t="s">
        <v>12</v>
      </c>
      <c r="B59">
        <v>58000</v>
      </c>
      <c r="C59">
        <v>11</v>
      </c>
      <c r="D59">
        <v>2000</v>
      </c>
      <c r="E59">
        <f t="shared" si="1"/>
        <v>1.1559364750414849</v>
      </c>
      <c r="F59">
        <f t="shared" si="2"/>
        <v>94.234987337993573</v>
      </c>
      <c r="G59">
        <v>245</v>
      </c>
      <c r="H59">
        <v>252</v>
      </c>
      <c r="I59">
        <v>45.7</v>
      </c>
      <c r="J59">
        <f t="shared" si="3"/>
        <v>16179.628000000001</v>
      </c>
      <c r="K59">
        <v>2403</v>
      </c>
      <c r="L59">
        <f t="shared" si="4"/>
        <v>1201.5</v>
      </c>
      <c r="P59">
        <v>850</v>
      </c>
      <c r="Q59">
        <f t="shared" si="5"/>
        <v>1440.1776797741118</v>
      </c>
      <c r="R59">
        <f t="shared" si="6"/>
        <v>9668.6436201548913</v>
      </c>
    </row>
    <row r="60" spans="1:18" x14ac:dyDescent="0.25">
      <c r="A60" t="s">
        <v>12</v>
      </c>
      <c r="B60">
        <v>58000</v>
      </c>
      <c r="C60">
        <v>7.1</v>
      </c>
      <c r="D60">
        <v>4000</v>
      </c>
      <c r="E60">
        <f t="shared" si="1"/>
        <v>1.0899066174514316</v>
      </c>
      <c r="F60">
        <f t="shared" si="2"/>
        <v>87.632551945245098</v>
      </c>
      <c r="G60">
        <v>242</v>
      </c>
      <c r="H60">
        <v>256</v>
      </c>
      <c r="I60">
        <v>45.7</v>
      </c>
      <c r="J60">
        <f t="shared" si="3"/>
        <v>16179.628000000001</v>
      </c>
      <c r="K60">
        <v>2329</v>
      </c>
      <c r="L60">
        <f t="shared" si="4"/>
        <v>1164.5</v>
      </c>
      <c r="P60">
        <v>850</v>
      </c>
      <c r="Q60">
        <f t="shared" si="5"/>
        <v>1440.1776797741118</v>
      </c>
      <c r="R60">
        <f t="shared" si="6"/>
        <v>9522.7156096905364</v>
      </c>
    </row>
    <row r="61" spans="1:18" x14ac:dyDescent="0.25">
      <c r="A61" t="s">
        <v>12</v>
      </c>
      <c r="B61">
        <v>58000</v>
      </c>
      <c r="C61">
        <v>3.1</v>
      </c>
      <c r="D61">
        <v>6000</v>
      </c>
      <c r="E61">
        <f t="shared" si="1"/>
        <v>1.0252213873142479</v>
      </c>
      <c r="F61">
        <f t="shared" si="2"/>
        <v>81.255074425651443</v>
      </c>
      <c r="G61">
        <v>238</v>
      </c>
      <c r="H61">
        <v>259</v>
      </c>
      <c r="I61">
        <v>45.5</v>
      </c>
      <c r="J61">
        <f t="shared" si="3"/>
        <v>16108.82</v>
      </c>
      <c r="K61">
        <v>2252</v>
      </c>
      <c r="L61">
        <f t="shared" si="4"/>
        <v>1126</v>
      </c>
      <c r="P61">
        <v>850</v>
      </c>
      <c r="Q61">
        <f t="shared" si="5"/>
        <v>1433.8749328166759</v>
      </c>
      <c r="R61">
        <f t="shared" si="6"/>
        <v>9373.7467949533184</v>
      </c>
    </row>
    <row r="62" spans="1:18" x14ac:dyDescent="0.25">
      <c r="A62" t="s">
        <v>12</v>
      </c>
      <c r="B62">
        <v>58000</v>
      </c>
      <c r="C62">
        <v>-0.8</v>
      </c>
      <c r="D62">
        <v>8000</v>
      </c>
      <c r="E62">
        <f t="shared" si="1"/>
        <v>0.96502208599689476</v>
      </c>
      <c r="F62">
        <f t="shared" si="2"/>
        <v>75.404138213287837</v>
      </c>
      <c r="G62">
        <v>236</v>
      </c>
      <c r="H62">
        <v>265</v>
      </c>
      <c r="I62">
        <v>45.8</v>
      </c>
      <c r="J62">
        <f t="shared" si="3"/>
        <v>16215.031999999999</v>
      </c>
      <c r="K62">
        <v>2194</v>
      </c>
      <c r="L62">
        <f t="shared" si="4"/>
        <v>1097</v>
      </c>
      <c r="P62">
        <v>850</v>
      </c>
      <c r="Q62">
        <f t="shared" si="5"/>
        <v>1443.3290532528297</v>
      </c>
      <c r="R62">
        <f t="shared" si="6"/>
        <v>9223.8759891631325</v>
      </c>
    </row>
    <row r="63" spans="1:18" x14ac:dyDescent="0.25">
      <c r="A63" t="s">
        <v>12</v>
      </c>
      <c r="B63">
        <v>58000</v>
      </c>
      <c r="C63">
        <v>-4.8</v>
      </c>
      <c r="D63">
        <v>10000</v>
      </c>
      <c r="E63">
        <f t="shared" si="1"/>
        <v>0.90612712934108608</v>
      </c>
      <c r="F63">
        <f t="shared" si="2"/>
        <v>69.762378829025408</v>
      </c>
      <c r="G63">
        <v>253</v>
      </c>
      <c r="H63">
        <v>293</v>
      </c>
      <c r="I63">
        <v>55.5</v>
      </c>
      <c r="J63">
        <f t="shared" si="3"/>
        <v>19649.22</v>
      </c>
      <c r="K63">
        <v>2384</v>
      </c>
      <c r="L63">
        <f t="shared" si="4"/>
        <v>1192</v>
      </c>
      <c r="P63">
        <v>850</v>
      </c>
      <c r="Q63">
        <f t="shared" si="5"/>
        <v>1749.0122806884731</v>
      </c>
      <c r="R63">
        <f t="shared" si="6"/>
        <v>10072.61731425888</v>
      </c>
    </row>
    <row r="64" spans="1:18" x14ac:dyDescent="0.25">
      <c r="A64" t="s">
        <v>12</v>
      </c>
      <c r="B64">
        <v>58000</v>
      </c>
      <c r="C64">
        <v>-8.8000000000000007</v>
      </c>
      <c r="D64">
        <v>12000</v>
      </c>
      <c r="E64">
        <f t="shared" si="1"/>
        <v>0.85002224022584971</v>
      </c>
      <c r="F64">
        <f t="shared" si="2"/>
        <v>64.467399493542487</v>
      </c>
      <c r="G64">
        <v>254</v>
      </c>
      <c r="H64">
        <v>302</v>
      </c>
      <c r="I64">
        <v>57.2</v>
      </c>
      <c r="J64">
        <f t="shared" si="3"/>
        <v>20251.088000000003</v>
      </c>
      <c r="K64">
        <v>2362</v>
      </c>
      <c r="L64">
        <f t="shared" si="4"/>
        <v>1181</v>
      </c>
      <c r="P64">
        <v>850</v>
      </c>
      <c r="Q64">
        <f t="shared" si="5"/>
        <v>1802.5856298266788</v>
      </c>
      <c r="R64">
        <f t="shared" si="6"/>
        <v>10048.345745680128</v>
      </c>
    </row>
    <row r="65" spans="1:18" x14ac:dyDescent="0.25">
      <c r="A65" t="s">
        <v>12</v>
      </c>
      <c r="B65">
        <v>58000</v>
      </c>
      <c r="C65">
        <v>-12.7</v>
      </c>
      <c r="D65">
        <v>14000</v>
      </c>
      <c r="E65">
        <f t="shared" si="1"/>
        <v>0.79791753463950577</v>
      </c>
      <c r="F65">
        <f t="shared" si="2"/>
        <v>59.622875722208917</v>
      </c>
      <c r="G65">
        <v>254</v>
      </c>
      <c r="H65">
        <v>311</v>
      </c>
      <c r="I65">
        <v>59</v>
      </c>
      <c r="J65">
        <f t="shared" si="3"/>
        <v>20888.36</v>
      </c>
      <c r="K65">
        <v>2356</v>
      </c>
      <c r="L65">
        <f t="shared" si="4"/>
        <v>1178</v>
      </c>
      <c r="P65">
        <v>850</v>
      </c>
      <c r="Q65">
        <f t="shared" si="5"/>
        <v>1859.3103524436017</v>
      </c>
      <c r="R65">
        <f t="shared" si="6"/>
        <v>10037.898700485463</v>
      </c>
    </row>
    <row r="66" spans="1:18" x14ac:dyDescent="0.25">
      <c r="A66" t="s">
        <v>12</v>
      </c>
      <c r="B66">
        <v>58000</v>
      </c>
      <c r="C66">
        <v>-16.7</v>
      </c>
      <c r="D66">
        <v>16000</v>
      </c>
      <c r="E66">
        <f t="shared" si="1"/>
        <v>0.74705165293004538</v>
      </c>
      <c r="F66">
        <f t="shared" si="2"/>
        <v>54.964702625412812</v>
      </c>
      <c r="G66">
        <v>251</v>
      </c>
      <c r="H66">
        <v>318</v>
      </c>
      <c r="I66">
        <v>59.6</v>
      </c>
      <c r="J66">
        <f t="shared" si="3"/>
        <v>21100.784</v>
      </c>
      <c r="K66">
        <v>2332</v>
      </c>
      <c r="L66">
        <f t="shared" si="4"/>
        <v>1166</v>
      </c>
      <c r="P66">
        <v>850</v>
      </c>
      <c r="Q66">
        <f t="shared" si="5"/>
        <v>1878.2185933159096</v>
      </c>
      <c r="R66">
        <f t="shared" si="6"/>
        <v>9894.9296343476763</v>
      </c>
    </row>
    <row r="67" spans="1:18" x14ac:dyDescent="0.25">
      <c r="A67" t="s">
        <v>12</v>
      </c>
      <c r="B67">
        <v>58000</v>
      </c>
      <c r="C67">
        <v>-20.7</v>
      </c>
      <c r="D67">
        <v>18000</v>
      </c>
      <c r="E67">
        <f t="shared" ref="E67:E130" si="7">F67/(0.2869*(C67+273.15))</f>
        <v>0.69870446964341482</v>
      </c>
      <c r="F67">
        <f t="shared" ref="F67:F130" si="8">101.29*((C67+273.15)/288.08)^5.256</f>
        <v>50.605700950408632</v>
      </c>
      <c r="G67">
        <v>244</v>
      </c>
      <c r="H67">
        <v>318</v>
      </c>
      <c r="I67">
        <v>57.5</v>
      </c>
      <c r="J67">
        <f t="shared" ref="J67:J130" si="9">I67/100*35404</f>
        <v>20357.3</v>
      </c>
      <c r="K67">
        <v>2227</v>
      </c>
      <c r="L67">
        <f t="shared" ref="L67:L130" si="10">K67/2</f>
        <v>1113.5</v>
      </c>
      <c r="P67">
        <v>850</v>
      </c>
      <c r="Q67">
        <f t="shared" ref="Q67:Q130" si="11">P67/60*2*PI()*J67/1000</f>
        <v>1812.0397502628321</v>
      </c>
      <c r="R67">
        <f t="shared" si="6"/>
        <v>9546.2827848152901</v>
      </c>
    </row>
    <row r="68" spans="1:18" x14ac:dyDescent="0.25">
      <c r="A68" t="s">
        <v>12</v>
      </c>
      <c r="B68">
        <v>58000</v>
      </c>
      <c r="C68">
        <v>-24.6</v>
      </c>
      <c r="D68">
        <v>20000</v>
      </c>
      <c r="E68">
        <f t="shared" si="7"/>
        <v>0.65390720062118801</v>
      </c>
      <c r="F68">
        <f t="shared" si="8"/>
        <v>46.629465299560287</v>
      </c>
      <c r="G68">
        <v>236</v>
      </c>
      <c r="H68">
        <v>318</v>
      </c>
      <c r="I68">
        <v>55</v>
      </c>
      <c r="J68">
        <f t="shared" si="9"/>
        <v>19472.2</v>
      </c>
      <c r="K68">
        <v>2107</v>
      </c>
      <c r="L68">
        <f t="shared" si="10"/>
        <v>1053.5</v>
      </c>
      <c r="P68">
        <v>850</v>
      </c>
      <c r="Q68">
        <f t="shared" si="11"/>
        <v>1733.2554132948831</v>
      </c>
      <c r="R68">
        <f t="shared" si="6"/>
        <v>9131.2270115624542</v>
      </c>
    </row>
    <row r="69" spans="1:18" x14ac:dyDescent="0.25">
      <c r="A69" t="s">
        <v>12</v>
      </c>
      <c r="B69">
        <v>58000</v>
      </c>
      <c r="C69">
        <v>-28.6</v>
      </c>
      <c r="D69">
        <v>22000</v>
      </c>
      <c r="E69">
        <f t="shared" si="7"/>
        <v>0.61027828449683619</v>
      </c>
      <c r="F69">
        <f t="shared" si="8"/>
        <v>42.817975778504902</v>
      </c>
      <c r="G69">
        <v>229</v>
      </c>
      <c r="H69">
        <v>318</v>
      </c>
      <c r="I69">
        <v>53</v>
      </c>
      <c r="J69">
        <f t="shared" si="9"/>
        <v>18764.120000000003</v>
      </c>
      <c r="K69">
        <v>2008</v>
      </c>
      <c r="L69">
        <f t="shared" si="10"/>
        <v>1004</v>
      </c>
      <c r="P69">
        <v>850</v>
      </c>
      <c r="Q69">
        <f t="shared" si="11"/>
        <v>1670.2279437205236</v>
      </c>
      <c r="R69">
        <f t="shared" si="6"/>
        <v>8799.1823929601815</v>
      </c>
    </row>
    <row r="70" spans="1:18" x14ac:dyDescent="0.25">
      <c r="A70" t="s">
        <v>12</v>
      </c>
      <c r="B70">
        <v>58000</v>
      </c>
      <c r="C70">
        <v>-32.5</v>
      </c>
      <c r="D70">
        <v>24000</v>
      </c>
      <c r="E70">
        <f t="shared" si="7"/>
        <v>0.56991930881758013</v>
      </c>
      <c r="F70">
        <f t="shared" si="8"/>
        <v>39.348645330248132</v>
      </c>
      <c r="G70">
        <v>222</v>
      </c>
      <c r="H70">
        <v>319</v>
      </c>
      <c r="I70">
        <v>51.6</v>
      </c>
      <c r="J70">
        <f t="shared" si="9"/>
        <v>18268.464</v>
      </c>
      <c r="K70">
        <v>1931</v>
      </c>
      <c r="L70">
        <f t="shared" si="10"/>
        <v>965.5</v>
      </c>
      <c r="P70">
        <v>850</v>
      </c>
      <c r="Q70">
        <f t="shared" si="11"/>
        <v>1626.1087150184719</v>
      </c>
      <c r="R70">
        <f t="shared" si="6"/>
        <v>8537.1599100212297</v>
      </c>
    </row>
    <row r="71" spans="1:18" x14ac:dyDescent="0.25">
      <c r="A71" t="s">
        <v>12</v>
      </c>
      <c r="B71">
        <v>58000</v>
      </c>
      <c r="C71">
        <v>-34.5</v>
      </c>
      <c r="D71">
        <v>25000</v>
      </c>
      <c r="E71">
        <f t="shared" si="7"/>
        <v>0.55003181210936014</v>
      </c>
      <c r="F71">
        <f t="shared" si="8"/>
        <v>37.659954883294965</v>
      </c>
      <c r="G71">
        <v>219</v>
      </c>
      <c r="H71">
        <v>321</v>
      </c>
      <c r="I71">
        <v>51.3</v>
      </c>
      <c r="J71">
        <f t="shared" si="9"/>
        <v>18162.252</v>
      </c>
      <c r="K71">
        <v>1907</v>
      </c>
      <c r="L71">
        <f t="shared" si="10"/>
        <v>953.5</v>
      </c>
      <c r="P71">
        <v>850</v>
      </c>
      <c r="Q71">
        <f t="shared" si="11"/>
        <v>1616.6545945823182</v>
      </c>
      <c r="R71">
        <f t="shared" si="6"/>
        <v>8429.2212164099637</v>
      </c>
    </row>
    <row r="72" spans="1:18" x14ac:dyDescent="0.25">
      <c r="A72" t="s">
        <v>12</v>
      </c>
      <c r="B72">
        <v>62000</v>
      </c>
      <c r="C72">
        <v>15</v>
      </c>
      <c r="D72">
        <v>0</v>
      </c>
      <c r="E72">
        <f t="shared" si="7"/>
        <v>1.226794975834826</v>
      </c>
      <c r="F72">
        <f t="shared" si="8"/>
        <v>101.41942894908438</v>
      </c>
      <c r="G72">
        <v>245</v>
      </c>
      <c r="H72">
        <v>245</v>
      </c>
      <c r="I72">
        <v>45.5</v>
      </c>
      <c r="J72">
        <f t="shared" si="9"/>
        <v>16108.82</v>
      </c>
      <c r="K72">
        <v>2487</v>
      </c>
      <c r="L72">
        <f t="shared" si="10"/>
        <v>1243.5</v>
      </c>
      <c r="P72">
        <v>850</v>
      </c>
      <c r="Q72">
        <f t="shared" si="11"/>
        <v>1433.8749328166759</v>
      </c>
      <c r="R72">
        <f t="shared" si="6"/>
        <v>9886.7274103054206</v>
      </c>
    </row>
    <row r="73" spans="1:18" x14ac:dyDescent="0.25">
      <c r="A73" t="s">
        <v>12</v>
      </c>
      <c r="B73">
        <v>62000</v>
      </c>
      <c r="C73">
        <v>11</v>
      </c>
      <c r="D73">
        <v>2000</v>
      </c>
      <c r="E73">
        <f t="shared" si="7"/>
        <v>1.1559364750414849</v>
      </c>
      <c r="F73">
        <f t="shared" si="8"/>
        <v>94.234987337993573</v>
      </c>
      <c r="G73">
        <v>245</v>
      </c>
      <c r="H73">
        <v>252</v>
      </c>
      <c r="I73">
        <v>46.7</v>
      </c>
      <c r="J73">
        <f t="shared" si="9"/>
        <v>16533.668000000001</v>
      </c>
      <c r="K73">
        <v>2435</v>
      </c>
      <c r="L73">
        <f t="shared" si="10"/>
        <v>1217.5</v>
      </c>
      <c r="P73">
        <v>850</v>
      </c>
      <c r="Q73">
        <f t="shared" si="11"/>
        <v>1471.6914145612916</v>
      </c>
      <c r="R73">
        <f t="shared" si="6"/>
        <v>9880.2113142501858</v>
      </c>
    </row>
    <row r="74" spans="1:18" x14ac:dyDescent="0.25">
      <c r="A74" t="s">
        <v>12</v>
      </c>
      <c r="B74">
        <v>62000</v>
      </c>
      <c r="C74">
        <v>7.1</v>
      </c>
      <c r="D74">
        <v>4000</v>
      </c>
      <c r="E74">
        <f t="shared" si="7"/>
        <v>1.0899066174514316</v>
      </c>
      <c r="F74">
        <f t="shared" si="8"/>
        <v>87.632551945245098</v>
      </c>
      <c r="G74">
        <v>242</v>
      </c>
      <c r="H74">
        <v>256</v>
      </c>
      <c r="I74">
        <v>46.8</v>
      </c>
      <c r="J74">
        <f t="shared" si="9"/>
        <v>16569.072</v>
      </c>
      <c r="K74">
        <v>2363</v>
      </c>
      <c r="L74">
        <f t="shared" si="10"/>
        <v>1181.5</v>
      </c>
      <c r="P74">
        <v>850</v>
      </c>
      <c r="Q74">
        <f t="shared" si="11"/>
        <v>1474.8427880400095</v>
      </c>
      <c r="R74">
        <f t="shared" si="6"/>
        <v>9751.9275827903075</v>
      </c>
    </row>
    <row r="75" spans="1:18" x14ac:dyDescent="0.25">
      <c r="A75" t="s">
        <v>12</v>
      </c>
      <c r="B75">
        <v>62000</v>
      </c>
      <c r="C75">
        <v>3.1</v>
      </c>
      <c r="D75">
        <v>6000</v>
      </c>
      <c r="E75">
        <f t="shared" si="7"/>
        <v>1.0252213873142479</v>
      </c>
      <c r="F75">
        <f t="shared" si="8"/>
        <v>81.255074425651443</v>
      </c>
      <c r="G75">
        <v>239</v>
      </c>
      <c r="H75">
        <v>261</v>
      </c>
      <c r="I75">
        <v>46.9</v>
      </c>
      <c r="J75">
        <f t="shared" si="9"/>
        <v>16604.475999999999</v>
      </c>
      <c r="K75">
        <v>2295</v>
      </c>
      <c r="L75">
        <f t="shared" si="10"/>
        <v>1147.5</v>
      </c>
      <c r="P75">
        <v>850</v>
      </c>
      <c r="Q75">
        <f t="shared" si="11"/>
        <v>1477.9941615187274</v>
      </c>
      <c r="R75">
        <f t="shared" ref="R75:R98" si="12">Q75*1000/(H75*0.51444)*(0.0000000280836682*H75^3 - 0.0000271683584*H75^2 + 0.00848348631*H75 + 0.00836930492)</f>
        <v>9589.2603416514212</v>
      </c>
    </row>
    <row r="76" spans="1:18" x14ac:dyDescent="0.25">
      <c r="A76" t="s">
        <v>12</v>
      </c>
      <c r="B76">
        <v>62000</v>
      </c>
      <c r="C76">
        <v>-0.8</v>
      </c>
      <c r="D76">
        <v>8000</v>
      </c>
      <c r="E76">
        <f t="shared" si="7"/>
        <v>0.96502208599689476</v>
      </c>
      <c r="F76">
        <f t="shared" si="8"/>
        <v>75.404138213287837</v>
      </c>
      <c r="G76">
        <v>238</v>
      </c>
      <c r="H76">
        <v>268</v>
      </c>
      <c r="I76">
        <v>48</v>
      </c>
      <c r="J76">
        <f t="shared" si="9"/>
        <v>16993.919999999998</v>
      </c>
      <c r="K76">
        <v>2257</v>
      </c>
      <c r="L76">
        <f t="shared" si="10"/>
        <v>1128.5</v>
      </c>
      <c r="P76">
        <v>850</v>
      </c>
      <c r="Q76">
        <f t="shared" si="11"/>
        <v>1512.6592697846249</v>
      </c>
      <c r="R76">
        <f t="shared" si="12"/>
        <v>9558.2881956937872</v>
      </c>
    </row>
    <row r="77" spans="1:18" x14ac:dyDescent="0.25">
      <c r="A77" t="s">
        <v>12</v>
      </c>
      <c r="B77">
        <v>62000</v>
      </c>
      <c r="C77">
        <v>-4.8</v>
      </c>
      <c r="D77">
        <v>10000</v>
      </c>
      <c r="E77">
        <f t="shared" si="7"/>
        <v>0.90612712934108608</v>
      </c>
      <c r="F77">
        <f t="shared" si="8"/>
        <v>69.762378829025408</v>
      </c>
      <c r="G77">
        <v>256</v>
      </c>
      <c r="H77">
        <v>295</v>
      </c>
      <c r="I77">
        <v>57.7</v>
      </c>
      <c r="J77">
        <f t="shared" si="9"/>
        <v>20428.108000000004</v>
      </c>
      <c r="K77">
        <v>2445</v>
      </c>
      <c r="L77">
        <f t="shared" si="10"/>
        <v>1222.5</v>
      </c>
      <c r="P77">
        <v>850</v>
      </c>
      <c r="Q77">
        <f t="shared" si="11"/>
        <v>1818.3424972202686</v>
      </c>
      <c r="R77">
        <f t="shared" si="12"/>
        <v>10395.884152461591</v>
      </c>
    </row>
    <row r="78" spans="1:18" x14ac:dyDescent="0.25">
      <c r="A78" t="s">
        <v>12</v>
      </c>
      <c r="B78">
        <v>62000</v>
      </c>
      <c r="C78">
        <v>-8.8000000000000007</v>
      </c>
      <c r="D78">
        <v>12000</v>
      </c>
      <c r="E78">
        <f t="shared" si="7"/>
        <v>0.85002224022584971</v>
      </c>
      <c r="F78">
        <f t="shared" si="8"/>
        <v>64.467399493542487</v>
      </c>
      <c r="G78">
        <v>257</v>
      </c>
      <c r="H78">
        <v>306</v>
      </c>
      <c r="I78">
        <v>60</v>
      </c>
      <c r="J78">
        <f t="shared" si="9"/>
        <v>21242.399999999998</v>
      </c>
      <c r="K78">
        <v>2440</v>
      </c>
      <c r="L78">
        <f t="shared" si="10"/>
        <v>1220</v>
      </c>
      <c r="P78">
        <v>850</v>
      </c>
      <c r="Q78">
        <f t="shared" si="11"/>
        <v>1890.8240872307813</v>
      </c>
      <c r="R78">
        <f t="shared" si="12"/>
        <v>10390.496869554059</v>
      </c>
    </row>
    <row r="79" spans="1:18" x14ac:dyDescent="0.25">
      <c r="A79" t="s">
        <v>12</v>
      </c>
      <c r="B79">
        <v>62000</v>
      </c>
      <c r="C79">
        <v>-12.7</v>
      </c>
      <c r="D79">
        <v>14000</v>
      </c>
      <c r="E79">
        <f t="shared" si="7"/>
        <v>0.79791753463950577</v>
      </c>
      <c r="F79">
        <f t="shared" si="8"/>
        <v>59.622875722208917</v>
      </c>
      <c r="G79">
        <v>257</v>
      </c>
      <c r="H79">
        <v>315</v>
      </c>
      <c r="I79">
        <v>62</v>
      </c>
      <c r="J79">
        <f t="shared" si="9"/>
        <v>21950.48</v>
      </c>
      <c r="K79">
        <v>2448</v>
      </c>
      <c r="L79">
        <f t="shared" si="10"/>
        <v>1224</v>
      </c>
      <c r="P79">
        <v>850</v>
      </c>
      <c r="Q79">
        <f t="shared" si="11"/>
        <v>1953.8515568051407</v>
      </c>
      <c r="R79">
        <f t="shared" si="12"/>
        <v>10401.341193989985</v>
      </c>
    </row>
    <row r="80" spans="1:18" x14ac:dyDescent="0.25">
      <c r="A80" t="s">
        <v>12</v>
      </c>
      <c r="B80">
        <v>62000</v>
      </c>
      <c r="C80">
        <v>-16.7</v>
      </c>
      <c r="D80">
        <v>16000</v>
      </c>
      <c r="E80">
        <f t="shared" si="7"/>
        <v>0.74705165293004538</v>
      </c>
      <c r="F80">
        <f t="shared" si="8"/>
        <v>54.964702625412812</v>
      </c>
      <c r="G80">
        <v>252</v>
      </c>
      <c r="H80">
        <v>318</v>
      </c>
      <c r="I80">
        <v>61</v>
      </c>
      <c r="J80">
        <f t="shared" si="9"/>
        <v>21596.44</v>
      </c>
      <c r="K80">
        <v>2374</v>
      </c>
      <c r="L80">
        <f t="shared" si="10"/>
        <v>1187</v>
      </c>
      <c r="P80">
        <v>850</v>
      </c>
      <c r="Q80">
        <f t="shared" si="11"/>
        <v>1922.3378220179609</v>
      </c>
      <c r="R80">
        <f t="shared" si="12"/>
        <v>10127.360867369265</v>
      </c>
    </row>
    <row r="81" spans="1:18" x14ac:dyDescent="0.25">
      <c r="A81" t="s">
        <v>12</v>
      </c>
      <c r="B81">
        <v>62000</v>
      </c>
      <c r="C81">
        <v>-20.7</v>
      </c>
      <c r="D81">
        <v>18000</v>
      </c>
      <c r="E81">
        <f t="shared" si="7"/>
        <v>0.69870446964341482</v>
      </c>
      <c r="F81">
        <f t="shared" si="8"/>
        <v>50.605700950408632</v>
      </c>
      <c r="G81">
        <v>244</v>
      </c>
      <c r="H81">
        <v>318</v>
      </c>
      <c r="I81">
        <v>58.5</v>
      </c>
      <c r="J81">
        <f t="shared" si="9"/>
        <v>20711.34</v>
      </c>
      <c r="K81">
        <v>2253</v>
      </c>
      <c r="L81">
        <f t="shared" si="10"/>
        <v>1126.5</v>
      </c>
      <c r="P81">
        <v>850</v>
      </c>
      <c r="Q81">
        <f t="shared" si="11"/>
        <v>1843.5534850500119</v>
      </c>
      <c r="R81">
        <f t="shared" si="12"/>
        <v>9712.3050941164274</v>
      </c>
    </row>
    <row r="82" spans="1:18" x14ac:dyDescent="0.25">
      <c r="A82" t="s">
        <v>12</v>
      </c>
      <c r="B82">
        <v>62000</v>
      </c>
      <c r="C82">
        <v>-24.6</v>
      </c>
      <c r="D82">
        <v>20000</v>
      </c>
      <c r="E82">
        <f t="shared" si="7"/>
        <v>0.65390720062118801</v>
      </c>
      <c r="F82">
        <f t="shared" si="8"/>
        <v>46.629465299560287</v>
      </c>
      <c r="G82">
        <v>236</v>
      </c>
      <c r="H82">
        <v>318</v>
      </c>
      <c r="I82">
        <v>56.5</v>
      </c>
      <c r="J82">
        <f t="shared" si="9"/>
        <v>20003.259999999998</v>
      </c>
      <c r="K82">
        <v>2153</v>
      </c>
      <c r="L82">
        <f t="shared" si="10"/>
        <v>1076.5</v>
      </c>
      <c r="P82">
        <v>850</v>
      </c>
      <c r="Q82">
        <f t="shared" si="11"/>
        <v>1780.5260154756525</v>
      </c>
      <c r="R82">
        <f t="shared" si="12"/>
        <v>9380.2604755141565</v>
      </c>
    </row>
    <row r="83" spans="1:18" x14ac:dyDescent="0.25">
      <c r="A83" t="s">
        <v>12</v>
      </c>
      <c r="B83">
        <v>62000</v>
      </c>
      <c r="C83">
        <v>-28.6</v>
      </c>
      <c r="D83">
        <v>22000</v>
      </c>
      <c r="E83">
        <f t="shared" si="7"/>
        <v>0.61027828449683619</v>
      </c>
      <c r="F83">
        <f t="shared" si="8"/>
        <v>42.817975778504902</v>
      </c>
      <c r="G83">
        <v>230</v>
      </c>
      <c r="H83">
        <v>321</v>
      </c>
      <c r="I83">
        <v>56.3</v>
      </c>
      <c r="J83">
        <f t="shared" si="9"/>
        <v>19932.451999999997</v>
      </c>
      <c r="K83">
        <v>2106</v>
      </c>
      <c r="L83">
        <f t="shared" si="10"/>
        <v>1053</v>
      </c>
      <c r="P83">
        <v>850</v>
      </c>
      <c r="Q83">
        <f t="shared" si="11"/>
        <v>1774.2232685182164</v>
      </c>
      <c r="R83">
        <f t="shared" si="12"/>
        <v>9250.7827384772118</v>
      </c>
    </row>
    <row r="84" spans="1:18" x14ac:dyDescent="0.25">
      <c r="A84" t="s">
        <v>12</v>
      </c>
      <c r="B84">
        <v>62000</v>
      </c>
      <c r="C84">
        <v>-32.5</v>
      </c>
      <c r="D84">
        <v>24000</v>
      </c>
      <c r="E84">
        <f t="shared" si="7"/>
        <v>0.56991930881758013</v>
      </c>
      <c r="F84">
        <f t="shared" si="8"/>
        <v>39.348645330248132</v>
      </c>
      <c r="G84">
        <v>224</v>
      </c>
      <c r="H84">
        <v>322</v>
      </c>
      <c r="I84">
        <v>54.4</v>
      </c>
      <c r="J84">
        <f t="shared" si="9"/>
        <v>19259.776000000002</v>
      </c>
      <c r="K84">
        <v>2023</v>
      </c>
      <c r="L84">
        <f t="shared" si="10"/>
        <v>1011.5</v>
      </c>
      <c r="P84">
        <v>850</v>
      </c>
      <c r="Q84">
        <f t="shared" si="11"/>
        <v>1714.3471724225753</v>
      </c>
      <c r="R84">
        <f t="shared" si="12"/>
        <v>8907.959015596176</v>
      </c>
    </row>
    <row r="85" spans="1:18" x14ac:dyDescent="0.25">
      <c r="A85" t="s">
        <v>12</v>
      </c>
      <c r="B85">
        <v>62000</v>
      </c>
      <c r="C85">
        <v>-34.5</v>
      </c>
      <c r="D85">
        <v>25000</v>
      </c>
      <c r="E85">
        <f t="shared" si="7"/>
        <v>0.55003181210936014</v>
      </c>
      <c r="F85">
        <f t="shared" si="8"/>
        <v>37.659954883294965</v>
      </c>
      <c r="G85">
        <v>220</v>
      </c>
      <c r="H85">
        <v>322</v>
      </c>
      <c r="I85">
        <v>53.4</v>
      </c>
      <c r="J85">
        <f t="shared" si="9"/>
        <v>18905.736000000001</v>
      </c>
      <c r="K85">
        <v>1981</v>
      </c>
      <c r="L85">
        <f t="shared" si="10"/>
        <v>990.5</v>
      </c>
      <c r="P85">
        <v>850</v>
      </c>
      <c r="Q85">
        <f t="shared" si="11"/>
        <v>1682.8334376353955</v>
      </c>
      <c r="R85">
        <f t="shared" si="12"/>
        <v>8744.2097689859511</v>
      </c>
    </row>
    <row r="86" spans="1:18" x14ac:dyDescent="0.25">
      <c r="A86" t="s">
        <v>12</v>
      </c>
      <c r="B86">
        <v>64000</v>
      </c>
      <c r="C86">
        <v>15</v>
      </c>
      <c r="D86">
        <v>0</v>
      </c>
      <c r="E86">
        <f t="shared" si="7"/>
        <v>1.226794975834826</v>
      </c>
      <c r="F86">
        <f t="shared" si="8"/>
        <v>101.41942894908438</v>
      </c>
      <c r="G86">
        <v>245</v>
      </c>
      <c r="H86">
        <v>245</v>
      </c>
      <c r="I86">
        <v>46</v>
      </c>
      <c r="J86">
        <f t="shared" si="9"/>
        <v>16285.84</v>
      </c>
      <c r="K86">
        <v>2500</v>
      </c>
      <c r="L86">
        <f t="shared" si="10"/>
        <v>1250</v>
      </c>
      <c r="P86">
        <v>850</v>
      </c>
      <c r="Q86">
        <f t="shared" si="11"/>
        <v>1449.6318002102657</v>
      </c>
      <c r="R86">
        <f t="shared" si="12"/>
        <v>9995.372766462624</v>
      </c>
    </row>
    <row r="87" spans="1:18" x14ac:dyDescent="0.25">
      <c r="A87" t="s">
        <v>12</v>
      </c>
      <c r="B87">
        <v>64000</v>
      </c>
      <c r="C87">
        <v>11</v>
      </c>
      <c r="D87">
        <v>2000</v>
      </c>
      <c r="E87">
        <f t="shared" si="7"/>
        <v>1.1559364750414849</v>
      </c>
      <c r="F87">
        <f t="shared" si="8"/>
        <v>94.234987337993573</v>
      </c>
      <c r="G87">
        <v>245</v>
      </c>
      <c r="H87">
        <v>252</v>
      </c>
      <c r="I87">
        <v>47.2</v>
      </c>
      <c r="J87">
        <f t="shared" si="9"/>
        <v>16710.688000000002</v>
      </c>
      <c r="K87">
        <v>2451</v>
      </c>
      <c r="L87">
        <f t="shared" si="10"/>
        <v>1225.5</v>
      </c>
      <c r="P87">
        <v>850</v>
      </c>
      <c r="Q87">
        <f t="shared" si="11"/>
        <v>1487.4482819548814</v>
      </c>
      <c r="R87">
        <f t="shared" si="12"/>
        <v>9985.9951612978311</v>
      </c>
    </row>
    <row r="88" spans="1:18" x14ac:dyDescent="0.25">
      <c r="A88" t="s">
        <v>12</v>
      </c>
      <c r="B88">
        <v>64000</v>
      </c>
      <c r="C88">
        <v>7.1</v>
      </c>
      <c r="D88">
        <v>4000</v>
      </c>
      <c r="E88">
        <f t="shared" si="7"/>
        <v>1.0899066174514316</v>
      </c>
      <c r="F88">
        <f t="shared" si="8"/>
        <v>87.632551945245098</v>
      </c>
      <c r="G88">
        <v>242</v>
      </c>
      <c r="H88">
        <v>256</v>
      </c>
      <c r="I88">
        <v>47.4</v>
      </c>
      <c r="J88">
        <f t="shared" si="9"/>
        <v>16781.495999999999</v>
      </c>
      <c r="K88">
        <v>2381</v>
      </c>
      <c r="L88">
        <f t="shared" si="10"/>
        <v>1190.5</v>
      </c>
      <c r="P88">
        <v>850</v>
      </c>
      <c r="Q88">
        <f t="shared" si="11"/>
        <v>1493.7510289123172</v>
      </c>
      <c r="R88">
        <f t="shared" si="12"/>
        <v>9876.9522953901833</v>
      </c>
    </row>
    <row r="89" spans="1:18" x14ac:dyDescent="0.25">
      <c r="A89" t="s">
        <v>12</v>
      </c>
      <c r="B89">
        <v>64000</v>
      </c>
      <c r="C89">
        <v>3.1</v>
      </c>
      <c r="D89">
        <v>6000</v>
      </c>
      <c r="E89">
        <f t="shared" si="7"/>
        <v>1.0252213873142479</v>
      </c>
      <c r="F89">
        <f t="shared" si="8"/>
        <v>81.255074425651443</v>
      </c>
      <c r="G89">
        <v>240</v>
      </c>
      <c r="H89">
        <v>262</v>
      </c>
      <c r="I89">
        <v>48</v>
      </c>
      <c r="J89">
        <f t="shared" si="9"/>
        <v>16993.919999999998</v>
      </c>
      <c r="K89">
        <v>2327</v>
      </c>
      <c r="L89">
        <f t="shared" si="10"/>
        <v>1163.5</v>
      </c>
      <c r="P89">
        <v>850</v>
      </c>
      <c r="Q89">
        <f t="shared" si="11"/>
        <v>1512.6592697846249</v>
      </c>
      <c r="R89">
        <f t="shared" si="12"/>
        <v>9777.1105363565512</v>
      </c>
    </row>
    <row r="90" spans="1:18" x14ac:dyDescent="0.25">
      <c r="A90" t="s">
        <v>12</v>
      </c>
      <c r="B90">
        <v>64000</v>
      </c>
      <c r="C90">
        <v>-0.8</v>
      </c>
      <c r="D90">
        <v>8000</v>
      </c>
      <c r="E90">
        <f t="shared" si="7"/>
        <v>0.96502208599689476</v>
      </c>
      <c r="F90">
        <f t="shared" si="8"/>
        <v>75.404138213287837</v>
      </c>
      <c r="G90">
        <v>239</v>
      </c>
      <c r="H90">
        <v>268</v>
      </c>
      <c r="I90">
        <v>48.7</v>
      </c>
      <c r="J90">
        <f t="shared" si="9"/>
        <v>17241.748000000003</v>
      </c>
      <c r="K90">
        <v>2281</v>
      </c>
      <c r="L90">
        <f t="shared" si="10"/>
        <v>1140.5</v>
      </c>
      <c r="P90">
        <v>850</v>
      </c>
      <c r="Q90">
        <f t="shared" si="11"/>
        <v>1534.7188841356513</v>
      </c>
      <c r="R90">
        <f t="shared" si="12"/>
        <v>9697.679898547658</v>
      </c>
    </row>
    <row r="91" spans="1:18" x14ac:dyDescent="0.25">
      <c r="A91" t="s">
        <v>12</v>
      </c>
      <c r="B91">
        <v>64000</v>
      </c>
      <c r="C91">
        <v>-4.8</v>
      </c>
      <c r="D91">
        <v>10000</v>
      </c>
      <c r="E91">
        <f t="shared" si="7"/>
        <v>0.90612712934108608</v>
      </c>
      <c r="F91">
        <f t="shared" si="8"/>
        <v>69.762378829025408</v>
      </c>
      <c r="G91">
        <v>257</v>
      </c>
      <c r="H91">
        <v>297</v>
      </c>
      <c r="I91">
        <v>58.9</v>
      </c>
      <c r="J91">
        <f t="shared" si="9"/>
        <v>20852.955999999998</v>
      </c>
      <c r="K91">
        <v>2475</v>
      </c>
      <c r="L91">
        <f t="shared" si="10"/>
        <v>1237.5</v>
      </c>
      <c r="P91">
        <v>850</v>
      </c>
      <c r="Q91">
        <f t="shared" si="11"/>
        <v>1856.1589789648835</v>
      </c>
      <c r="R91">
        <f t="shared" si="12"/>
        <v>10535.320919205002</v>
      </c>
    </row>
    <row r="92" spans="1:18" x14ac:dyDescent="0.25">
      <c r="A92" t="s">
        <v>12</v>
      </c>
      <c r="B92">
        <v>64000</v>
      </c>
      <c r="C92">
        <v>-8.8000000000000007</v>
      </c>
      <c r="D92">
        <v>12000</v>
      </c>
      <c r="E92">
        <f t="shared" si="7"/>
        <v>0.85002224022584971</v>
      </c>
      <c r="F92">
        <f t="shared" si="8"/>
        <v>64.467399493542487</v>
      </c>
      <c r="G92">
        <v>259</v>
      </c>
      <c r="H92">
        <v>308</v>
      </c>
      <c r="I92">
        <v>61.6</v>
      </c>
      <c r="J92">
        <f t="shared" si="9"/>
        <v>21808.864000000001</v>
      </c>
      <c r="K92">
        <v>2487</v>
      </c>
      <c r="L92">
        <f t="shared" si="10"/>
        <v>1243.5</v>
      </c>
      <c r="P92">
        <v>850</v>
      </c>
      <c r="Q92">
        <f t="shared" si="11"/>
        <v>1941.2460628902691</v>
      </c>
      <c r="R92">
        <f t="shared" si="12"/>
        <v>10592.002473853074</v>
      </c>
    </row>
    <row r="93" spans="1:18" x14ac:dyDescent="0.25">
      <c r="A93" t="s">
        <v>12</v>
      </c>
      <c r="B93">
        <v>64000</v>
      </c>
      <c r="C93">
        <v>-12.7</v>
      </c>
      <c r="D93">
        <v>14000</v>
      </c>
      <c r="E93">
        <f t="shared" si="7"/>
        <v>0.79791753463950577</v>
      </c>
      <c r="F93">
        <f t="shared" si="8"/>
        <v>59.622875722208917</v>
      </c>
      <c r="G93">
        <v>258</v>
      </c>
      <c r="H93">
        <v>316</v>
      </c>
      <c r="I93">
        <v>63</v>
      </c>
      <c r="J93">
        <f t="shared" si="9"/>
        <v>22304.52</v>
      </c>
      <c r="K93">
        <v>2480</v>
      </c>
      <c r="L93">
        <f t="shared" si="10"/>
        <v>1240</v>
      </c>
      <c r="P93">
        <v>850</v>
      </c>
      <c r="Q93">
        <f t="shared" si="11"/>
        <v>1985.3652915923203</v>
      </c>
      <c r="R93">
        <f t="shared" si="12"/>
        <v>10532.319530432427</v>
      </c>
    </row>
    <row r="94" spans="1:18" x14ac:dyDescent="0.25">
      <c r="A94" t="s">
        <v>12</v>
      </c>
      <c r="B94">
        <v>64000</v>
      </c>
      <c r="C94">
        <v>-16.7</v>
      </c>
      <c r="D94">
        <v>16000</v>
      </c>
      <c r="E94">
        <f t="shared" si="7"/>
        <v>0.74705165293004538</v>
      </c>
      <c r="F94">
        <f t="shared" si="8"/>
        <v>54.964702625412812</v>
      </c>
      <c r="G94">
        <v>252</v>
      </c>
      <c r="H94">
        <v>318</v>
      </c>
      <c r="I94">
        <v>61.6</v>
      </c>
      <c r="J94">
        <f t="shared" si="9"/>
        <v>21808.864000000001</v>
      </c>
      <c r="K94">
        <v>2392</v>
      </c>
      <c r="L94">
        <f t="shared" si="10"/>
        <v>1196</v>
      </c>
      <c r="P94">
        <v>850</v>
      </c>
      <c r="Q94">
        <f t="shared" si="11"/>
        <v>1941.2460628902691</v>
      </c>
      <c r="R94">
        <f t="shared" si="12"/>
        <v>10226.974252949949</v>
      </c>
    </row>
    <row r="95" spans="1:18" x14ac:dyDescent="0.25">
      <c r="A95" t="s">
        <v>12</v>
      </c>
      <c r="B95">
        <v>64000</v>
      </c>
      <c r="C95">
        <v>-20.7</v>
      </c>
      <c r="D95">
        <v>18000</v>
      </c>
      <c r="E95">
        <f t="shared" si="7"/>
        <v>0.69870446964341482</v>
      </c>
      <c r="F95">
        <f t="shared" si="8"/>
        <v>50.605700950408632</v>
      </c>
      <c r="G95">
        <v>244</v>
      </c>
      <c r="H95">
        <v>318</v>
      </c>
      <c r="I95">
        <v>59.2</v>
      </c>
      <c r="J95">
        <f t="shared" si="9"/>
        <v>20959.168000000001</v>
      </c>
      <c r="K95">
        <v>2273</v>
      </c>
      <c r="L95">
        <f t="shared" si="10"/>
        <v>1136.5</v>
      </c>
      <c r="P95">
        <v>850</v>
      </c>
      <c r="Q95">
        <f t="shared" si="11"/>
        <v>1865.613099401038</v>
      </c>
      <c r="R95">
        <f t="shared" si="12"/>
        <v>9828.5207106272228</v>
      </c>
    </row>
    <row r="96" spans="1:18" x14ac:dyDescent="0.25">
      <c r="A96" t="s">
        <v>12</v>
      </c>
      <c r="B96">
        <v>64000</v>
      </c>
      <c r="C96">
        <v>-24.6</v>
      </c>
      <c r="D96">
        <v>20000</v>
      </c>
      <c r="E96">
        <f t="shared" si="7"/>
        <v>0.65390720062118801</v>
      </c>
      <c r="F96">
        <f t="shared" si="8"/>
        <v>46.629465299560287</v>
      </c>
      <c r="G96">
        <v>236</v>
      </c>
      <c r="H96">
        <v>318</v>
      </c>
      <c r="I96">
        <v>57.2</v>
      </c>
      <c r="J96">
        <f t="shared" si="9"/>
        <v>20251.088000000003</v>
      </c>
      <c r="K96">
        <v>2173</v>
      </c>
      <c r="L96">
        <f t="shared" si="10"/>
        <v>1086.5</v>
      </c>
      <c r="P96">
        <v>850</v>
      </c>
      <c r="Q96">
        <f t="shared" si="11"/>
        <v>1802.5856298266788</v>
      </c>
      <c r="R96">
        <f t="shared" si="12"/>
        <v>9496.4760920249519</v>
      </c>
    </row>
    <row r="97" spans="1:18" x14ac:dyDescent="0.25">
      <c r="A97" t="s">
        <v>12</v>
      </c>
      <c r="B97">
        <v>64000</v>
      </c>
      <c r="C97">
        <v>-28.6</v>
      </c>
      <c r="D97">
        <v>22000</v>
      </c>
      <c r="E97">
        <f t="shared" si="7"/>
        <v>0.61027828449683619</v>
      </c>
      <c r="F97">
        <f t="shared" si="8"/>
        <v>42.817975778504902</v>
      </c>
      <c r="G97">
        <v>230</v>
      </c>
      <c r="H97">
        <v>321</v>
      </c>
      <c r="I97">
        <v>56.3</v>
      </c>
      <c r="J97">
        <f t="shared" si="9"/>
        <v>19932.451999999997</v>
      </c>
      <c r="K97">
        <v>2106</v>
      </c>
      <c r="L97">
        <f t="shared" si="10"/>
        <v>1053</v>
      </c>
      <c r="P97">
        <v>850</v>
      </c>
      <c r="Q97">
        <f t="shared" si="11"/>
        <v>1774.2232685182164</v>
      </c>
      <c r="R97">
        <f t="shared" si="12"/>
        <v>9250.7827384772118</v>
      </c>
    </row>
    <row r="98" spans="1:18" x14ac:dyDescent="0.25">
      <c r="A98" t="s">
        <v>12</v>
      </c>
      <c r="B98">
        <v>64000</v>
      </c>
      <c r="C98">
        <v>-32.5</v>
      </c>
      <c r="D98">
        <v>24000</v>
      </c>
      <c r="E98">
        <f t="shared" si="7"/>
        <v>0.56991930881758013</v>
      </c>
      <c r="F98">
        <f t="shared" si="8"/>
        <v>39.348645330248132</v>
      </c>
      <c r="G98">
        <v>225</v>
      </c>
      <c r="H98">
        <v>323</v>
      </c>
      <c r="I98">
        <v>55.6</v>
      </c>
      <c r="J98">
        <f t="shared" si="9"/>
        <v>19684.624000000003</v>
      </c>
      <c r="K98">
        <v>2061</v>
      </c>
      <c r="L98">
        <f t="shared" si="10"/>
        <v>1030.5</v>
      </c>
      <c r="P98">
        <v>850</v>
      </c>
      <c r="Q98">
        <f t="shared" si="11"/>
        <v>1752.1636541671912</v>
      </c>
      <c r="R98">
        <f t="shared" si="12"/>
        <v>9073.3451091823172</v>
      </c>
    </row>
    <row r="99" spans="1:18" x14ac:dyDescent="0.25">
      <c r="A99" t="s">
        <v>12</v>
      </c>
      <c r="B99">
        <v>64000</v>
      </c>
      <c r="C99">
        <v>-34.5</v>
      </c>
      <c r="D99">
        <v>25000</v>
      </c>
      <c r="E99">
        <f t="shared" si="7"/>
        <v>0.55003181210936014</v>
      </c>
      <c r="F99">
        <f t="shared" si="8"/>
        <v>37.659954883294965</v>
      </c>
      <c r="G99">
        <v>220</v>
      </c>
      <c r="H99">
        <v>321</v>
      </c>
      <c r="I99">
        <v>54.2</v>
      </c>
      <c r="J99">
        <f t="shared" si="9"/>
        <v>19188.968000000001</v>
      </c>
      <c r="K99">
        <v>2010</v>
      </c>
      <c r="L99">
        <f t="shared" si="10"/>
        <v>1005</v>
      </c>
      <c r="P99">
        <v>850</v>
      </c>
      <c r="Q99">
        <f t="shared" si="11"/>
        <v>1708.0444254651393</v>
      </c>
      <c r="R99">
        <f t="shared" ref="R99:R106" si="13">Q99*1000/(H99*0.51444)*(0.0000000280836682*H99^3 - 0.0000271683584*H99^2 + 0.00848348631*H99 + 0.00836930492)</f>
        <v>8905.7268992089703</v>
      </c>
    </row>
    <row r="100" spans="1:18" x14ac:dyDescent="0.25">
      <c r="A100" t="s">
        <v>12</v>
      </c>
      <c r="B100">
        <v>65200</v>
      </c>
      <c r="C100">
        <v>15</v>
      </c>
      <c r="D100">
        <v>0</v>
      </c>
      <c r="E100">
        <f t="shared" si="7"/>
        <v>1.226794975834826</v>
      </c>
      <c r="F100">
        <f t="shared" si="8"/>
        <v>101.41942894908438</v>
      </c>
      <c r="G100">
        <v>245</v>
      </c>
      <c r="H100">
        <v>245</v>
      </c>
      <c r="I100">
        <v>46.3</v>
      </c>
      <c r="J100">
        <f t="shared" si="9"/>
        <v>16392.052</v>
      </c>
      <c r="K100">
        <v>2508</v>
      </c>
      <c r="L100">
        <f t="shared" si="10"/>
        <v>1254</v>
      </c>
      <c r="P100">
        <v>850</v>
      </c>
      <c r="Q100">
        <f t="shared" si="11"/>
        <v>1459.0859206464197</v>
      </c>
      <c r="R100">
        <f t="shared" si="13"/>
        <v>10060.559980156946</v>
      </c>
    </row>
    <row r="101" spans="1:18" x14ac:dyDescent="0.25">
      <c r="A101" t="s">
        <v>12</v>
      </c>
      <c r="B101">
        <v>65200</v>
      </c>
      <c r="C101">
        <v>11</v>
      </c>
      <c r="D101">
        <v>2000</v>
      </c>
      <c r="E101">
        <f t="shared" si="7"/>
        <v>1.1559364750414849</v>
      </c>
      <c r="F101">
        <f t="shared" si="8"/>
        <v>94.234987337993573</v>
      </c>
      <c r="G101">
        <v>245</v>
      </c>
      <c r="H101">
        <v>252</v>
      </c>
      <c r="I101">
        <v>47.5</v>
      </c>
      <c r="J101">
        <f t="shared" si="9"/>
        <v>16816.899999999998</v>
      </c>
      <c r="K101">
        <v>2461</v>
      </c>
      <c r="L101">
        <f t="shared" si="10"/>
        <v>1230.5</v>
      </c>
      <c r="P101">
        <v>850</v>
      </c>
      <c r="Q101">
        <f t="shared" si="11"/>
        <v>1496.9024023910351</v>
      </c>
      <c r="R101">
        <f t="shared" si="13"/>
        <v>10049.465469526418</v>
      </c>
    </row>
    <row r="102" spans="1:18" x14ac:dyDescent="0.25">
      <c r="A102" t="s">
        <v>12</v>
      </c>
      <c r="B102">
        <v>65200</v>
      </c>
      <c r="C102">
        <v>7.1</v>
      </c>
      <c r="D102">
        <v>4000</v>
      </c>
      <c r="E102">
        <f t="shared" si="7"/>
        <v>1.0899066174514316</v>
      </c>
      <c r="F102">
        <f t="shared" si="8"/>
        <v>87.632551945245098</v>
      </c>
      <c r="G102">
        <v>242</v>
      </c>
      <c r="H102">
        <v>257</v>
      </c>
      <c r="I102">
        <v>47.8</v>
      </c>
      <c r="J102">
        <f t="shared" si="9"/>
        <v>16923.112000000001</v>
      </c>
      <c r="K102">
        <v>2391</v>
      </c>
      <c r="L102">
        <f t="shared" si="10"/>
        <v>1195.5</v>
      </c>
      <c r="P102">
        <v>850</v>
      </c>
      <c r="Q102">
        <f t="shared" si="11"/>
        <v>1506.3565228271891</v>
      </c>
      <c r="R102">
        <f t="shared" si="13"/>
        <v>9922.5622415860362</v>
      </c>
    </row>
    <row r="103" spans="1:18" x14ac:dyDescent="0.25">
      <c r="A103" t="s">
        <v>12</v>
      </c>
      <c r="B103">
        <v>65200</v>
      </c>
      <c r="C103">
        <v>3.1</v>
      </c>
      <c r="D103">
        <v>6000</v>
      </c>
      <c r="E103">
        <f t="shared" si="7"/>
        <v>1.0252213873142479</v>
      </c>
      <c r="F103">
        <f t="shared" si="8"/>
        <v>81.255074425651443</v>
      </c>
      <c r="G103">
        <v>241</v>
      </c>
      <c r="H103">
        <v>262</v>
      </c>
      <c r="I103">
        <v>48.5</v>
      </c>
      <c r="J103">
        <f t="shared" si="9"/>
        <v>17170.939999999999</v>
      </c>
      <c r="K103">
        <v>2341</v>
      </c>
      <c r="L103">
        <f t="shared" si="10"/>
        <v>1170.5</v>
      </c>
      <c r="P103">
        <v>850</v>
      </c>
      <c r="Q103">
        <f t="shared" si="11"/>
        <v>1528.416137178215</v>
      </c>
      <c r="R103">
        <f t="shared" si="13"/>
        <v>9878.9554377769346</v>
      </c>
    </row>
    <row r="104" spans="1:18" x14ac:dyDescent="0.25">
      <c r="A104" t="s">
        <v>12</v>
      </c>
      <c r="B104">
        <v>65200</v>
      </c>
      <c r="C104">
        <v>-0.8</v>
      </c>
      <c r="D104">
        <v>8000</v>
      </c>
      <c r="E104">
        <f t="shared" si="7"/>
        <v>0.96502208599689476</v>
      </c>
      <c r="F104">
        <f t="shared" si="8"/>
        <v>75.404138213287837</v>
      </c>
      <c r="G104">
        <v>240</v>
      </c>
      <c r="H104">
        <v>269</v>
      </c>
      <c r="I104">
        <v>49.5</v>
      </c>
      <c r="J104">
        <f t="shared" si="9"/>
        <v>17524.98</v>
      </c>
      <c r="K104">
        <v>2301</v>
      </c>
      <c r="L104">
        <f t="shared" si="10"/>
        <v>1150.5</v>
      </c>
      <c r="P104">
        <v>850</v>
      </c>
      <c r="Q104">
        <f t="shared" si="11"/>
        <v>1559.9298719653946</v>
      </c>
      <c r="R104">
        <f t="shared" si="13"/>
        <v>9819.9801214879972</v>
      </c>
    </row>
    <row r="105" spans="1:18" x14ac:dyDescent="0.25">
      <c r="A105" t="s">
        <v>12</v>
      </c>
      <c r="B105">
        <v>65200</v>
      </c>
      <c r="C105">
        <v>-4.8</v>
      </c>
      <c r="D105">
        <v>10000</v>
      </c>
      <c r="E105">
        <f t="shared" si="7"/>
        <v>0.90612712934108608</v>
      </c>
      <c r="F105">
        <f t="shared" si="8"/>
        <v>69.762378829025408</v>
      </c>
      <c r="G105">
        <v>258</v>
      </c>
      <c r="H105">
        <v>298</v>
      </c>
      <c r="I105">
        <v>59.9</v>
      </c>
      <c r="J105">
        <f t="shared" si="9"/>
        <v>21206.995999999999</v>
      </c>
      <c r="K105">
        <v>2502</v>
      </c>
      <c r="L105">
        <f t="shared" si="10"/>
        <v>1251</v>
      </c>
      <c r="P105">
        <v>850</v>
      </c>
      <c r="Q105">
        <f t="shared" si="11"/>
        <v>1887.6727137520634</v>
      </c>
      <c r="R105">
        <f t="shared" si="13"/>
        <v>10675.465437924673</v>
      </c>
    </row>
    <row r="106" spans="1:18" x14ac:dyDescent="0.25">
      <c r="A106" t="s">
        <v>12</v>
      </c>
      <c r="B106">
        <v>65200</v>
      </c>
      <c r="C106">
        <v>-8.8000000000000007</v>
      </c>
      <c r="D106">
        <v>12000</v>
      </c>
      <c r="E106">
        <f t="shared" si="7"/>
        <v>0.85002224022584971</v>
      </c>
      <c r="F106">
        <f t="shared" si="8"/>
        <v>64.467399493542487</v>
      </c>
      <c r="G106">
        <v>260</v>
      </c>
      <c r="H106">
        <v>309</v>
      </c>
      <c r="I106">
        <v>62.5</v>
      </c>
      <c r="J106">
        <f t="shared" si="9"/>
        <v>22127.5</v>
      </c>
      <c r="K106">
        <v>2512</v>
      </c>
      <c r="L106">
        <f t="shared" si="10"/>
        <v>1256</v>
      </c>
      <c r="P106">
        <v>850</v>
      </c>
      <c r="Q106">
        <f t="shared" si="11"/>
        <v>1969.6084241987305</v>
      </c>
      <c r="R106">
        <f t="shared" si="13"/>
        <v>10708.742383646506</v>
      </c>
    </row>
    <row r="107" spans="1:18" x14ac:dyDescent="0.25">
      <c r="A107" t="s">
        <v>12</v>
      </c>
      <c r="B107">
        <v>65200</v>
      </c>
      <c r="C107">
        <v>-12.7</v>
      </c>
      <c r="D107">
        <v>14000</v>
      </c>
      <c r="E107">
        <f t="shared" si="7"/>
        <v>0.79791753463950577</v>
      </c>
      <c r="F107">
        <f t="shared" si="8"/>
        <v>59.622875722208917</v>
      </c>
      <c r="G107">
        <v>258</v>
      </c>
      <c r="H107">
        <v>316</v>
      </c>
      <c r="I107">
        <v>63.5</v>
      </c>
      <c r="J107">
        <f t="shared" si="9"/>
        <v>22481.54</v>
      </c>
      <c r="K107">
        <v>2496</v>
      </c>
      <c r="L107">
        <f t="shared" si="10"/>
        <v>1248</v>
      </c>
      <c r="P107">
        <v>850</v>
      </c>
      <c r="Q107">
        <f t="shared" si="11"/>
        <v>2001.1221589859106</v>
      </c>
      <c r="R107">
        <f t="shared" ref="R107:R112" si="14">Q107*1000/(H107*0.51444)*(0.0000000280836682*H107^3 - 0.0000271683584*H107^2 + 0.00848348631*H107 + 0.00836930492)</f>
        <v>10615.909367975544</v>
      </c>
    </row>
    <row r="108" spans="1:18" x14ac:dyDescent="0.25">
      <c r="A108" t="s">
        <v>12</v>
      </c>
      <c r="B108">
        <v>65200</v>
      </c>
      <c r="C108">
        <v>-16.7</v>
      </c>
      <c r="D108">
        <v>16000</v>
      </c>
      <c r="E108">
        <f t="shared" si="7"/>
        <v>0.74705165293004538</v>
      </c>
      <c r="F108">
        <f t="shared" si="8"/>
        <v>54.964702625412812</v>
      </c>
      <c r="G108">
        <v>252</v>
      </c>
      <c r="H108">
        <v>318</v>
      </c>
      <c r="I108">
        <v>62</v>
      </c>
      <c r="J108">
        <f t="shared" si="9"/>
        <v>21950.48</v>
      </c>
      <c r="K108">
        <v>2404</v>
      </c>
      <c r="L108">
        <f t="shared" si="10"/>
        <v>1202</v>
      </c>
      <c r="P108">
        <v>850</v>
      </c>
      <c r="Q108">
        <f t="shared" si="11"/>
        <v>1953.8515568051407</v>
      </c>
      <c r="R108">
        <f t="shared" si="14"/>
        <v>10293.383176670401</v>
      </c>
    </row>
    <row r="109" spans="1:18" x14ac:dyDescent="0.25">
      <c r="A109" t="s">
        <v>12</v>
      </c>
      <c r="B109">
        <v>65200</v>
      </c>
      <c r="C109">
        <v>-20.7</v>
      </c>
      <c r="D109">
        <v>18000</v>
      </c>
      <c r="E109">
        <f t="shared" si="7"/>
        <v>0.69870446964341482</v>
      </c>
      <c r="F109">
        <f t="shared" si="8"/>
        <v>50.605700950408632</v>
      </c>
      <c r="G109">
        <v>244</v>
      </c>
      <c r="H109">
        <v>318</v>
      </c>
      <c r="I109">
        <v>59.5</v>
      </c>
      <c r="J109">
        <f t="shared" si="9"/>
        <v>21065.379999999997</v>
      </c>
      <c r="K109">
        <v>2285</v>
      </c>
      <c r="L109">
        <f t="shared" si="10"/>
        <v>1142.5</v>
      </c>
      <c r="P109">
        <v>850</v>
      </c>
      <c r="Q109">
        <f t="shared" si="11"/>
        <v>1875.0672198371913</v>
      </c>
      <c r="R109">
        <f t="shared" si="14"/>
        <v>9878.3274034175611</v>
      </c>
    </row>
    <row r="110" spans="1:18" x14ac:dyDescent="0.25">
      <c r="A110" t="s">
        <v>12</v>
      </c>
      <c r="B110">
        <v>65200</v>
      </c>
      <c r="C110">
        <v>-24.6</v>
      </c>
      <c r="D110">
        <v>20000</v>
      </c>
      <c r="E110">
        <f t="shared" si="7"/>
        <v>0.65390720062118801</v>
      </c>
      <c r="F110">
        <f t="shared" si="8"/>
        <v>46.629465299560287</v>
      </c>
      <c r="G110">
        <v>236</v>
      </c>
      <c r="H110">
        <v>318</v>
      </c>
      <c r="I110">
        <v>57.8</v>
      </c>
      <c r="J110">
        <f t="shared" si="9"/>
        <v>20463.511999999999</v>
      </c>
      <c r="K110">
        <v>2188</v>
      </c>
      <c r="L110">
        <f t="shared" si="10"/>
        <v>1094</v>
      </c>
      <c r="P110">
        <v>850</v>
      </c>
      <c r="Q110">
        <f t="shared" si="11"/>
        <v>1821.493870698986</v>
      </c>
      <c r="R110">
        <f t="shared" si="14"/>
        <v>9596.0894776056339</v>
      </c>
    </row>
    <row r="111" spans="1:18" x14ac:dyDescent="0.25">
      <c r="A111" t="s">
        <v>12</v>
      </c>
      <c r="B111">
        <v>65200</v>
      </c>
      <c r="C111">
        <v>-28.6</v>
      </c>
      <c r="D111">
        <v>22000</v>
      </c>
      <c r="E111">
        <f t="shared" si="7"/>
        <v>0.61027828449683619</v>
      </c>
      <c r="F111">
        <f t="shared" si="8"/>
        <v>42.817975778504902</v>
      </c>
      <c r="G111">
        <v>231</v>
      </c>
      <c r="H111">
        <v>322</v>
      </c>
      <c r="I111">
        <v>57.8</v>
      </c>
      <c r="J111">
        <f t="shared" si="9"/>
        <v>20463.511999999999</v>
      </c>
      <c r="K111">
        <v>2135</v>
      </c>
      <c r="L111">
        <f t="shared" si="10"/>
        <v>1067.5</v>
      </c>
      <c r="P111">
        <v>850</v>
      </c>
      <c r="Q111">
        <f t="shared" si="11"/>
        <v>1821.493870698986</v>
      </c>
      <c r="R111">
        <f t="shared" si="14"/>
        <v>9464.7064540709362</v>
      </c>
    </row>
    <row r="112" spans="1:18" x14ac:dyDescent="0.25">
      <c r="A112" t="s">
        <v>12</v>
      </c>
      <c r="B112">
        <v>65200</v>
      </c>
      <c r="C112">
        <v>-32.5</v>
      </c>
      <c r="D112">
        <v>24000</v>
      </c>
      <c r="E112">
        <f t="shared" si="7"/>
        <v>0.56991930881758013</v>
      </c>
      <c r="F112">
        <f t="shared" si="8"/>
        <v>39.348645330248132</v>
      </c>
      <c r="G112">
        <v>225</v>
      </c>
      <c r="H112">
        <v>323</v>
      </c>
      <c r="I112">
        <v>56</v>
      </c>
      <c r="J112">
        <f t="shared" si="9"/>
        <v>19826.240000000002</v>
      </c>
      <c r="K112">
        <v>2077</v>
      </c>
      <c r="L112">
        <f t="shared" si="10"/>
        <v>1038.5</v>
      </c>
      <c r="P112">
        <v>850</v>
      </c>
      <c r="Q112">
        <f t="shared" si="11"/>
        <v>1764.7691480820629</v>
      </c>
      <c r="R112">
        <f t="shared" si="14"/>
        <v>9138.6209732771513</v>
      </c>
    </row>
    <row r="113" spans="1:18" x14ac:dyDescent="0.25">
      <c r="A113" t="s">
        <v>12</v>
      </c>
      <c r="B113">
        <v>65200</v>
      </c>
      <c r="C113">
        <v>-34.5</v>
      </c>
      <c r="D113">
        <v>25000</v>
      </c>
      <c r="E113">
        <f t="shared" si="7"/>
        <v>0.55003181210936014</v>
      </c>
      <c r="F113">
        <f t="shared" si="8"/>
        <v>37.659954883294965</v>
      </c>
      <c r="G113">
        <v>219</v>
      </c>
      <c r="H113">
        <v>321</v>
      </c>
      <c r="I113">
        <v>54.5</v>
      </c>
      <c r="J113">
        <f t="shared" si="9"/>
        <v>19295.18</v>
      </c>
      <c r="K113">
        <v>2023</v>
      </c>
      <c r="L113">
        <f t="shared" si="10"/>
        <v>1011.5</v>
      </c>
      <c r="P113">
        <v>850</v>
      </c>
      <c r="Q113">
        <f t="shared" si="11"/>
        <v>1717.4985459012933</v>
      </c>
      <c r="R113">
        <f>Q113*1000/(H113*0.51444)*(0.0000000280836682*H113^3 - 0.0000271683584*H113^2 + 0.00848348631*H113 + 0.00836930492)</f>
        <v>8955.0205905330022</v>
      </c>
    </row>
    <row r="114" spans="1:18" x14ac:dyDescent="0.25">
      <c r="A114" t="s">
        <v>13</v>
      </c>
      <c r="B114">
        <v>42000</v>
      </c>
      <c r="C114">
        <v>15</v>
      </c>
      <c r="D114">
        <v>0</v>
      </c>
      <c r="E114">
        <f t="shared" si="7"/>
        <v>1.226794975834826</v>
      </c>
      <c r="F114">
        <f t="shared" si="8"/>
        <v>101.41942894908438</v>
      </c>
      <c r="G114">
        <v>160</v>
      </c>
      <c r="H114">
        <f>G114*SQRT($E$114/E114)</f>
        <v>160</v>
      </c>
      <c r="I114">
        <v>96</v>
      </c>
      <c r="J114">
        <f t="shared" si="9"/>
        <v>33987.839999999997</v>
      </c>
      <c r="K114">
        <f>K115</f>
        <v>3960</v>
      </c>
      <c r="L114">
        <f t="shared" si="10"/>
        <v>1980</v>
      </c>
      <c r="M114">
        <v>0</v>
      </c>
      <c r="N114">
        <v>0</v>
      </c>
      <c r="O114">
        <v>0</v>
      </c>
      <c r="P114">
        <v>900</v>
      </c>
      <c r="Q114">
        <f t="shared" si="11"/>
        <v>3203.2784536615586</v>
      </c>
      <c r="R114">
        <f t="shared" ref="R114:R119" si="15">Q114*1000/(H114*0.51444)*(0.0000000280836682*H114^3 - 0.0000271683584*H114^2 + 0.00848348631*H114 + 0.00836930492)</f>
        <v>30559.5344068044</v>
      </c>
    </row>
    <row r="115" spans="1:18" x14ac:dyDescent="0.25">
      <c r="A115" t="s">
        <v>13</v>
      </c>
      <c r="B115">
        <v>42000</v>
      </c>
      <c r="C115">
        <v>11</v>
      </c>
      <c r="D115">
        <v>2000</v>
      </c>
      <c r="E115">
        <f t="shared" si="7"/>
        <v>1.1559364750414849</v>
      </c>
      <c r="F115">
        <f t="shared" si="8"/>
        <v>94.234987337993573</v>
      </c>
      <c r="G115">
        <v>160</v>
      </c>
      <c r="H115">
        <f t="shared" ref="H115:H178" si="16">G115*SQRT($E$114/E115)</f>
        <v>164.83103781704153</v>
      </c>
      <c r="I115">
        <v>96</v>
      </c>
      <c r="J115">
        <f t="shared" si="9"/>
        <v>33987.839999999997</v>
      </c>
      <c r="K115">
        <f>(O115-O114)/((M115-M114)/60)</f>
        <v>3960</v>
      </c>
      <c r="L115">
        <f t="shared" si="10"/>
        <v>1980</v>
      </c>
      <c r="M115">
        <v>0.5</v>
      </c>
      <c r="N115">
        <v>1</v>
      </c>
      <c r="O115">
        <v>33</v>
      </c>
      <c r="P115">
        <v>900</v>
      </c>
      <c r="Q115">
        <f t="shared" si="11"/>
        <v>3203.2784536615586</v>
      </c>
      <c r="R115">
        <f t="shared" si="15"/>
        <v>30007.138979708558</v>
      </c>
    </row>
    <row r="116" spans="1:18" x14ac:dyDescent="0.25">
      <c r="A116" t="s">
        <v>13</v>
      </c>
      <c r="B116">
        <v>42000</v>
      </c>
      <c r="C116">
        <v>7.1</v>
      </c>
      <c r="D116">
        <v>4000</v>
      </c>
      <c r="E116">
        <f t="shared" si="7"/>
        <v>1.0899066174514316</v>
      </c>
      <c r="F116">
        <f t="shared" si="8"/>
        <v>87.632551945245098</v>
      </c>
      <c r="G116">
        <v>160</v>
      </c>
      <c r="H116">
        <f t="shared" si="16"/>
        <v>169.7506055833438</v>
      </c>
      <c r="I116">
        <v>96</v>
      </c>
      <c r="J116">
        <f t="shared" si="9"/>
        <v>33987.839999999997</v>
      </c>
      <c r="K116">
        <f t="shared" ref="K116:K127" si="17">(O116-O115)/((M116-M115)/60)</f>
        <v>3960</v>
      </c>
      <c r="L116">
        <f t="shared" si="10"/>
        <v>1980</v>
      </c>
      <c r="M116">
        <v>1</v>
      </c>
      <c r="N116">
        <v>3</v>
      </c>
      <c r="O116">
        <v>66</v>
      </c>
      <c r="P116">
        <v>900</v>
      </c>
      <c r="Q116">
        <f t="shared" si="11"/>
        <v>3203.2784536615586</v>
      </c>
      <c r="R116">
        <f t="shared" si="15"/>
        <v>29453.567429964121</v>
      </c>
    </row>
    <row r="117" spans="1:18" x14ac:dyDescent="0.25">
      <c r="A117" t="s">
        <v>13</v>
      </c>
      <c r="B117">
        <v>42000</v>
      </c>
      <c r="C117">
        <v>3.1</v>
      </c>
      <c r="D117">
        <v>6000</v>
      </c>
      <c r="E117">
        <f t="shared" si="7"/>
        <v>1.0252213873142479</v>
      </c>
      <c r="F117">
        <f t="shared" si="8"/>
        <v>81.255074425651443</v>
      </c>
      <c r="G117">
        <v>160</v>
      </c>
      <c r="H117">
        <f t="shared" si="16"/>
        <v>175.02381593861151</v>
      </c>
      <c r="I117">
        <v>96</v>
      </c>
      <c r="J117">
        <f t="shared" si="9"/>
        <v>33987.839999999997</v>
      </c>
      <c r="K117">
        <f t="shared" si="17"/>
        <v>3960</v>
      </c>
      <c r="L117">
        <f t="shared" si="10"/>
        <v>1980</v>
      </c>
      <c r="M117">
        <v>1.5</v>
      </c>
      <c r="N117">
        <v>4</v>
      </c>
      <c r="O117">
        <v>99</v>
      </c>
      <c r="P117">
        <v>900</v>
      </c>
      <c r="Q117">
        <f t="shared" si="11"/>
        <v>3203.2784536615586</v>
      </c>
      <c r="R117">
        <f t="shared" si="15"/>
        <v>28870.17341120536</v>
      </c>
    </row>
    <row r="118" spans="1:18" x14ac:dyDescent="0.25">
      <c r="A118" t="s">
        <v>13</v>
      </c>
      <c r="B118">
        <v>42000</v>
      </c>
      <c r="C118">
        <v>-0.8</v>
      </c>
      <c r="D118">
        <v>8000</v>
      </c>
      <c r="E118">
        <f t="shared" si="7"/>
        <v>0.96502208599689476</v>
      </c>
      <c r="F118">
        <f t="shared" si="8"/>
        <v>75.404138213287837</v>
      </c>
      <c r="G118">
        <v>160</v>
      </c>
      <c r="H118">
        <f t="shared" si="16"/>
        <v>180.40033951132818</v>
      </c>
      <c r="I118">
        <v>96</v>
      </c>
      <c r="J118">
        <f t="shared" si="9"/>
        <v>33987.839999999997</v>
      </c>
      <c r="K118">
        <f t="shared" si="17"/>
        <v>3299.9999999999995</v>
      </c>
      <c r="L118">
        <f t="shared" si="10"/>
        <v>1649.9999999999998</v>
      </c>
      <c r="M118">
        <v>2.1</v>
      </c>
      <c r="N118">
        <v>6</v>
      </c>
      <c r="O118">
        <v>132</v>
      </c>
      <c r="P118">
        <v>900</v>
      </c>
      <c r="Q118">
        <f t="shared" si="11"/>
        <v>3203.2784536615586</v>
      </c>
      <c r="R118">
        <f t="shared" si="15"/>
        <v>28285.918979649072</v>
      </c>
    </row>
    <row r="119" spans="1:18" x14ac:dyDescent="0.25">
      <c r="A119" t="s">
        <v>13</v>
      </c>
      <c r="B119">
        <v>42000</v>
      </c>
      <c r="C119">
        <v>-4.8</v>
      </c>
      <c r="D119">
        <v>10000</v>
      </c>
      <c r="E119">
        <f t="shared" si="7"/>
        <v>0.90612712934108608</v>
      </c>
      <c r="F119">
        <f t="shared" si="8"/>
        <v>69.762378829025408</v>
      </c>
      <c r="G119">
        <v>160</v>
      </c>
      <c r="H119">
        <f t="shared" si="16"/>
        <v>186.17073371881716</v>
      </c>
      <c r="I119">
        <v>96</v>
      </c>
      <c r="J119">
        <f t="shared" si="9"/>
        <v>33987.839999999997</v>
      </c>
      <c r="K119">
        <f t="shared" si="17"/>
        <v>3960</v>
      </c>
      <c r="L119">
        <f t="shared" si="10"/>
        <v>1980</v>
      </c>
      <c r="M119">
        <v>2.6</v>
      </c>
      <c r="N119">
        <v>7</v>
      </c>
      <c r="O119">
        <v>165</v>
      </c>
      <c r="P119">
        <v>900</v>
      </c>
      <c r="Q119">
        <f t="shared" si="11"/>
        <v>3203.2784536615586</v>
      </c>
      <c r="R119">
        <f t="shared" si="15"/>
        <v>27670.681749587737</v>
      </c>
    </row>
    <row r="120" spans="1:18" x14ac:dyDescent="0.25">
      <c r="A120" t="s">
        <v>13</v>
      </c>
      <c r="B120">
        <v>42000</v>
      </c>
      <c r="C120">
        <v>-8.8000000000000007</v>
      </c>
      <c r="D120">
        <v>12000</v>
      </c>
      <c r="E120">
        <f t="shared" si="7"/>
        <v>0.85002224022584971</v>
      </c>
      <c r="F120">
        <f t="shared" si="8"/>
        <v>64.467399493542487</v>
      </c>
      <c r="G120">
        <v>161</v>
      </c>
      <c r="H120">
        <f t="shared" si="16"/>
        <v>193.4179277254363</v>
      </c>
      <c r="I120">
        <v>91.3</v>
      </c>
      <c r="J120">
        <f t="shared" si="9"/>
        <v>32323.851999999999</v>
      </c>
      <c r="K120">
        <f t="shared" si="17"/>
        <v>3960</v>
      </c>
      <c r="L120">
        <f t="shared" si="10"/>
        <v>1980</v>
      </c>
      <c r="M120">
        <v>3.1</v>
      </c>
      <c r="N120">
        <v>9</v>
      </c>
      <c r="O120">
        <v>198</v>
      </c>
      <c r="P120">
        <v>900</v>
      </c>
      <c r="Q120">
        <f t="shared" si="11"/>
        <v>3046.4512793677118</v>
      </c>
      <c r="R120">
        <f t="shared" ref="R120:R178" si="18">Q120*1000/(H120*0.51444)*(0.0000000280836682*H120^3 - 0.0000271683584*H120^2 + 0.00848348631*H120 + 0.00836930492)</f>
        <v>25597.517446739304</v>
      </c>
    </row>
    <row r="121" spans="1:18" x14ac:dyDescent="0.25">
      <c r="A121" t="s">
        <v>13</v>
      </c>
      <c r="B121">
        <v>42000</v>
      </c>
      <c r="C121">
        <v>-12.7</v>
      </c>
      <c r="D121">
        <v>14000</v>
      </c>
      <c r="E121">
        <f t="shared" si="7"/>
        <v>0.79791753463950577</v>
      </c>
      <c r="F121">
        <f t="shared" si="8"/>
        <v>59.622875722208917</v>
      </c>
      <c r="G121">
        <v>161</v>
      </c>
      <c r="H121">
        <f t="shared" si="16"/>
        <v>199.63324485538334</v>
      </c>
      <c r="I121">
        <v>86.7</v>
      </c>
      <c r="J121">
        <f t="shared" si="9"/>
        <v>30695.268</v>
      </c>
      <c r="K121">
        <f t="shared" si="17"/>
        <v>3299.9999999999995</v>
      </c>
      <c r="L121">
        <f t="shared" si="10"/>
        <v>1649.9999999999998</v>
      </c>
      <c r="M121">
        <v>3.7</v>
      </c>
      <c r="N121">
        <v>11</v>
      </c>
      <c r="O121">
        <v>231</v>
      </c>
      <c r="P121">
        <v>900</v>
      </c>
      <c r="Q121">
        <f t="shared" si="11"/>
        <v>2892.9608534630956</v>
      </c>
      <c r="R121">
        <f t="shared" si="18"/>
        <v>23736.476919270379</v>
      </c>
    </row>
    <row r="122" spans="1:18" x14ac:dyDescent="0.25">
      <c r="A122" t="s">
        <v>13</v>
      </c>
      <c r="B122">
        <v>42000</v>
      </c>
      <c r="C122">
        <v>-16.7</v>
      </c>
      <c r="D122">
        <v>16000</v>
      </c>
      <c r="E122">
        <f t="shared" si="7"/>
        <v>0.74705165293004538</v>
      </c>
      <c r="F122">
        <f t="shared" si="8"/>
        <v>54.964702625412812</v>
      </c>
      <c r="G122">
        <v>161</v>
      </c>
      <c r="H122">
        <f t="shared" si="16"/>
        <v>206.31773191694867</v>
      </c>
      <c r="I122">
        <v>82.2</v>
      </c>
      <c r="J122">
        <f t="shared" si="9"/>
        <v>29102.088000000003</v>
      </c>
      <c r="K122">
        <f t="shared" si="17"/>
        <v>2999.9999999999995</v>
      </c>
      <c r="L122">
        <f t="shared" si="10"/>
        <v>1499.9999999999998</v>
      </c>
      <c r="M122">
        <v>4.4000000000000004</v>
      </c>
      <c r="N122">
        <v>13</v>
      </c>
      <c r="O122">
        <v>266</v>
      </c>
      <c r="P122">
        <v>900</v>
      </c>
      <c r="Q122">
        <f t="shared" si="11"/>
        <v>2742.8071759477102</v>
      </c>
      <c r="R122">
        <f t="shared" si="18"/>
        <v>21935.286561704852</v>
      </c>
    </row>
    <row r="123" spans="1:18" x14ac:dyDescent="0.25">
      <c r="A123" t="s">
        <v>13</v>
      </c>
      <c r="B123">
        <v>42000</v>
      </c>
      <c r="C123">
        <v>-20.7</v>
      </c>
      <c r="D123">
        <v>18000</v>
      </c>
      <c r="E123">
        <f t="shared" si="7"/>
        <v>0.69870446964341482</v>
      </c>
      <c r="F123">
        <f t="shared" si="8"/>
        <v>50.605700950408632</v>
      </c>
      <c r="G123">
        <v>161</v>
      </c>
      <c r="H123">
        <f t="shared" si="16"/>
        <v>213.33647243532079</v>
      </c>
      <c r="I123">
        <v>77.7</v>
      </c>
      <c r="J123">
        <f t="shared" si="9"/>
        <v>27508.907999999999</v>
      </c>
      <c r="K123">
        <f t="shared" si="17"/>
        <v>3500.0000000000023</v>
      </c>
      <c r="L123">
        <f t="shared" si="10"/>
        <v>1750.0000000000011</v>
      </c>
      <c r="M123">
        <v>5</v>
      </c>
      <c r="N123">
        <v>15</v>
      </c>
      <c r="O123">
        <v>301</v>
      </c>
      <c r="P123">
        <v>900</v>
      </c>
      <c r="Q123">
        <f t="shared" si="11"/>
        <v>2592.6534984323243</v>
      </c>
      <c r="R123">
        <f t="shared" si="18"/>
        <v>20183.587069627905</v>
      </c>
    </row>
    <row r="124" spans="1:18" x14ac:dyDescent="0.25">
      <c r="A124" t="s">
        <v>13</v>
      </c>
      <c r="B124">
        <v>42000</v>
      </c>
      <c r="C124">
        <v>-24.6</v>
      </c>
      <c r="D124">
        <v>20000</v>
      </c>
      <c r="E124">
        <f t="shared" si="7"/>
        <v>0.65390720062118801</v>
      </c>
      <c r="F124">
        <f t="shared" si="8"/>
        <v>46.629465299560287</v>
      </c>
      <c r="G124">
        <v>161</v>
      </c>
      <c r="H124">
        <f t="shared" si="16"/>
        <v>220.52295863761717</v>
      </c>
      <c r="I124">
        <v>73.400000000000006</v>
      </c>
      <c r="J124">
        <f t="shared" si="9"/>
        <v>25986.536000000004</v>
      </c>
      <c r="K124">
        <f t="shared" si="17"/>
        <v>2700.0000000000005</v>
      </c>
      <c r="L124">
        <f t="shared" si="10"/>
        <v>1350.0000000000002</v>
      </c>
      <c r="M124">
        <v>5.8</v>
      </c>
      <c r="N124">
        <v>18</v>
      </c>
      <c r="O124">
        <v>337</v>
      </c>
      <c r="P124">
        <v>900</v>
      </c>
      <c r="Q124">
        <f t="shared" si="11"/>
        <v>2449.1733176954008</v>
      </c>
      <c r="R124">
        <f t="shared" si="18"/>
        <v>18547.860037390419</v>
      </c>
    </row>
    <row r="125" spans="1:18" x14ac:dyDescent="0.25">
      <c r="A125" t="s">
        <v>13</v>
      </c>
      <c r="B125">
        <v>42000</v>
      </c>
      <c r="C125">
        <v>-28.6</v>
      </c>
      <c r="D125">
        <v>22000</v>
      </c>
      <c r="E125">
        <f t="shared" si="7"/>
        <v>0.61027828449683619</v>
      </c>
      <c r="F125">
        <f t="shared" si="8"/>
        <v>42.817975778504902</v>
      </c>
      <c r="G125">
        <v>162</v>
      </c>
      <c r="H125">
        <f t="shared" si="16"/>
        <v>229.68733592387304</v>
      </c>
      <c r="I125">
        <v>68.400000000000006</v>
      </c>
      <c r="J125">
        <f t="shared" si="9"/>
        <v>24216.336000000003</v>
      </c>
      <c r="K125">
        <f t="shared" si="17"/>
        <v>2775.0000000000005</v>
      </c>
      <c r="L125">
        <f t="shared" si="10"/>
        <v>1387.5000000000002</v>
      </c>
      <c r="M125">
        <v>6.6</v>
      </c>
      <c r="N125">
        <v>21</v>
      </c>
      <c r="O125">
        <v>374</v>
      </c>
      <c r="P125">
        <v>900</v>
      </c>
      <c r="Q125">
        <f t="shared" si="11"/>
        <v>2282.3358982338614</v>
      </c>
      <c r="R125">
        <f t="shared" si="18"/>
        <v>16687.111920137915</v>
      </c>
    </row>
    <row r="126" spans="1:18" x14ac:dyDescent="0.25">
      <c r="A126" t="s">
        <v>13</v>
      </c>
      <c r="B126">
        <v>42000</v>
      </c>
      <c r="C126">
        <v>-32.5</v>
      </c>
      <c r="D126">
        <v>24000</v>
      </c>
      <c r="E126">
        <f t="shared" si="7"/>
        <v>0.56991930881758013</v>
      </c>
      <c r="F126">
        <f t="shared" si="8"/>
        <v>39.348645330248132</v>
      </c>
      <c r="G126">
        <v>162</v>
      </c>
      <c r="H126">
        <f t="shared" si="16"/>
        <v>237.68092192881477</v>
      </c>
      <c r="I126">
        <v>64.2</v>
      </c>
      <c r="J126">
        <f t="shared" si="9"/>
        <v>22729.368000000002</v>
      </c>
      <c r="K126">
        <f t="shared" si="17"/>
        <v>2400</v>
      </c>
      <c r="L126">
        <f t="shared" si="10"/>
        <v>1200</v>
      </c>
      <c r="M126">
        <v>7.6</v>
      </c>
      <c r="N126">
        <v>25</v>
      </c>
      <c r="O126">
        <v>414</v>
      </c>
      <c r="P126">
        <v>900</v>
      </c>
      <c r="Q126">
        <f t="shared" si="11"/>
        <v>2142.1924658861676</v>
      </c>
      <c r="R126">
        <f t="shared" si="18"/>
        <v>15189.924219584733</v>
      </c>
    </row>
    <row r="127" spans="1:18" x14ac:dyDescent="0.25">
      <c r="A127" t="s">
        <v>13</v>
      </c>
      <c r="B127">
        <v>42000</v>
      </c>
      <c r="C127">
        <v>-34.5</v>
      </c>
      <c r="D127">
        <v>25000</v>
      </c>
      <c r="E127">
        <f t="shared" si="7"/>
        <v>0.55003181210936014</v>
      </c>
      <c r="F127">
        <f t="shared" si="8"/>
        <v>37.659954883294965</v>
      </c>
      <c r="G127">
        <v>162</v>
      </c>
      <c r="H127">
        <f t="shared" si="16"/>
        <v>241.93968155136855</v>
      </c>
      <c r="I127">
        <v>62.2</v>
      </c>
      <c r="J127">
        <f t="shared" si="9"/>
        <v>22021.288</v>
      </c>
      <c r="K127">
        <f t="shared" si="17"/>
        <v>2400</v>
      </c>
      <c r="L127">
        <f t="shared" si="10"/>
        <v>1200</v>
      </c>
      <c r="M127">
        <v>8.1</v>
      </c>
      <c r="N127">
        <v>27</v>
      </c>
      <c r="O127">
        <v>434</v>
      </c>
      <c r="P127">
        <v>900</v>
      </c>
      <c r="Q127">
        <f t="shared" si="11"/>
        <v>2075.4574981015521</v>
      </c>
      <c r="R127">
        <f t="shared" si="18"/>
        <v>14478.849756849124</v>
      </c>
    </row>
    <row r="128" spans="1:18" x14ac:dyDescent="0.25">
      <c r="A128" t="s">
        <v>13</v>
      </c>
      <c r="B128">
        <v>46000</v>
      </c>
      <c r="C128">
        <v>15</v>
      </c>
      <c r="D128">
        <v>0</v>
      </c>
      <c r="E128">
        <f t="shared" si="7"/>
        <v>1.226794975834826</v>
      </c>
      <c r="F128">
        <f t="shared" si="8"/>
        <v>101.41942894908438</v>
      </c>
      <c r="G128">
        <v>160</v>
      </c>
      <c r="H128">
        <f t="shared" si="16"/>
        <v>160</v>
      </c>
      <c r="I128">
        <v>96</v>
      </c>
      <c r="J128">
        <f t="shared" si="9"/>
        <v>33987.839999999997</v>
      </c>
      <c r="K128">
        <f>K129</f>
        <v>3700</v>
      </c>
      <c r="L128">
        <f t="shared" si="10"/>
        <v>1850</v>
      </c>
      <c r="M128">
        <v>0</v>
      </c>
      <c r="N128">
        <v>0</v>
      </c>
      <c r="O128">
        <v>0</v>
      </c>
      <c r="P128">
        <v>900</v>
      </c>
      <c r="Q128">
        <f t="shared" si="11"/>
        <v>3203.2784536615586</v>
      </c>
      <c r="R128">
        <f t="shared" si="18"/>
        <v>30559.5344068044</v>
      </c>
    </row>
    <row r="129" spans="1:18" x14ac:dyDescent="0.25">
      <c r="A129" t="s">
        <v>13</v>
      </c>
      <c r="B129">
        <v>46000</v>
      </c>
      <c r="C129">
        <v>11</v>
      </c>
      <c r="D129">
        <v>2000</v>
      </c>
      <c r="E129">
        <f t="shared" si="7"/>
        <v>1.1559364750414849</v>
      </c>
      <c r="F129">
        <f t="shared" si="8"/>
        <v>94.234987337993573</v>
      </c>
      <c r="G129">
        <v>160</v>
      </c>
      <c r="H129">
        <f t="shared" si="16"/>
        <v>164.83103781704153</v>
      </c>
      <c r="I129">
        <v>96</v>
      </c>
      <c r="J129">
        <f t="shared" si="9"/>
        <v>33987.839999999997</v>
      </c>
      <c r="K129">
        <f>(O129-O128)/((M129-M128)/60)</f>
        <v>3700</v>
      </c>
      <c r="L129">
        <f t="shared" si="10"/>
        <v>1850</v>
      </c>
      <c r="M129">
        <v>0.6</v>
      </c>
      <c r="N129">
        <v>2</v>
      </c>
      <c r="O129">
        <v>37</v>
      </c>
      <c r="P129">
        <v>900</v>
      </c>
      <c r="Q129">
        <f t="shared" si="11"/>
        <v>3203.2784536615586</v>
      </c>
      <c r="R129">
        <f t="shared" si="18"/>
        <v>30007.138979708558</v>
      </c>
    </row>
    <row r="130" spans="1:18" x14ac:dyDescent="0.25">
      <c r="A130" t="s">
        <v>13</v>
      </c>
      <c r="B130">
        <v>46000</v>
      </c>
      <c r="C130">
        <v>7.1</v>
      </c>
      <c r="D130">
        <v>4000</v>
      </c>
      <c r="E130">
        <f t="shared" si="7"/>
        <v>1.0899066174514316</v>
      </c>
      <c r="F130">
        <f t="shared" si="8"/>
        <v>87.632551945245098</v>
      </c>
      <c r="G130">
        <v>160</v>
      </c>
      <c r="H130">
        <f t="shared" si="16"/>
        <v>169.7506055833438</v>
      </c>
      <c r="I130">
        <v>96</v>
      </c>
      <c r="J130">
        <f t="shared" si="9"/>
        <v>33987.839999999997</v>
      </c>
      <c r="K130">
        <f t="shared" ref="K130:K141" si="19">(O130-O129)/((M130-M129)/60)</f>
        <v>4439.9999999999991</v>
      </c>
      <c r="L130">
        <f t="shared" si="10"/>
        <v>2219.9999999999995</v>
      </c>
      <c r="M130">
        <v>1.1000000000000001</v>
      </c>
      <c r="N130">
        <v>3</v>
      </c>
      <c r="O130">
        <v>74</v>
      </c>
      <c r="P130">
        <v>900</v>
      </c>
      <c r="Q130">
        <f t="shared" si="11"/>
        <v>3203.2784536615586</v>
      </c>
      <c r="R130">
        <f t="shared" si="18"/>
        <v>29453.567429964121</v>
      </c>
    </row>
    <row r="131" spans="1:18" x14ac:dyDescent="0.25">
      <c r="A131" t="s">
        <v>13</v>
      </c>
      <c r="B131">
        <v>46000</v>
      </c>
      <c r="C131">
        <v>3.1</v>
      </c>
      <c r="D131">
        <v>6000</v>
      </c>
      <c r="E131">
        <f t="shared" ref="E131:E194" si="20">F131/(0.2869*(C131+273.15))</f>
        <v>1.0252213873142479</v>
      </c>
      <c r="F131">
        <f t="shared" ref="F131:F194" si="21">101.29*((C131+273.15)/288.08)^5.256</f>
        <v>81.255074425651443</v>
      </c>
      <c r="G131">
        <v>160</v>
      </c>
      <c r="H131">
        <f t="shared" si="16"/>
        <v>175.02381593861151</v>
      </c>
      <c r="I131">
        <v>96</v>
      </c>
      <c r="J131">
        <f t="shared" ref="J131:J194" si="22">I131/100*35404</f>
        <v>33987.839999999997</v>
      </c>
      <c r="K131">
        <f t="shared" si="19"/>
        <v>3700.0000000000005</v>
      </c>
      <c r="L131">
        <f t="shared" ref="L131:L194" si="23">K131/2</f>
        <v>1850.0000000000002</v>
      </c>
      <c r="M131">
        <v>1.7</v>
      </c>
      <c r="N131">
        <v>5</v>
      </c>
      <c r="O131">
        <v>111</v>
      </c>
      <c r="P131">
        <v>900</v>
      </c>
      <c r="Q131">
        <f t="shared" ref="Q131:Q194" si="24">P131/60*2*PI()*J131/1000</f>
        <v>3203.2784536615586</v>
      </c>
      <c r="R131">
        <f t="shared" si="18"/>
        <v>28870.17341120536</v>
      </c>
    </row>
    <row r="132" spans="1:18" x14ac:dyDescent="0.25">
      <c r="A132" t="s">
        <v>13</v>
      </c>
      <c r="B132">
        <v>46000</v>
      </c>
      <c r="C132">
        <v>-0.8</v>
      </c>
      <c r="D132">
        <v>8000</v>
      </c>
      <c r="E132">
        <f t="shared" si="20"/>
        <v>0.96502208599689476</v>
      </c>
      <c r="F132">
        <f t="shared" si="21"/>
        <v>75.404138213287837</v>
      </c>
      <c r="G132">
        <v>160</v>
      </c>
      <c r="H132">
        <f t="shared" si="16"/>
        <v>180.40033951132818</v>
      </c>
      <c r="I132">
        <v>96</v>
      </c>
      <c r="J132">
        <f t="shared" si="22"/>
        <v>33987.839999999997</v>
      </c>
      <c r="K132">
        <f t="shared" si="19"/>
        <v>3600.0000000000005</v>
      </c>
      <c r="L132">
        <f t="shared" si="23"/>
        <v>1800.0000000000002</v>
      </c>
      <c r="M132">
        <v>2.2999999999999998</v>
      </c>
      <c r="N132">
        <v>6</v>
      </c>
      <c r="O132">
        <v>147</v>
      </c>
      <c r="P132">
        <v>900</v>
      </c>
      <c r="Q132">
        <f t="shared" si="24"/>
        <v>3203.2784536615586</v>
      </c>
      <c r="R132">
        <f t="shared" si="18"/>
        <v>28285.918979649072</v>
      </c>
    </row>
    <row r="133" spans="1:18" x14ac:dyDescent="0.25">
      <c r="A133" t="s">
        <v>13</v>
      </c>
      <c r="B133">
        <v>46000</v>
      </c>
      <c r="C133">
        <v>-4.8</v>
      </c>
      <c r="D133">
        <v>10000</v>
      </c>
      <c r="E133">
        <f t="shared" si="20"/>
        <v>0.90612712934108608</v>
      </c>
      <c r="F133">
        <f t="shared" si="21"/>
        <v>69.762378829025408</v>
      </c>
      <c r="G133">
        <v>160</v>
      </c>
      <c r="H133">
        <f t="shared" si="16"/>
        <v>186.17073371881716</v>
      </c>
      <c r="I133">
        <v>96</v>
      </c>
      <c r="J133">
        <f t="shared" si="22"/>
        <v>33987.839999999997</v>
      </c>
      <c r="K133">
        <f t="shared" si="19"/>
        <v>3699.9999999999991</v>
      </c>
      <c r="L133">
        <f t="shared" si="23"/>
        <v>1849.9999999999995</v>
      </c>
      <c r="M133">
        <v>2.9</v>
      </c>
      <c r="N133">
        <v>8</v>
      </c>
      <c r="O133">
        <v>184</v>
      </c>
      <c r="P133">
        <v>900</v>
      </c>
      <c r="Q133">
        <f t="shared" si="24"/>
        <v>3203.2784536615586</v>
      </c>
      <c r="R133">
        <f t="shared" si="18"/>
        <v>27670.681749587737</v>
      </c>
    </row>
    <row r="134" spans="1:18" x14ac:dyDescent="0.25">
      <c r="A134" t="s">
        <v>13</v>
      </c>
      <c r="B134">
        <v>46000</v>
      </c>
      <c r="C134">
        <v>-8.8000000000000007</v>
      </c>
      <c r="D134">
        <v>12000</v>
      </c>
      <c r="E134">
        <f t="shared" si="20"/>
        <v>0.85002224022584971</v>
      </c>
      <c r="F134">
        <f t="shared" si="21"/>
        <v>64.467399493542487</v>
      </c>
      <c r="G134">
        <v>161</v>
      </c>
      <c r="H134">
        <f t="shared" si="16"/>
        <v>193.4179277254363</v>
      </c>
      <c r="I134">
        <v>91.3</v>
      </c>
      <c r="J134">
        <f t="shared" si="22"/>
        <v>32323.851999999999</v>
      </c>
      <c r="K134">
        <f t="shared" si="19"/>
        <v>3699.9999999999991</v>
      </c>
      <c r="L134">
        <f t="shared" si="23"/>
        <v>1849.9999999999995</v>
      </c>
      <c r="M134">
        <v>3.5</v>
      </c>
      <c r="N134">
        <v>10</v>
      </c>
      <c r="O134">
        <v>221</v>
      </c>
      <c r="P134">
        <v>900</v>
      </c>
      <c r="Q134">
        <f t="shared" si="24"/>
        <v>3046.4512793677118</v>
      </c>
      <c r="R134">
        <f t="shared" si="18"/>
        <v>25597.517446739304</v>
      </c>
    </row>
    <row r="135" spans="1:18" x14ac:dyDescent="0.25">
      <c r="A135" t="s">
        <v>13</v>
      </c>
      <c r="B135">
        <v>46000</v>
      </c>
      <c r="C135">
        <v>-12.7</v>
      </c>
      <c r="D135">
        <v>14000</v>
      </c>
      <c r="E135">
        <f t="shared" si="20"/>
        <v>0.79791753463950577</v>
      </c>
      <c r="F135">
        <f t="shared" si="21"/>
        <v>59.622875722208917</v>
      </c>
      <c r="G135">
        <v>161</v>
      </c>
      <c r="H135">
        <f t="shared" si="16"/>
        <v>199.63324485538334</v>
      </c>
      <c r="I135">
        <v>86.7</v>
      </c>
      <c r="J135">
        <f t="shared" si="22"/>
        <v>30695.268</v>
      </c>
      <c r="K135">
        <f t="shared" si="19"/>
        <v>3257.1428571428564</v>
      </c>
      <c r="L135">
        <f t="shared" si="23"/>
        <v>1628.5714285714282</v>
      </c>
      <c r="M135">
        <v>4.2</v>
      </c>
      <c r="N135">
        <v>12</v>
      </c>
      <c r="O135">
        <v>259</v>
      </c>
      <c r="P135">
        <v>900</v>
      </c>
      <c r="Q135">
        <f t="shared" si="24"/>
        <v>2892.9608534630956</v>
      </c>
      <c r="R135">
        <f t="shared" si="18"/>
        <v>23736.476919270379</v>
      </c>
    </row>
    <row r="136" spans="1:18" x14ac:dyDescent="0.25">
      <c r="A136" t="s">
        <v>13</v>
      </c>
      <c r="B136">
        <v>46000</v>
      </c>
      <c r="C136">
        <v>-16.7</v>
      </c>
      <c r="D136">
        <v>16000</v>
      </c>
      <c r="E136">
        <f t="shared" si="20"/>
        <v>0.74705165293004538</v>
      </c>
      <c r="F136">
        <f t="shared" si="21"/>
        <v>54.964702625412812</v>
      </c>
      <c r="G136">
        <v>161</v>
      </c>
      <c r="H136">
        <f t="shared" si="16"/>
        <v>206.31773191694867</v>
      </c>
      <c r="I136">
        <v>82.2</v>
      </c>
      <c r="J136">
        <f t="shared" si="22"/>
        <v>29102.088000000003</v>
      </c>
      <c r="K136">
        <f t="shared" si="19"/>
        <v>3342.8571428571422</v>
      </c>
      <c r="L136">
        <f t="shared" si="23"/>
        <v>1671.4285714285711</v>
      </c>
      <c r="M136">
        <v>4.9000000000000004</v>
      </c>
      <c r="N136">
        <v>15</v>
      </c>
      <c r="O136">
        <v>298</v>
      </c>
      <c r="P136">
        <v>900</v>
      </c>
      <c r="Q136">
        <f t="shared" si="24"/>
        <v>2742.8071759477102</v>
      </c>
      <c r="R136">
        <f t="shared" si="18"/>
        <v>21935.286561704852</v>
      </c>
    </row>
    <row r="137" spans="1:18" x14ac:dyDescent="0.25">
      <c r="A137" t="s">
        <v>13</v>
      </c>
      <c r="B137">
        <v>46000</v>
      </c>
      <c r="C137">
        <v>-20.7</v>
      </c>
      <c r="D137">
        <v>18000</v>
      </c>
      <c r="E137">
        <f t="shared" si="20"/>
        <v>0.69870446964341482</v>
      </c>
      <c r="F137">
        <f t="shared" si="21"/>
        <v>50.605700950408632</v>
      </c>
      <c r="G137">
        <v>161</v>
      </c>
      <c r="H137">
        <f t="shared" si="16"/>
        <v>213.33647243532079</v>
      </c>
      <c r="I137">
        <v>77.7</v>
      </c>
      <c r="J137">
        <f t="shared" si="22"/>
        <v>27508.907999999999</v>
      </c>
      <c r="K137">
        <f t="shared" si="19"/>
        <v>3000.0000000000005</v>
      </c>
      <c r="L137">
        <f t="shared" si="23"/>
        <v>1500.0000000000002</v>
      </c>
      <c r="M137">
        <v>5.7</v>
      </c>
      <c r="N137">
        <v>17</v>
      </c>
      <c r="O137">
        <v>338</v>
      </c>
      <c r="P137">
        <v>900</v>
      </c>
      <c r="Q137">
        <f t="shared" si="24"/>
        <v>2592.6534984323243</v>
      </c>
      <c r="R137">
        <f t="shared" si="18"/>
        <v>20183.587069627905</v>
      </c>
    </row>
    <row r="138" spans="1:18" x14ac:dyDescent="0.25">
      <c r="A138" t="s">
        <v>13</v>
      </c>
      <c r="B138">
        <v>46000</v>
      </c>
      <c r="C138">
        <v>-24.6</v>
      </c>
      <c r="D138">
        <v>20000</v>
      </c>
      <c r="E138">
        <f t="shared" si="20"/>
        <v>0.65390720062118801</v>
      </c>
      <c r="F138">
        <f t="shared" si="21"/>
        <v>46.629465299560287</v>
      </c>
      <c r="G138">
        <v>161</v>
      </c>
      <c r="H138">
        <f t="shared" si="16"/>
        <v>220.52295863761717</v>
      </c>
      <c r="I138">
        <v>73.400000000000006</v>
      </c>
      <c r="J138">
        <f t="shared" si="22"/>
        <v>25986.536000000004</v>
      </c>
      <c r="K138">
        <f t="shared" si="19"/>
        <v>3075.0000000000005</v>
      </c>
      <c r="L138">
        <f t="shared" si="23"/>
        <v>1537.5000000000002</v>
      </c>
      <c r="M138">
        <v>6.5</v>
      </c>
      <c r="N138">
        <v>20</v>
      </c>
      <c r="O138">
        <v>379</v>
      </c>
      <c r="P138">
        <v>900</v>
      </c>
      <c r="Q138">
        <f t="shared" si="24"/>
        <v>2449.1733176954008</v>
      </c>
      <c r="R138">
        <f t="shared" si="18"/>
        <v>18547.860037390419</v>
      </c>
    </row>
    <row r="139" spans="1:18" x14ac:dyDescent="0.25">
      <c r="A139" t="s">
        <v>13</v>
      </c>
      <c r="B139">
        <v>46000</v>
      </c>
      <c r="C139">
        <v>-28.6</v>
      </c>
      <c r="D139">
        <v>22000</v>
      </c>
      <c r="E139">
        <f t="shared" si="20"/>
        <v>0.61027828449683619</v>
      </c>
      <c r="F139">
        <f t="shared" si="21"/>
        <v>42.817975778504902</v>
      </c>
      <c r="G139">
        <v>162</v>
      </c>
      <c r="H139">
        <f t="shared" si="16"/>
        <v>229.68733592387304</v>
      </c>
      <c r="I139">
        <v>68.400000000000006</v>
      </c>
      <c r="J139">
        <f t="shared" si="22"/>
        <v>24216.336000000003</v>
      </c>
      <c r="K139">
        <f t="shared" si="19"/>
        <v>2580</v>
      </c>
      <c r="L139">
        <f t="shared" si="23"/>
        <v>1290</v>
      </c>
      <c r="M139">
        <v>7.5</v>
      </c>
      <c r="N139">
        <v>24</v>
      </c>
      <c r="O139">
        <v>422</v>
      </c>
      <c r="P139">
        <v>900</v>
      </c>
      <c r="Q139">
        <f t="shared" si="24"/>
        <v>2282.3358982338614</v>
      </c>
      <c r="R139">
        <f t="shared" si="18"/>
        <v>16687.111920137915</v>
      </c>
    </row>
    <row r="140" spans="1:18" x14ac:dyDescent="0.25">
      <c r="A140" t="s">
        <v>13</v>
      </c>
      <c r="B140">
        <v>46000</v>
      </c>
      <c r="C140">
        <v>-32.5</v>
      </c>
      <c r="D140">
        <v>24000</v>
      </c>
      <c r="E140">
        <f t="shared" si="20"/>
        <v>0.56991930881758013</v>
      </c>
      <c r="F140">
        <f t="shared" si="21"/>
        <v>39.348645330248132</v>
      </c>
      <c r="G140">
        <v>162</v>
      </c>
      <c r="H140">
        <f t="shared" si="16"/>
        <v>237.68092192881477</v>
      </c>
      <c r="I140">
        <v>64.2</v>
      </c>
      <c r="J140">
        <f t="shared" si="22"/>
        <v>22729.368000000002</v>
      </c>
      <c r="K140">
        <f t="shared" si="19"/>
        <v>2700</v>
      </c>
      <c r="L140">
        <f t="shared" si="23"/>
        <v>1350</v>
      </c>
      <c r="M140">
        <v>8.5</v>
      </c>
      <c r="N140">
        <v>28</v>
      </c>
      <c r="O140">
        <v>467</v>
      </c>
      <c r="P140">
        <v>900</v>
      </c>
      <c r="Q140">
        <f t="shared" si="24"/>
        <v>2142.1924658861676</v>
      </c>
      <c r="R140">
        <f t="shared" si="18"/>
        <v>15189.924219584733</v>
      </c>
    </row>
    <row r="141" spans="1:18" x14ac:dyDescent="0.25">
      <c r="A141" t="s">
        <v>13</v>
      </c>
      <c r="B141">
        <v>46000</v>
      </c>
      <c r="C141">
        <v>-34.5</v>
      </c>
      <c r="D141">
        <v>25000</v>
      </c>
      <c r="E141">
        <f t="shared" si="20"/>
        <v>0.55003181210936014</v>
      </c>
      <c r="F141">
        <f t="shared" si="21"/>
        <v>37.659954883294965</v>
      </c>
      <c r="G141">
        <v>162</v>
      </c>
      <c r="H141">
        <f t="shared" si="16"/>
        <v>241.93968155136855</v>
      </c>
      <c r="I141">
        <v>62.2</v>
      </c>
      <c r="J141">
        <f t="shared" si="22"/>
        <v>22021.288</v>
      </c>
      <c r="K141">
        <f t="shared" si="19"/>
        <v>2400.0000000000018</v>
      </c>
      <c r="L141">
        <f t="shared" si="23"/>
        <v>1200.0000000000009</v>
      </c>
      <c r="M141">
        <v>9.1</v>
      </c>
      <c r="N141">
        <v>30</v>
      </c>
      <c r="O141">
        <v>491</v>
      </c>
      <c r="P141">
        <v>900</v>
      </c>
      <c r="Q141">
        <f t="shared" si="24"/>
        <v>2075.4574981015521</v>
      </c>
      <c r="R141">
        <f t="shared" si="18"/>
        <v>14478.849756849124</v>
      </c>
    </row>
    <row r="142" spans="1:18" x14ac:dyDescent="0.25">
      <c r="A142" t="s">
        <v>13</v>
      </c>
      <c r="B142">
        <v>50000</v>
      </c>
      <c r="C142">
        <v>15</v>
      </c>
      <c r="D142">
        <v>0</v>
      </c>
      <c r="E142">
        <f t="shared" si="20"/>
        <v>1.226794975834826</v>
      </c>
      <c r="F142">
        <f t="shared" si="21"/>
        <v>101.41942894908438</v>
      </c>
      <c r="G142">
        <v>160</v>
      </c>
      <c r="H142">
        <f t="shared" si="16"/>
        <v>160</v>
      </c>
      <c r="I142">
        <v>96</v>
      </c>
      <c r="J142">
        <f t="shared" si="22"/>
        <v>33987.839999999997</v>
      </c>
      <c r="K142">
        <f>K143</f>
        <v>4100</v>
      </c>
      <c r="L142">
        <f t="shared" si="23"/>
        <v>2050</v>
      </c>
      <c r="M142">
        <v>0</v>
      </c>
      <c r="N142">
        <v>0</v>
      </c>
      <c r="O142">
        <v>0</v>
      </c>
      <c r="P142">
        <v>900</v>
      </c>
      <c r="Q142">
        <f t="shared" si="24"/>
        <v>3203.2784536615586</v>
      </c>
      <c r="R142">
        <f t="shared" si="18"/>
        <v>30559.5344068044</v>
      </c>
    </row>
    <row r="143" spans="1:18" x14ac:dyDescent="0.25">
      <c r="A143" t="s">
        <v>13</v>
      </c>
      <c r="B143">
        <v>50000</v>
      </c>
      <c r="C143">
        <v>11</v>
      </c>
      <c r="D143">
        <v>2000</v>
      </c>
      <c r="E143">
        <f t="shared" si="20"/>
        <v>1.1559364750414849</v>
      </c>
      <c r="F143">
        <f t="shared" si="21"/>
        <v>94.234987337993573</v>
      </c>
      <c r="G143">
        <v>160</v>
      </c>
      <c r="H143">
        <f t="shared" si="16"/>
        <v>164.83103781704153</v>
      </c>
      <c r="I143">
        <v>96</v>
      </c>
      <c r="J143">
        <f t="shared" si="22"/>
        <v>33987.839999999997</v>
      </c>
      <c r="K143">
        <f>(O143-O142)/((M143-M142)/60)</f>
        <v>4100</v>
      </c>
      <c r="L143">
        <f t="shared" si="23"/>
        <v>2050</v>
      </c>
      <c r="M143">
        <v>0.6</v>
      </c>
      <c r="N143">
        <v>2</v>
      </c>
      <c r="O143">
        <v>41</v>
      </c>
      <c r="P143">
        <v>900</v>
      </c>
      <c r="Q143">
        <f t="shared" si="24"/>
        <v>3203.2784536615586</v>
      </c>
      <c r="R143">
        <f t="shared" si="18"/>
        <v>30007.138979708558</v>
      </c>
    </row>
    <row r="144" spans="1:18" x14ac:dyDescent="0.25">
      <c r="A144" t="s">
        <v>13</v>
      </c>
      <c r="B144">
        <v>50000</v>
      </c>
      <c r="C144">
        <v>7.1</v>
      </c>
      <c r="D144">
        <v>4000</v>
      </c>
      <c r="E144">
        <f t="shared" si="20"/>
        <v>1.0899066174514316</v>
      </c>
      <c r="F144">
        <f t="shared" si="21"/>
        <v>87.632551945245098</v>
      </c>
      <c r="G144">
        <v>160</v>
      </c>
      <c r="H144">
        <f t="shared" si="16"/>
        <v>169.7506055833438</v>
      </c>
      <c r="I144">
        <v>96</v>
      </c>
      <c r="J144">
        <f t="shared" si="22"/>
        <v>33987.839999999997</v>
      </c>
      <c r="K144">
        <f t="shared" ref="K144:K155" si="25">(O144-O143)/((M144-M143)/60)</f>
        <v>3514.2857142857142</v>
      </c>
      <c r="L144">
        <f t="shared" si="23"/>
        <v>1757.1428571428571</v>
      </c>
      <c r="M144">
        <v>1.3</v>
      </c>
      <c r="N144">
        <v>3</v>
      </c>
      <c r="O144">
        <v>82</v>
      </c>
      <c r="P144">
        <v>900</v>
      </c>
      <c r="Q144">
        <f t="shared" si="24"/>
        <v>3203.2784536615586</v>
      </c>
      <c r="R144">
        <f t="shared" si="18"/>
        <v>29453.567429964121</v>
      </c>
    </row>
    <row r="145" spans="1:18" x14ac:dyDescent="0.25">
      <c r="A145" t="s">
        <v>13</v>
      </c>
      <c r="B145">
        <v>50000</v>
      </c>
      <c r="C145">
        <v>3.1</v>
      </c>
      <c r="D145">
        <v>6000</v>
      </c>
      <c r="E145">
        <f t="shared" si="20"/>
        <v>1.0252213873142479</v>
      </c>
      <c r="F145">
        <f t="shared" si="21"/>
        <v>81.255074425651443</v>
      </c>
      <c r="G145">
        <v>160</v>
      </c>
      <c r="H145">
        <f t="shared" si="16"/>
        <v>175.02381593861151</v>
      </c>
      <c r="I145">
        <v>96</v>
      </c>
      <c r="J145">
        <f t="shared" si="22"/>
        <v>33987.839999999997</v>
      </c>
      <c r="K145">
        <f t="shared" si="25"/>
        <v>4100.0000000000009</v>
      </c>
      <c r="L145">
        <f t="shared" si="23"/>
        <v>2050.0000000000005</v>
      </c>
      <c r="M145">
        <v>1.9</v>
      </c>
      <c r="N145">
        <v>5</v>
      </c>
      <c r="O145">
        <v>123</v>
      </c>
      <c r="P145">
        <v>900</v>
      </c>
      <c r="Q145">
        <f t="shared" si="24"/>
        <v>3203.2784536615586</v>
      </c>
      <c r="R145">
        <f t="shared" si="18"/>
        <v>28870.17341120536</v>
      </c>
    </row>
    <row r="146" spans="1:18" x14ac:dyDescent="0.25">
      <c r="A146" t="s">
        <v>13</v>
      </c>
      <c r="B146">
        <v>50000</v>
      </c>
      <c r="C146">
        <v>-0.8</v>
      </c>
      <c r="D146">
        <v>8000</v>
      </c>
      <c r="E146">
        <f t="shared" si="20"/>
        <v>0.96502208599689476</v>
      </c>
      <c r="F146">
        <f t="shared" si="21"/>
        <v>75.404138213287837</v>
      </c>
      <c r="G146">
        <v>160</v>
      </c>
      <c r="H146">
        <f t="shared" si="16"/>
        <v>180.40033951132818</v>
      </c>
      <c r="I146">
        <v>96</v>
      </c>
      <c r="J146">
        <f t="shared" si="22"/>
        <v>33987.839999999997</v>
      </c>
      <c r="K146">
        <f t="shared" si="25"/>
        <v>3514.2857142857138</v>
      </c>
      <c r="L146">
        <f t="shared" si="23"/>
        <v>1757.1428571428569</v>
      </c>
      <c r="M146">
        <v>2.6</v>
      </c>
      <c r="N146">
        <v>7</v>
      </c>
      <c r="O146">
        <v>164</v>
      </c>
      <c r="P146">
        <v>900</v>
      </c>
      <c r="Q146">
        <f t="shared" si="24"/>
        <v>3203.2784536615586</v>
      </c>
      <c r="R146">
        <f t="shared" si="18"/>
        <v>28285.918979649072</v>
      </c>
    </row>
    <row r="147" spans="1:18" x14ac:dyDescent="0.25">
      <c r="A147" t="s">
        <v>13</v>
      </c>
      <c r="B147">
        <v>50000</v>
      </c>
      <c r="C147">
        <v>-4.8</v>
      </c>
      <c r="D147">
        <v>10000</v>
      </c>
      <c r="E147">
        <f t="shared" si="20"/>
        <v>0.90612712934108608</v>
      </c>
      <c r="F147">
        <f t="shared" si="21"/>
        <v>69.762378829025408</v>
      </c>
      <c r="G147">
        <v>160</v>
      </c>
      <c r="H147">
        <f t="shared" si="16"/>
        <v>186.17073371881716</v>
      </c>
      <c r="I147">
        <v>96</v>
      </c>
      <c r="J147">
        <f t="shared" si="22"/>
        <v>33987.839999999997</v>
      </c>
      <c r="K147">
        <f t="shared" si="25"/>
        <v>4099.9999999999991</v>
      </c>
      <c r="L147">
        <f t="shared" si="23"/>
        <v>2049.9999999999995</v>
      </c>
      <c r="M147">
        <v>3.2</v>
      </c>
      <c r="N147">
        <v>9</v>
      </c>
      <c r="O147">
        <v>205</v>
      </c>
      <c r="P147">
        <v>900</v>
      </c>
      <c r="Q147">
        <f t="shared" si="24"/>
        <v>3203.2784536615586</v>
      </c>
      <c r="R147">
        <f t="shared" si="18"/>
        <v>27670.681749587737</v>
      </c>
    </row>
    <row r="148" spans="1:18" x14ac:dyDescent="0.25">
      <c r="A148" t="s">
        <v>13</v>
      </c>
      <c r="B148">
        <v>50000</v>
      </c>
      <c r="C148">
        <v>-8.8000000000000007</v>
      </c>
      <c r="D148">
        <v>12000</v>
      </c>
      <c r="E148">
        <f t="shared" si="20"/>
        <v>0.85002224022584971</v>
      </c>
      <c r="F148">
        <f t="shared" si="21"/>
        <v>64.467399493542487</v>
      </c>
      <c r="G148">
        <v>161</v>
      </c>
      <c r="H148">
        <f t="shared" si="16"/>
        <v>193.4179277254363</v>
      </c>
      <c r="I148">
        <v>91.3</v>
      </c>
      <c r="J148">
        <f t="shared" si="22"/>
        <v>32323.851999999999</v>
      </c>
      <c r="K148">
        <f t="shared" si="25"/>
        <v>3600.0000000000014</v>
      </c>
      <c r="L148">
        <f t="shared" si="23"/>
        <v>1800.0000000000007</v>
      </c>
      <c r="M148">
        <v>3.9</v>
      </c>
      <c r="N148">
        <v>11</v>
      </c>
      <c r="O148">
        <v>247</v>
      </c>
      <c r="P148">
        <v>900</v>
      </c>
      <c r="Q148">
        <f t="shared" si="24"/>
        <v>3046.4512793677118</v>
      </c>
      <c r="R148">
        <f t="shared" si="18"/>
        <v>25597.517446739304</v>
      </c>
    </row>
    <row r="149" spans="1:18" x14ac:dyDescent="0.25">
      <c r="A149" t="s">
        <v>13</v>
      </c>
      <c r="B149">
        <v>50000</v>
      </c>
      <c r="C149">
        <v>-12.7</v>
      </c>
      <c r="D149">
        <v>14000</v>
      </c>
      <c r="E149">
        <f t="shared" si="20"/>
        <v>0.79791753463950577</v>
      </c>
      <c r="F149">
        <f t="shared" si="21"/>
        <v>59.622875722208917</v>
      </c>
      <c r="G149">
        <v>161</v>
      </c>
      <c r="H149">
        <f t="shared" si="16"/>
        <v>199.63324485538334</v>
      </c>
      <c r="I149">
        <v>86.7</v>
      </c>
      <c r="J149">
        <f t="shared" si="22"/>
        <v>30695.268</v>
      </c>
      <c r="K149">
        <f t="shared" si="25"/>
        <v>3149.9999999999991</v>
      </c>
      <c r="L149">
        <f t="shared" si="23"/>
        <v>1574.9999999999995</v>
      </c>
      <c r="M149">
        <v>4.7</v>
      </c>
      <c r="N149">
        <v>14</v>
      </c>
      <c r="O149">
        <v>289</v>
      </c>
      <c r="P149">
        <v>900</v>
      </c>
      <c r="Q149">
        <f t="shared" si="24"/>
        <v>2892.9608534630956</v>
      </c>
      <c r="R149">
        <f t="shared" si="18"/>
        <v>23736.476919270379</v>
      </c>
    </row>
    <row r="150" spans="1:18" x14ac:dyDescent="0.25">
      <c r="A150" t="s">
        <v>13</v>
      </c>
      <c r="B150">
        <v>50000</v>
      </c>
      <c r="C150">
        <v>-16.7</v>
      </c>
      <c r="D150">
        <v>16000</v>
      </c>
      <c r="E150">
        <f t="shared" si="20"/>
        <v>0.74705165293004538</v>
      </c>
      <c r="F150">
        <f t="shared" si="21"/>
        <v>54.964702625412812</v>
      </c>
      <c r="G150">
        <v>161</v>
      </c>
      <c r="H150">
        <f t="shared" si="16"/>
        <v>206.31773191694867</v>
      </c>
      <c r="I150">
        <v>82.2</v>
      </c>
      <c r="J150">
        <f t="shared" si="22"/>
        <v>29102.088000000003</v>
      </c>
      <c r="K150">
        <f t="shared" si="25"/>
        <v>3300.0000000000005</v>
      </c>
      <c r="L150">
        <f t="shared" si="23"/>
        <v>1650.0000000000002</v>
      </c>
      <c r="M150">
        <v>5.5</v>
      </c>
      <c r="N150">
        <v>16</v>
      </c>
      <c r="O150">
        <v>333</v>
      </c>
      <c r="P150">
        <v>900</v>
      </c>
      <c r="Q150">
        <f t="shared" si="24"/>
        <v>2742.8071759477102</v>
      </c>
      <c r="R150">
        <f t="shared" si="18"/>
        <v>21935.286561704852</v>
      </c>
    </row>
    <row r="151" spans="1:18" x14ac:dyDescent="0.25">
      <c r="A151" t="s">
        <v>13</v>
      </c>
      <c r="B151">
        <v>50000</v>
      </c>
      <c r="C151">
        <v>-20.7</v>
      </c>
      <c r="D151">
        <v>18000</v>
      </c>
      <c r="E151">
        <f t="shared" si="20"/>
        <v>0.69870446964341482</v>
      </c>
      <c r="F151">
        <f t="shared" si="21"/>
        <v>50.605700950408632</v>
      </c>
      <c r="G151">
        <v>161</v>
      </c>
      <c r="H151">
        <f t="shared" si="16"/>
        <v>213.33647243532079</v>
      </c>
      <c r="I151">
        <v>77.7</v>
      </c>
      <c r="J151">
        <f t="shared" si="22"/>
        <v>27508.907999999999</v>
      </c>
      <c r="K151">
        <f t="shared" si="25"/>
        <v>3300.0000000000005</v>
      </c>
      <c r="L151">
        <f t="shared" si="23"/>
        <v>1650.0000000000002</v>
      </c>
      <c r="M151">
        <v>6.3</v>
      </c>
      <c r="N151">
        <v>20</v>
      </c>
      <c r="O151">
        <v>377</v>
      </c>
      <c r="P151">
        <v>900</v>
      </c>
      <c r="Q151">
        <f t="shared" si="24"/>
        <v>2592.6534984323243</v>
      </c>
      <c r="R151">
        <f t="shared" si="18"/>
        <v>20183.587069627905</v>
      </c>
    </row>
    <row r="152" spans="1:18" x14ac:dyDescent="0.25">
      <c r="A152" t="s">
        <v>13</v>
      </c>
      <c r="B152">
        <v>50000</v>
      </c>
      <c r="C152">
        <v>-24.6</v>
      </c>
      <c r="D152">
        <v>20000</v>
      </c>
      <c r="E152">
        <f t="shared" si="20"/>
        <v>0.65390720062118801</v>
      </c>
      <c r="F152">
        <f t="shared" si="21"/>
        <v>46.629465299560287</v>
      </c>
      <c r="G152">
        <v>161</v>
      </c>
      <c r="H152">
        <f t="shared" si="16"/>
        <v>220.52295863761717</v>
      </c>
      <c r="I152">
        <v>73.400000000000006</v>
      </c>
      <c r="J152">
        <f t="shared" si="22"/>
        <v>25986.536000000004</v>
      </c>
      <c r="K152">
        <f t="shared" si="25"/>
        <v>2820</v>
      </c>
      <c r="L152">
        <f t="shared" si="23"/>
        <v>1410</v>
      </c>
      <c r="M152">
        <v>7.3</v>
      </c>
      <c r="N152">
        <v>23</v>
      </c>
      <c r="O152">
        <v>424</v>
      </c>
      <c r="P152">
        <v>900</v>
      </c>
      <c r="Q152">
        <f t="shared" si="24"/>
        <v>2449.1733176954008</v>
      </c>
      <c r="R152">
        <f t="shared" si="18"/>
        <v>18547.860037390419</v>
      </c>
    </row>
    <row r="153" spans="1:18" x14ac:dyDescent="0.25">
      <c r="A153" t="s">
        <v>13</v>
      </c>
      <c r="B153">
        <v>50000</v>
      </c>
      <c r="C153">
        <v>-28.6</v>
      </c>
      <c r="D153">
        <v>22000</v>
      </c>
      <c r="E153">
        <f t="shared" si="20"/>
        <v>0.61027828449683619</v>
      </c>
      <c r="F153">
        <f t="shared" si="21"/>
        <v>42.817975778504902</v>
      </c>
      <c r="G153">
        <v>162</v>
      </c>
      <c r="H153">
        <f t="shared" si="16"/>
        <v>229.68733592387304</v>
      </c>
      <c r="I153">
        <v>68.400000000000006</v>
      </c>
      <c r="J153">
        <f t="shared" si="22"/>
        <v>24216.336000000003</v>
      </c>
      <c r="K153">
        <f t="shared" si="25"/>
        <v>2672.7272727272712</v>
      </c>
      <c r="L153">
        <f t="shared" si="23"/>
        <v>1336.3636363636356</v>
      </c>
      <c r="M153">
        <v>8.4</v>
      </c>
      <c r="N153">
        <v>27</v>
      </c>
      <c r="O153">
        <v>473</v>
      </c>
      <c r="P153">
        <v>900</v>
      </c>
      <c r="Q153">
        <f t="shared" si="24"/>
        <v>2282.3358982338614</v>
      </c>
      <c r="R153">
        <f t="shared" si="18"/>
        <v>16687.111920137915</v>
      </c>
    </row>
    <row r="154" spans="1:18" x14ac:dyDescent="0.25">
      <c r="A154" t="s">
        <v>13</v>
      </c>
      <c r="B154">
        <v>50000</v>
      </c>
      <c r="C154">
        <v>-32.5</v>
      </c>
      <c r="D154">
        <v>24000</v>
      </c>
      <c r="E154">
        <f t="shared" si="20"/>
        <v>0.56991930881758013</v>
      </c>
      <c r="F154">
        <f t="shared" si="21"/>
        <v>39.348645330248132</v>
      </c>
      <c r="G154">
        <v>162</v>
      </c>
      <c r="H154">
        <f t="shared" si="16"/>
        <v>237.68092192881477</v>
      </c>
      <c r="I154">
        <v>64.2</v>
      </c>
      <c r="J154">
        <f t="shared" si="22"/>
        <v>22729.368000000002</v>
      </c>
      <c r="K154">
        <f t="shared" si="25"/>
        <v>2600.0000000000018</v>
      </c>
      <c r="L154">
        <f t="shared" si="23"/>
        <v>1300.0000000000009</v>
      </c>
      <c r="M154">
        <v>9.6</v>
      </c>
      <c r="N154">
        <v>32</v>
      </c>
      <c r="O154">
        <v>525</v>
      </c>
      <c r="P154">
        <v>900</v>
      </c>
      <c r="Q154">
        <f t="shared" si="24"/>
        <v>2142.1924658861676</v>
      </c>
      <c r="R154">
        <f t="shared" si="18"/>
        <v>15189.924219584733</v>
      </c>
    </row>
    <row r="155" spans="1:18" x14ac:dyDescent="0.25">
      <c r="A155" t="s">
        <v>13</v>
      </c>
      <c r="B155">
        <v>50000</v>
      </c>
      <c r="C155">
        <v>-34.5</v>
      </c>
      <c r="D155">
        <v>25000</v>
      </c>
      <c r="E155">
        <f t="shared" si="20"/>
        <v>0.55003181210936014</v>
      </c>
      <c r="F155">
        <f t="shared" si="21"/>
        <v>37.659954883294965</v>
      </c>
      <c r="G155">
        <v>162</v>
      </c>
      <c r="H155">
        <f t="shared" si="16"/>
        <v>241.93968155136855</v>
      </c>
      <c r="I155">
        <v>62.2</v>
      </c>
      <c r="J155">
        <f t="shared" si="22"/>
        <v>22021.288</v>
      </c>
      <c r="K155">
        <f t="shared" si="25"/>
        <v>2399.9999999999964</v>
      </c>
      <c r="L155">
        <f t="shared" si="23"/>
        <v>1199.9999999999982</v>
      </c>
      <c r="M155">
        <v>10.3</v>
      </c>
      <c r="N155">
        <v>34</v>
      </c>
      <c r="O155">
        <v>553</v>
      </c>
      <c r="P155">
        <v>900</v>
      </c>
      <c r="Q155">
        <f t="shared" si="24"/>
        <v>2075.4574981015521</v>
      </c>
      <c r="R155">
        <f t="shared" si="18"/>
        <v>14478.849756849124</v>
      </c>
    </row>
    <row r="156" spans="1:18" x14ac:dyDescent="0.25">
      <c r="A156" t="s">
        <v>13</v>
      </c>
      <c r="B156">
        <v>54000</v>
      </c>
      <c r="C156">
        <v>15</v>
      </c>
      <c r="D156">
        <v>0</v>
      </c>
      <c r="E156">
        <f t="shared" si="20"/>
        <v>1.226794975834826</v>
      </c>
      <c r="F156">
        <f t="shared" si="21"/>
        <v>101.41942894908438</v>
      </c>
      <c r="G156">
        <v>160</v>
      </c>
      <c r="H156">
        <f t="shared" si="16"/>
        <v>160</v>
      </c>
      <c r="I156">
        <v>96</v>
      </c>
      <c r="J156">
        <f t="shared" si="22"/>
        <v>33987.839999999997</v>
      </c>
      <c r="K156">
        <f>K157</f>
        <v>3942.8571428571431</v>
      </c>
      <c r="L156">
        <f t="shared" si="23"/>
        <v>1971.4285714285716</v>
      </c>
      <c r="M156">
        <v>0</v>
      </c>
      <c r="N156">
        <v>0</v>
      </c>
      <c r="O156">
        <v>0</v>
      </c>
      <c r="P156">
        <v>900</v>
      </c>
      <c r="Q156">
        <f t="shared" si="24"/>
        <v>3203.2784536615586</v>
      </c>
      <c r="R156">
        <f t="shared" si="18"/>
        <v>30559.5344068044</v>
      </c>
    </row>
    <row r="157" spans="1:18" x14ac:dyDescent="0.25">
      <c r="A157" t="s">
        <v>13</v>
      </c>
      <c r="B157">
        <v>54000</v>
      </c>
      <c r="C157">
        <v>11</v>
      </c>
      <c r="D157">
        <v>2000</v>
      </c>
      <c r="E157">
        <f t="shared" si="20"/>
        <v>1.1559364750414849</v>
      </c>
      <c r="F157">
        <f t="shared" si="21"/>
        <v>94.234987337993573</v>
      </c>
      <c r="G157">
        <v>160</v>
      </c>
      <c r="H157">
        <f t="shared" si="16"/>
        <v>164.83103781704153</v>
      </c>
      <c r="I157">
        <v>96</v>
      </c>
      <c r="J157">
        <f t="shared" si="22"/>
        <v>33987.839999999997</v>
      </c>
      <c r="K157">
        <f>(O157-O156)/((M157-M156)/60)</f>
        <v>3942.8571428571431</v>
      </c>
      <c r="L157">
        <f t="shared" si="23"/>
        <v>1971.4285714285716</v>
      </c>
      <c r="M157">
        <v>0.7</v>
      </c>
      <c r="N157">
        <v>2</v>
      </c>
      <c r="O157">
        <v>46</v>
      </c>
      <c r="P157">
        <v>900</v>
      </c>
      <c r="Q157">
        <f t="shared" si="24"/>
        <v>3203.2784536615586</v>
      </c>
      <c r="R157">
        <f t="shared" si="18"/>
        <v>30007.138979708558</v>
      </c>
    </row>
    <row r="158" spans="1:18" x14ac:dyDescent="0.25">
      <c r="A158" t="s">
        <v>13</v>
      </c>
      <c r="B158">
        <v>54000</v>
      </c>
      <c r="C158">
        <v>7.1</v>
      </c>
      <c r="D158">
        <v>4000</v>
      </c>
      <c r="E158">
        <f t="shared" si="20"/>
        <v>1.0899066174514316</v>
      </c>
      <c r="F158">
        <f t="shared" si="21"/>
        <v>87.632551945245098</v>
      </c>
      <c r="G158">
        <v>160</v>
      </c>
      <c r="H158">
        <f t="shared" si="16"/>
        <v>169.7506055833438</v>
      </c>
      <c r="I158">
        <v>96</v>
      </c>
      <c r="J158">
        <f t="shared" si="22"/>
        <v>33987.839999999997</v>
      </c>
      <c r="K158">
        <f t="shared" ref="K158:K169" si="26">(O158-O157)/((M158-M157)/60)</f>
        <v>3857.1428571428573</v>
      </c>
      <c r="L158">
        <f t="shared" si="23"/>
        <v>1928.5714285714287</v>
      </c>
      <c r="M158">
        <v>1.4</v>
      </c>
      <c r="N158">
        <v>4</v>
      </c>
      <c r="O158">
        <v>91</v>
      </c>
      <c r="P158">
        <v>900</v>
      </c>
      <c r="Q158">
        <f t="shared" si="24"/>
        <v>3203.2784536615586</v>
      </c>
      <c r="R158">
        <f t="shared" si="18"/>
        <v>29453.567429964121</v>
      </c>
    </row>
    <row r="159" spans="1:18" x14ac:dyDescent="0.25">
      <c r="A159" t="s">
        <v>13</v>
      </c>
      <c r="B159">
        <v>54000</v>
      </c>
      <c r="C159">
        <v>3.1</v>
      </c>
      <c r="D159">
        <v>6000</v>
      </c>
      <c r="E159">
        <f t="shared" si="20"/>
        <v>1.0252213873142479</v>
      </c>
      <c r="F159">
        <f t="shared" si="21"/>
        <v>81.255074425651443</v>
      </c>
      <c r="G159">
        <v>160</v>
      </c>
      <c r="H159">
        <f t="shared" si="16"/>
        <v>175.02381593861151</v>
      </c>
      <c r="I159">
        <v>96</v>
      </c>
      <c r="J159">
        <f t="shared" si="22"/>
        <v>33987.839999999997</v>
      </c>
      <c r="K159">
        <f t="shared" si="26"/>
        <v>3942.8571428571422</v>
      </c>
      <c r="L159">
        <f t="shared" si="23"/>
        <v>1971.4285714285711</v>
      </c>
      <c r="M159">
        <v>2.1</v>
      </c>
      <c r="N159">
        <v>6</v>
      </c>
      <c r="O159">
        <v>137</v>
      </c>
      <c r="P159">
        <v>900</v>
      </c>
      <c r="Q159">
        <f t="shared" si="24"/>
        <v>3203.2784536615586</v>
      </c>
      <c r="R159">
        <f t="shared" si="18"/>
        <v>28870.17341120536</v>
      </c>
    </row>
    <row r="160" spans="1:18" x14ac:dyDescent="0.25">
      <c r="A160" t="s">
        <v>13</v>
      </c>
      <c r="B160">
        <v>54000</v>
      </c>
      <c r="C160">
        <v>-0.8</v>
      </c>
      <c r="D160">
        <v>8000</v>
      </c>
      <c r="E160">
        <f t="shared" si="20"/>
        <v>0.96502208599689476</v>
      </c>
      <c r="F160">
        <f t="shared" si="21"/>
        <v>75.404138213287837</v>
      </c>
      <c r="G160">
        <v>160</v>
      </c>
      <c r="H160">
        <f t="shared" si="16"/>
        <v>180.40033951132818</v>
      </c>
      <c r="I160">
        <v>96</v>
      </c>
      <c r="J160">
        <f t="shared" si="22"/>
        <v>33987.839999999997</v>
      </c>
      <c r="K160">
        <f t="shared" si="26"/>
        <v>3857.1428571428587</v>
      </c>
      <c r="L160">
        <f t="shared" si="23"/>
        <v>1928.5714285714294</v>
      </c>
      <c r="M160">
        <v>2.8</v>
      </c>
      <c r="N160">
        <v>8</v>
      </c>
      <c r="O160">
        <v>182</v>
      </c>
      <c r="P160">
        <v>900</v>
      </c>
      <c r="Q160">
        <f t="shared" si="24"/>
        <v>3203.2784536615586</v>
      </c>
      <c r="R160">
        <f t="shared" si="18"/>
        <v>28285.918979649072</v>
      </c>
    </row>
    <row r="161" spans="1:18" x14ac:dyDescent="0.25">
      <c r="A161" t="s">
        <v>13</v>
      </c>
      <c r="B161">
        <v>54000</v>
      </c>
      <c r="C161">
        <v>-4.8</v>
      </c>
      <c r="D161">
        <v>10000</v>
      </c>
      <c r="E161">
        <f t="shared" si="20"/>
        <v>0.90612712934108608</v>
      </c>
      <c r="F161">
        <f t="shared" si="21"/>
        <v>69.762378829025408</v>
      </c>
      <c r="G161">
        <v>160</v>
      </c>
      <c r="H161">
        <f t="shared" si="16"/>
        <v>186.17073371881716</v>
      </c>
      <c r="I161">
        <v>96</v>
      </c>
      <c r="J161">
        <f t="shared" si="22"/>
        <v>33987.839999999997</v>
      </c>
      <c r="K161">
        <f t="shared" si="26"/>
        <v>3449.9999999999991</v>
      </c>
      <c r="L161">
        <f t="shared" si="23"/>
        <v>1724.9999999999995</v>
      </c>
      <c r="M161">
        <v>3.6</v>
      </c>
      <c r="N161">
        <v>10</v>
      </c>
      <c r="O161">
        <v>228</v>
      </c>
      <c r="P161">
        <v>900</v>
      </c>
      <c r="Q161">
        <f t="shared" si="24"/>
        <v>3203.2784536615586</v>
      </c>
      <c r="R161">
        <f t="shared" si="18"/>
        <v>27670.681749587737</v>
      </c>
    </row>
    <row r="162" spans="1:18" x14ac:dyDescent="0.25">
      <c r="A162" t="s">
        <v>13</v>
      </c>
      <c r="B162">
        <v>54000</v>
      </c>
      <c r="C162">
        <v>-8.8000000000000007</v>
      </c>
      <c r="D162">
        <v>12000</v>
      </c>
      <c r="E162">
        <f t="shared" si="20"/>
        <v>0.85002224022584971</v>
      </c>
      <c r="F162">
        <f t="shared" si="21"/>
        <v>64.467399493542487</v>
      </c>
      <c r="G162">
        <v>161</v>
      </c>
      <c r="H162">
        <f t="shared" si="16"/>
        <v>193.4179277254363</v>
      </c>
      <c r="I162">
        <v>91.3</v>
      </c>
      <c r="J162">
        <f t="shared" si="22"/>
        <v>32323.851999999999</v>
      </c>
      <c r="K162">
        <f t="shared" si="26"/>
        <v>3942.8571428571445</v>
      </c>
      <c r="L162">
        <f t="shared" si="23"/>
        <v>1971.4285714285722</v>
      </c>
      <c r="M162">
        <v>4.3</v>
      </c>
      <c r="N162">
        <v>13</v>
      </c>
      <c r="O162">
        <v>274</v>
      </c>
      <c r="P162">
        <v>900</v>
      </c>
      <c r="Q162">
        <f t="shared" si="24"/>
        <v>3046.4512793677118</v>
      </c>
      <c r="R162">
        <f t="shared" si="18"/>
        <v>25597.517446739304</v>
      </c>
    </row>
    <row r="163" spans="1:18" x14ac:dyDescent="0.25">
      <c r="A163" t="s">
        <v>13</v>
      </c>
      <c r="B163">
        <v>54000</v>
      </c>
      <c r="C163">
        <v>-12.7</v>
      </c>
      <c r="D163">
        <v>14000</v>
      </c>
      <c r="E163">
        <f t="shared" si="20"/>
        <v>0.79791753463950577</v>
      </c>
      <c r="F163">
        <f t="shared" si="21"/>
        <v>59.622875722208917</v>
      </c>
      <c r="G163">
        <v>161</v>
      </c>
      <c r="H163">
        <f t="shared" si="16"/>
        <v>199.63324485538334</v>
      </c>
      <c r="I163">
        <v>86.7</v>
      </c>
      <c r="J163">
        <f t="shared" si="22"/>
        <v>30695.268</v>
      </c>
      <c r="K163">
        <f t="shared" si="26"/>
        <v>3133.3333333333321</v>
      </c>
      <c r="L163">
        <f t="shared" si="23"/>
        <v>1566.6666666666661</v>
      </c>
      <c r="M163">
        <v>5.2</v>
      </c>
      <c r="N163">
        <v>15</v>
      </c>
      <c r="O163">
        <v>321</v>
      </c>
      <c r="P163">
        <v>900</v>
      </c>
      <c r="Q163">
        <f t="shared" si="24"/>
        <v>2892.9608534630956</v>
      </c>
      <c r="R163">
        <f t="shared" si="18"/>
        <v>23736.476919270379</v>
      </c>
    </row>
    <row r="164" spans="1:18" x14ac:dyDescent="0.25">
      <c r="A164" t="s">
        <v>13</v>
      </c>
      <c r="B164">
        <v>54000</v>
      </c>
      <c r="C164">
        <v>-16.7</v>
      </c>
      <c r="D164">
        <v>16000</v>
      </c>
      <c r="E164">
        <f t="shared" si="20"/>
        <v>0.74705165293004538</v>
      </c>
      <c r="F164">
        <f t="shared" si="21"/>
        <v>54.964702625412812</v>
      </c>
      <c r="G164">
        <v>161</v>
      </c>
      <c r="H164">
        <f t="shared" si="16"/>
        <v>206.31773191694867</v>
      </c>
      <c r="I164">
        <v>82.2</v>
      </c>
      <c r="J164">
        <f t="shared" si="22"/>
        <v>29102.088000000003</v>
      </c>
      <c r="K164">
        <f t="shared" si="26"/>
        <v>3266.6666666666688</v>
      </c>
      <c r="L164">
        <f t="shared" si="23"/>
        <v>1633.3333333333344</v>
      </c>
      <c r="M164">
        <v>6.1</v>
      </c>
      <c r="N164">
        <v>18</v>
      </c>
      <c r="O164">
        <v>370</v>
      </c>
      <c r="P164">
        <v>900</v>
      </c>
      <c r="Q164">
        <f t="shared" si="24"/>
        <v>2742.8071759477102</v>
      </c>
      <c r="R164">
        <f t="shared" si="18"/>
        <v>21935.286561704852</v>
      </c>
    </row>
    <row r="165" spans="1:18" x14ac:dyDescent="0.25">
      <c r="A165" t="s">
        <v>13</v>
      </c>
      <c r="B165">
        <v>54000</v>
      </c>
      <c r="C165">
        <v>-20.7</v>
      </c>
      <c r="D165">
        <v>18000</v>
      </c>
      <c r="E165">
        <f t="shared" si="20"/>
        <v>0.69870446964341482</v>
      </c>
      <c r="F165">
        <f t="shared" si="21"/>
        <v>50.605700950408632</v>
      </c>
      <c r="G165">
        <v>161</v>
      </c>
      <c r="H165">
        <f t="shared" si="16"/>
        <v>213.33647243532079</v>
      </c>
      <c r="I165">
        <v>77.7</v>
      </c>
      <c r="J165">
        <f t="shared" si="22"/>
        <v>27508.907999999999</v>
      </c>
      <c r="K165">
        <f t="shared" si="26"/>
        <v>3060</v>
      </c>
      <c r="L165">
        <f t="shared" si="23"/>
        <v>1530</v>
      </c>
      <c r="M165">
        <v>7.1</v>
      </c>
      <c r="N165">
        <v>22</v>
      </c>
      <c r="O165">
        <v>421</v>
      </c>
      <c r="P165">
        <v>900</v>
      </c>
      <c r="Q165">
        <f t="shared" si="24"/>
        <v>2592.6534984323243</v>
      </c>
      <c r="R165">
        <f t="shared" si="18"/>
        <v>20183.587069627905</v>
      </c>
    </row>
    <row r="166" spans="1:18" x14ac:dyDescent="0.25">
      <c r="A166" t="s">
        <v>13</v>
      </c>
      <c r="B166">
        <v>54000</v>
      </c>
      <c r="C166">
        <v>-24.6</v>
      </c>
      <c r="D166">
        <v>20000</v>
      </c>
      <c r="E166">
        <f t="shared" si="20"/>
        <v>0.65390720062118801</v>
      </c>
      <c r="F166">
        <f t="shared" si="21"/>
        <v>46.629465299560287</v>
      </c>
      <c r="G166">
        <v>161</v>
      </c>
      <c r="H166">
        <f t="shared" si="16"/>
        <v>220.52295863761717</v>
      </c>
      <c r="I166">
        <v>73.400000000000006</v>
      </c>
      <c r="J166">
        <f t="shared" si="22"/>
        <v>25986.536000000004</v>
      </c>
      <c r="K166">
        <f t="shared" si="26"/>
        <v>2890.9090909090919</v>
      </c>
      <c r="L166">
        <f t="shared" si="23"/>
        <v>1445.454545454546</v>
      </c>
      <c r="M166">
        <v>8.1999999999999993</v>
      </c>
      <c r="N166">
        <v>26</v>
      </c>
      <c r="O166">
        <v>474</v>
      </c>
      <c r="P166">
        <v>900</v>
      </c>
      <c r="Q166">
        <f t="shared" si="24"/>
        <v>2449.1733176954008</v>
      </c>
      <c r="R166">
        <f t="shared" si="18"/>
        <v>18547.860037390419</v>
      </c>
    </row>
    <row r="167" spans="1:18" x14ac:dyDescent="0.25">
      <c r="A167" t="s">
        <v>13</v>
      </c>
      <c r="B167">
        <v>54000</v>
      </c>
      <c r="C167">
        <v>-28.6</v>
      </c>
      <c r="D167">
        <v>22000</v>
      </c>
      <c r="E167">
        <f t="shared" si="20"/>
        <v>0.61027828449683619</v>
      </c>
      <c r="F167">
        <f t="shared" si="21"/>
        <v>42.817975778504902</v>
      </c>
      <c r="G167">
        <v>162</v>
      </c>
      <c r="H167">
        <f t="shared" si="16"/>
        <v>229.68733592387304</v>
      </c>
      <c r="I167">
        <v>68.400000000000006</v>
      </c>
      <c r="J167">
        <f t="shared" si="22"/>
        <v>24216.336000000003</v>
      </c>
      <c r="K167">
        <f t="shared" si="26"/>
        <v>2799.9999999999977</v>
      </c>
      <c r="L167">
        <f t="shared" si="23"/>
        <v>1399.9999999999989</v>
      </c>
      <c r="M167">
        <v>9.4</v>
      </c>
      <c r="N167">
        <v>31</v>
      </c>
      <c r="O167">
        <v>530</v>
      </c>
      <c r="P167">
        <v>900</v>
      </c>
      <c r="Q167">
        <f t="shared" si="24"/>
        <v>2282.3358982338614</v>
      </c>
      <c r="R167">
        <f t="shared" si="18"/>
        <v>16687.111920137915</v>
      </c>
    </row>
    <row r="168" spans="1:18" x14ac:dyDescent="0.25">
      <c r="A168" t="s">
        <v>13</v>
      </c>
      <c r="B168">
        <v>54000</v>
      </c>
      <c r="C168">
        <v>-32.5</v>
      </c>
      <c r="D168">
        <v>24000</v>
      </c>
      <c r="E168">
        <f t="shared" si="20"/>
        <v>0.56991930881758013</v>
      </c>
      <c r="F168">
        <f t="shared" si="21"/>
        <v>39.348645330248132</v>
      </c>
      <c r="G168">
        <v>162</v>
      </c>
      <c r="H168">
        <f t="shared" si="16"/>
        <v>237.68092192881477</v>
      </c>
      <c r="I168">
        <v>64.2</v>
      </c>
      <c r="J168">
        <f t="shared" si="22"/>
        <v>22729.368000000002</v>
      </c>
      <c r="K168">
        <f t="shared" si="26"/>
        <v>2440</v>
      </c>
      <c r="L168">
        <f t="shared" si="23"/>
        <v>1220</v>
      </c>
      <c r="M168">
        <v>10.9</v>
      </c>
      <c r="N168">
        <v>36</v>
      </c>
      <c r="O168">
        <v>591</v>
      </c>
      <c r="P168">
        <v>900</v>
      </c>
      <c r="Q168">
        <f t="shared" si="24"/>
        <v>2142.1924658861676</v>
      </c>
      <c r="R168">
        <f t="shared" si="18"/>
        <v>15189.924219584733</v>
      </c>
    </row>
    <row r="169" spans="1:18" x14ac:dyDescent="0.25">
      <c r="A169" t="s">
        <v>13</v>
      </c>
      <c r="B169">
        <v>54000</v>
      </c>
      <c r="C169">
        <v>-34.5</v>
      </c>
      <c r="D169">
        <v>25000</v>
      </c>
      <c r="E169">
        <f t="shared" si="20"/>
        <v>0.55003181210936014</v>
      </c>
      <c r="F169">
        <f t="shared" si="21"/>
        <v>37.659954883294965</v>
      </c>
      <c r="G169">
        <v>162</v>
      </c>
      <c r="H169">
        <f t="shared" si="16"/>
        <v>241.93968155136855</v>
      </c>
      <c r="I169">
        <v>62.2</v>
      </c>
      <c r="J169">
        <f t="shared" si="22"/>
        <v>22021.288</v>
      </c>
      <c r="K169">
        <f t="shared" si="26"/>
        <v>2400.0000000000032</v>
      </c>
      <c r="L169">
        <f t="shared" si="23"/>
        <v>1200.0000000000016</v>
      </c>
      <c r="M169">
        <v>11.7</v>
      </c>
      <c r="N169">
        <v>39</v>
      </c>
      <c r="O169">
        <v>623</v>
      </c>
      <c r="P169">
        <v>900</v>
      </c>
      <c r="Q169">
        <f t="shared" si="24"/>
        <v>2075.4574981015521</v>
      </c>
      <c r="R169">
        <f t="shared" si="18"/>
        <v>14478.849756849124</v>
      </c>
    </row>
    <row r="170" spans="1:18" x14ac:dyDescent="0.25">
      <c r="A170" t="s">
        <v>13</v>
      </c>
      <c r="B170">
        <v>58000</v>
      </c>
      <c r="C170">
        <v>15</v>
      </c>
      <c r="D170">
        <v>0</v>
      </c>
      <c r="E170">
        <f t="shared" si="20"/>
        <v>1.226794975834826</v>
      </c>
      <c r="F170">
        <f t="shared" si="21"/>
        <v>101.41942894908438</v>
      </c>
      <c r="G170">
        <v>160</v>
      </c>
      <c r="H170">
        <f t="shared" si="16"/>
        <v>160</v>
      </c>
      <c r="I170">
        <v>96</v>
      </c>
      <c r="J170">
        <f t="shared" si="22"/>
        <v>33987.839999999997</v>
      </c>
      <c r="K170">
        <f>K171</f>
        <v>3749.9999999999995</v>
      </c>
      <c r="L170">
        <f t="shared" si="23"/>
        <v>1874.9999999999998</v>
      </c>
      <c r="M170">
        <v>0</v>
      </c>
      <c r="N170">
        <v>0</v>
      </c>
      <c r="O170">
        <v>0</v>
      </c>
      <c r="P170">
        <v>900</v>
      </c>
      <c r="Q170">
        <f t="shared" si="24"/>
        <v>3203.2784536615586</v>
      </c>
      <c r="R170">
        <f t="shared" si="18"/>
        <v>30559.5344068044</v>
      </c>
    </row>
    <row r="171" spans="1:18" x14ac:dyDescent="0.25">
      <c r="A171" t="s">
        <v>13</v>
      </c>
      <c r="B171">
        <v>58000</v>
      </c>
      <c r="C171">
        <v>11</v>
      </c>
      <c r="D171">
        <v>2000</v>
      </c>
      <c r="E171">
        <f t="shared" si="20"/>
        <v>1.1559364750414849</v>
      </c>
      <c r="F171">
        <f t="shared" si="21"/>
        <v>94.234987337993573</v>
      </c>
      <c r="G171">
        <v>160</v>
      </c>
      <c r="H171">
        <f t="shared" si="16"/>
        <v>164.83103781704153</v>
      </c>
      <c r="I171">
        <v>96</v>
      </c>
      <c r="J171">
        <f t="shared" si="22"/>
        <v>33987.839999999997</v>
      </c>
      <c r="K171">
        <f>(O171-O170)/((M171-M170)/60)</f>
        <v>3749.9999999999995</v>
      </c>
      <c r="L171">
        <f t="shared" si="23"/>
        <v>1874.9999999999998</v>
      </c>
      <c r="M171">
        <v>0.8</v>
      </c>
      <c r="N171">
        <v>2</v>
      </c>
      <c r="O171">
        <v>50</v>
      </c>
      <c r="P171">
        <v>900</v>
      </c>
      <c r="Q171">
        <f t="shared" si="24"/>
        <v>3203.2784536615586</v>
      </c>
      <c r="R171">
        <f t="shared" si="18"/>
        <v>30007.138979708558</v>
      </c>
    </row>
    <row r="172" spans="1:18" x14ac:dyDescent="0.25">
      <c r="A172" t="s">
        <v>13</v>
      </c>
      <c r="B172">
        <v>58000</v>
      </c>
      <c r="C172">
        <v>7.1</v>
      </c>
      <c r="D172">
        <v>4000</v>
      </c>
      <c r="E172">
        <f t="shared" si="20"/>
        <v>1.0899066174514316</v>
      </c>
      <c r="F172">
        <f t="shared" si="21"/>
        <v>87.632551945245098</v>
      </c>
      <c r="G172">
        <v>160</v>
      </c>
      <c r="H172">
        <f t="shared" si="16"/>
        <v>169.7506055833438</v>
      </c>
      <c r="I172">
        <v>96</v>
      </c>
      <c r="J172">
        <f t="shared" si="22"/>
        <v>33987.839999999997</v>
      </c>
      <c r="K172">
        <f>(O172-O171)/((M172-M171)/60)</f>
        <v>3824.9999999999995</v>
      </c>
      <c r="L172">
        <f t="shared" si="23"/>
        <v>1912.4999999999998</v>
      </c>
      <c r="M172">
        <v>1.6</v>
      </c>
      <c r="N172">
        <v>4</v>
      </c>
      <c r="O172">
        <v>101</v>
      </c>
      <c r="P172">
        <v>900</v>
      </c>
      <c r="Q172">
        <f t="shared" si="24"/>
        <v>3203.2784536615586</v>
      </c>
      <c r="R172">
        <f t="shared" si="18"/>
        <v>29453.567429964121</v>
      </c>
    </row>
    <row r="173" spans="1:18" x14ac:dyDescent="0.25">
      <c r="A173" t="s">
        <v>13</v>
      </c>
      <c r="B173">
        <v>58000</v>
      </c>
      <c r="C173">
        <v>3.1</v>
      </c>
      <c r="D173">
        <v>6000</v>
      </c>
      <c r="E173">
        <f t="shared" si="20"/>
        <v>1.0252213873142479</v>
      </c>
      <c r="F173">
        <f t="shared" si="21"/>
        <v>81.255074425651443</v>
      </c>
      <c r="G173">
        <v>160</v>
      </c>
      <c r="H173">
        <f t="shared" si="16"/>
        <v>175.02381593861151</v>
      </c>
      <c r="I173">
        <v>96</v>
      </c>
      <c r="J173">
        <f t="shared" si="22"/>
        <v>33987.839999999997</v>
      </c>
      <c r="K173">
        <f t="shared" ref="K173:K183" si="27">(O173-O172)/((M173-M172)/60)</f>
        <v>4285.7142857142871</v>
      </c>
      <c r="L173">
        <f t="shared" si="23"/>
        <v>2142.8571428571436</v>
      </c>
      <c r="M173">
        <v>2.2999999999999998</v>
      </c>
      <c r="N173">
        <v>6</v>
      </c>
      <c r="O173">
        <v>151</v>
      </c>
      <c r="P173">
        <v>900</v>
      </c>
      <c r="Q173">
        <f t="shared" si="24"/>
        <v>3203.2784536615586</v>
      </c>
      <c r="R173">
        <f t="shared" si="18"/>
        <v>28870.17341120536</v>
      </c>
    </row>
    <row r="174" spans="1:18" x14ac:dyDescent="0.25">
      <c r="A174" t="s">
        <v>13</v>
      </c>
      <c r="B174">
        <v>58000</v>
      </c>
      <c r="C174">
        <v>-0.8</v>
      </c>
      <c r="D174">
        <v>8000</v>
      </c>
      <c r="E174">
        <f t="shared" si="20"/>
        <v>0.96502208599689476</v>
      </c>
      <c r="F174">
        <f t="shared" si="21"/>
        <v>75.404138213287837</v>
      </c>
      <c r="G174">
        <v>160</v>
      </c>
      <c r="H174">
        <f t="shared" si="16"/>
        <v>180.40033951132818</v>
      </c>
      <c r="I174">
        <v>96</v>
      </c>
      <c r="J174">
        <f t="shared" si="22"/>
        <v>33987.839999999997</v>
      </c>
      <c r="K174">
        <f t="shared" si="27"/>
        <v>3749.9999999999986</v>
      </c>
      <c r="L174">
        <f t="shared" si="23"/>
        <v>1874.9999999999993</v>
      </c>
      <c r="M174">
        <v>3.1</v>
      </c>
      <c r="N174">
        <v>9</v>
      </c>
      <c r="O174">
        <v>201</v>
      </c>
      <c r="P174">
        <v>900</v>
      </c>
      <c r="Q174">
        <f t="shared" si="24"/>
        <v>3203.2784536615586</v>
      </c>
      <c r="R174">
        <f t="shared" si="18"/>
        <v>28285.918979649072</v>
      </c>
    </row>
    <row r="175" spans="1:18" x14ac:dyDescent="0.25">
      <c r="A175" t="s">
        <v>13</v>
      </c>
      <c r="B175">
        <v>58000</v>
      </c>
      <c r="C175">
        <v>-4.8</v>
      </c>
      <c r="D175">
        <v>10000</v>
      </c>
      <c r="E175">
        <f t="shared" si="20"/>
        <v>0.90612712934108608</v>
      </c>
      <c r="F175">
        <f t="shared" si="21"/>
        <v>69.762378829025408</v>
      </c>
      <c r="G175">
        <v>160</v>
      </c>
      <c r="H175">
        <f t="shared" si="16"/>
        <v>186.17073371881716</v>
      </c>
      <c r="I175">
        <v>96</v>
      </c>
      <c r="J175">
        <f t="shared" si="22"/>
        <v>33987.839999999997</v>
      </c>
      <c r="K175">
        <f t="shared" si="27"/>
        <v>3400.0000000000005</v>
      </c>
      <c r="L175">
        <f t="shared" si="23"/>
        <v>1700.0000000000002</v>
      </c>
      <c r="M175">
        <v>4</v>
      </c>
      <c r="N175">
        <v>11</v>
      </c>
      <c r="O175">
        <v>252</v>
      </c>
      <c r="P175">
        <v>900</v>
      </c>
      <c r="Q175">
        <f t="shared" si="24"/>
        <v>3203.2784536615586</v>
      </c>
      <c r="R175">
        <f t="shared" si="18"/>
        <v>27670.681749587737</v>
      </c>
    </row>
    <row r="176" spans="1:18" x14ac:dyDescent="0.25">
      <c r="A176" t="s">
        <v>13</v>
      </c>
      <c r="B176">
        <v>58000</v>
      </c>
      <c r="C176">
        <v>-8.8000000000000007</v>
      </c>
      <c r="D176">
        <v>12000</v>
      </c>
      <c r="E176">
        <f t="shared" si="20"/>
        <v>0.85002224022584971</v>
      </c>
      <c r="F176">
        <f t="shared" si="21"/>
        <v>64.467399493542487</v>
      </c>
      <c r="G176">
        <v>161</v>
      </c>
      <c r="H176">
        <f t="shared" si="16"/>
        <v>193.4179277254363</v>
      </c>
      <c r="I176">
        <v>91.3</v>
      </c>
      <c r="J176">
        <f t="shared" si="22"/>
        <v>32323.851999999999</v>
      </c>
      <c r="K176">
        <f t="shared" si="27"/>
        <v>3900.0000000000009</v>
      </c>
      <c r="L176">
        <f t="shared" si="23"/>
        <v>1950.0000000000005</v>
      </c>
      <c r="M176">
        <v>4.8</v>
      </c>
      <c r="N176">
        <v>14</v>
      </c>
      <c r="O176">
        <v>304</v>
      </c>
      <c r="P176">
        <v>900</v>
      </c>
      <c r="Q176">
        <f t="shared" si="24"/>
        <v>3046.4512793677118</v>
      </c>
      <c r="R176">
        <f t="shared" si="18"/>
        <v>25597.517446739304</v>
      </c>
    </row>
    <row r="177" spans="1:18" x14ac:dyDescent="0.25">
      <c r="A177" t="s">
        <v>13</v>
      </c>
      <c r="B177">
        <v>58000</v>
      </c>
      <c r="C177">
        <v>-12.7</v>
      </c>
      <c r="D177">
        <v>14000</v>
      </c>
      <c r="E177">
        <f t="shared" si="20"/>
        <v>0.79791753463950577</v>
      </c>
      <c r="F177">
        <f t="shared" si="21"/>
        <v>59.622875722208917</v>
      </c>
      <c r="G177">
        <v>161</v>
      </c>
      <c r="H177">
        <f t="shared" si="16"/>
        <v>199.63324485538334</v>
      </c>
      <c r="I177">
        <v>86.7</v>
      </c>
      <c r="J177">
        <f t="shared" si="22"/>
        <v>30695.268</v>
      </c>
      <c r="K177">
        <f t="shared" si="27"/>
        <v>3533.3333333333317</v>
      </c>
      <c r="L177">
        <f t="shared" si="23"/>
        <v>1766.6666666666658</v>
      </c>
      <c r="M177">
        <v>5.7</v>
      </c>
      <c r="N177">
        <v>17</v>
      </c>
      <c r="O177">
        <v>357</v>
      </c>
      <c r="P177">
        <v>900</v>
      </c>
      <c r="Q177">
        <f t="shared" si="24"/>
        <v>2892.9608534630956</v>
      </c>
      <c r="R177">
        <f t="shared" si="18"/>
        <v>23736.476919270379</v>
      </c>
    </row>
    <row r="178" spans="1:18" x14ac:dyDescent="0.25">
      <c r="A178" t="s">
        <v>13</v>
      </c>
      <c r="B178">
        <v>58000</v>
      </c>
      <c r="C178">
        <v>-16.7</v>
      </c>
      <c r="D178">
        <v>16000</v>
      </c>
      <c r="E178">
        <f t="shared" si="20"/>
        <v>0.74705165293004538</v>
      </c>
      <c r="F178">
        <f t="shared" si="21"/>
        <v>54.964702625412812</v>
      </c>
      <c r="G178">
        <v>161</v>
      </c>
      <c r="H178">
        <f t="shared" si="16"/>
        <v>206.31773191694867</v>
      </c>
      <c r="I178">
        <v>82.2</v>
      </c>
      <c r="J178">
        <f t="shared" si="22"/>
        <v>29102.088000000003</v>
      </c>
      <c r="K178">
        <f t="shared" si="27"/>
        <v>3000.0000000000009</v>
      </c>
      <c r="L178">
        <f t="shared" si="23"/>
        <v>1500.0000000000005</v>
      </c>
      <c r="M178">
        <v>6.8</v>
      </c>
      <c r="N178">
        <v>20</v>
      </c>
      <c r="O178">
        <v>412</v>
      </c>
      <c r="P178">
        <v>900</v>
      </c>
      <c r="Q178">
        <f t="shared" si="24"/>
        <v>2742.8071759477102</v>
      </c>
      <c r="R178">
        <f t="shared" si="18"/>
        <v>21935.286561704852</v>
      </c>
    </row>
    <row r="179" spans="1:18" x14ac:dyDescent="0.25">
      <c r="A179" t="s">
        <v>13</v>
      </c>
      <c r="B179">
        <v>58000</v>
      </c>
      <c r="C179">
        <v>-20.7</v>
      </c>
      <c r="D179">
        <v>18000</v>
      </c>
      <c r="E179">
        <f t="shared" si="20"/>
        <v>0.69870446964341482</v>
      </c>
      <c r="F179">
        <f t="shared" si="21"/>
        <v>50.605700950408632</v>
      </c>
      <c r="G179">
        <v>161</v>
      </c>
      <c r="H179">
        <f t="shared" ref="H179:H242" si="28">G179*SQRT($E$114/E179)</f>
        <v>213.33647243532079</v>
      </c>
      <c r="I179">
        <v>77.7</v>
      </c>
      <c r="J179">
        <f t="shared" si="22"/>
        <v>27508.907999999999</v>
      </c>
      <c r="K179">
        <f t="shared" si="27"/>
        <v>3109.0909090909072</v>
      </c>
      <c r="L179">
        <f t="shared" si="23"/>
        <v>1554.5454545454536</v>
      </c>
      <c r="M179">
        <v>7.9</v>
      </c>
      <c r="N179">
        <v>24</v>
      </c>
      <c r="O179">
        <v>469</v>
      </c>
      <c r="P179">
        <v>900</v>
      </c>
      <c r="Q179">
        <f t="shared" si="24"/>
        <v>2592.6534984323243</v>
      </c>
      <c r="R179">
        <f t="shared" ref="R179:R242" si="29">Q179*1000/(H179*0.51444)*(0.0000000280836682*H179^3 - 0.0000271683584*H179^2 + 0.00848348631*H179 + 0.00836930492)</f>
        <v>20183.587069627905</v>
      </c>
    </row>
    <row r="180" spans="1:18" x14ac:dyDescent="0.25">
      <c r="A180" t="s">
        <v>13</v>
      </c>
      <c r="B180">
        <v>58000</v>
      </c>
      <c r="C180">
        <v>-24.6</v>
      </c>
      <c r="D180">
        <v>20000</v>
      </c>
      <c r="E180">
        <f t="shared" si="20"/>
        <v>0.65390720062118801</v>
      </c>
      <c r="F180">
        <f t="shared" si="21"/>
        <v>46.629465299560287</v>
      </c>
      <c r="G180">
        <v>161</v>
      </c>
      <c r="H180">
        <f t="shared" si="28"/>
        <v>220.52295863761717</v>
      </c>
      <c r="I180">
        <v>73.400000000000006</v>
      </c>
      <c r="J180">
        <f t="shared" si="22"/>
        <v>25986.536000000004</v>
      </c>
      <c r="K180">
        <f t="shared" si="27"/>
        <v>3000.0000000000018</v>
      </c>
      <c r="L180">
        <f t="shared" si="23"/>
        <v>1500.0000000000009</v>
      </c>
      <c r="M180">
        <v>9.1</v>
      </c>
      <c r="N180">
        <v>29</v>
      </c>
      <c r="O180">
        <v>529</v>
      </c>
      <c r="P180">
        <v>900</v>
      </c>
      <c r="Q180">
        <f t="shared" si="24"/>
        <v>2449.1733176954008</v>
      </c>
      <c r="R180">
        <f t="shared" si="29"/>
        <v>18547.860037390419</v>
      </c>
    </row>
    <row r="181" spans="1:18" x14ac:dyDescent="0.25">
      <c r="A181" t="s">
        <v>13</v>
      </c>
      <c r="B181">
        <v>58000</v>
      </c>
      <c r="C181">
        <v>-28.6</v>
      </c>
      <c r="D181">
        <v>22000</v>
      </c>
      <c r="E181">
        <f t="shared" si="20"/>
        <v>0.61027828449683619</v>
      </c>
      <c r="F181">
        <f t="shared" si="21"/>
        <v>42.817975778504902</v>
      </c>
      <c r="G181">
        <v>162</v>
      </c>
      <c r="H181">
        <f t="shared" si="28"/>
        <v>229.68733592387304</v>
      </c>
      <c r="I181">
        <v>68.400000000000006</v>
      </c>
      <c r="J181">
        <f t="shared" si="22"/>
        <v>24216.336000000003</v>
      </c>
      <c r="K181">
        <f t="shared" si="27"/>
        <v>2600</v>
      </c>
      <c r="L181">
        <f t="shared" si="23"/>
        <v>1300</v>
      </c>
      <c r="M181">
        <v>10.6</v>
      </c>
      <c r="N181">
        <v>34</v>
      </c>
      <c r="O181">
        <v>594</v>
      </c>
      <c r="P181">
        <v>900</v>
      </c>
      <c r="Q181">
        <f t="shared" si="24"/>
        <v>2282.3358982338614</v>
      </c>
      <c r="R181">
        <f t="shared" si="29"/>
        <v>16687.111920137915</v>
      </c>
    </row>
    <row r="182" spans="1:18" x14ac:dyDescent="0.25">
      <c r="A182" t="s">
        <v>13</v>
      </c>
      <c r="B182">
        <v>58000</v>
      </c>
      <c r="C182">
        <v>-32.5</v>
      </c>
      <c r="D182">
        <v>24000</v>
      </c>
      <c r="E182">
        <f t="shared" si="20"/>
        <v>0.56991930881758013</v>
      </c>
      <c r="F182">
        <f t="shared" si="21"/>
        <v>39.348645330248132</v>
      </c>
      <c r="G182">
        <v>162</v>
      </c>
      <c r="H182">
        <f t="shared" si="28"/>
        <v>237.68092192881477</v>
      </c>
      <c r="I182">
        <v>64.2</v>
      </c>
      <c r="J182">
        <f t="shared" si="22"/>
        <v>22729.368000000002</v>
      </c>
      <c r="K182">
        <f t="shared" si="27"/>
        <v>2625.0000000000005</v>
      </c>
      <c r="L182">
        <f t="shared" si="23"/>
        <v>1312.5000000000002</v>
      </c>
      <c r="M182">
        <v>12.2</v>
      </c>
      <c r="N182">
        <v>41</v>
      </c>
      <c r="O182">
        <v>664</v>
      </c>
      <c r="P182">
        <v>900</v>
      </c>
      <c r="Q182">
        <f t="shared" si="24"/>
        <v>2142.1924658861676</v>
      </c>
      <c r="R182">
        <f t="shared" si="29"/>
        <v>15189.924219584733</v>
      </c>
    </row>
    <row r="183" spans="1:18" x14ac:dyDescent="0.25">
      <c r="A183" t="s">
        <v>13</v>
      </c>
      <c r="B183">
        <v>58000</v>
      </c>
      <c r="C183">
        <v>-34.5</v>
      </c>
      <c r="D183">
        <v>25000</v>
      </c>
      <c r="E183">
        <f t="shared" si="20"/>
        <v>0.55003181210936014</v>
      </c>
      <c r="F183">
        <f t="shared" si="21"/>
        <v>37.659954883294965</v>
      </c>
      <c r="G183">
        <v>162</v>
      </c>
      <c r="H183">
        <f t="shared" si="28"/>
        <v>241.93968155136855</v>
      </c>
      <c r="I183">
        <v>62.2</v>
      </c>
      <c r="J183">
        <f t="shared" si="22"/>
        <v>22021.288</v>
      </c>
      <c r="K183">
        <f t="shared" si="27"/>
        <v>2280</v>
      </c>
      <c r="L183">
        <f t="shared" si="23"/>
        <v>1140</v>
      </c>
      <c r="M183">
        <v>13.2</v>
      </c>
      <c r="N183">
        <v>44</v>
      </c>
      <c r="O183">
        <v>702</v>
      </c>
      <c r="P183">
        <v>900</v>
      </c>
      <c r="Q183">
        <f t="shared" si="24"/>
        <v>2075.4574981015521</v>
      </c>
      <c r="R183">
        <f t="shared" si="29"/>
        <v>14478.849756849124</v>
      </c>
    </row>
    <row r="184" spans="1:18" x14ac:dyDescent="0.25">
      <c r="A184" t="s">
        <v>13</v>
      </c>
      <c r="B184">
        <v>62000</v>
      </c>
      <c r="C184">
        <v>15</v>
      </c>
      <c r="D184">
        <v>0</v>
      </c>
      <c r="E184">
        <f t="shared" si="20"/>
        <v>1.226794975834826</v>
      </c>
      <c r="F184">
        <f t="shared" si="21"/>
        <v>101.41942894908438</v>
      </c>
      <c r="G184">
        <v>160</v>
      </c>
      <c r="H184">
        <f t="shared" si="28"/>
        <v>160</v>
      </c>
      <c r="I184">
        <v>96</v>
      </c>
      <c r="J184">
        <f t="shared" si="22"/>
        <v>33987.839999999997</v>
      </c>
      <c r="K184">
        <f>K185</f>
        <v>3733.333333333333</v>
      </c>
      <c r="L184">
        <f t="shared" si="23"/>
        <v>1866.6666666666665</v>
      </c>
      <c r="M184">
        <v>0</v>
      </c>
      <c r="N184">
        <v>0</v>
      </c>
      <c r="O184">
        <v>0</v>
      </c>
      <c r="P184">
        <v>900</v>
      </c>
      <c r="Q184">
        <f t="shared" si="24"/>
        <v>3203.2784536615586</v>
      </c>
      <c r="R184">
        <f t="shared" si="29"/>
        <v>30559.5344068044</v>
      </c>
    </row>
    <row r="185" spans="1:18" x14ac:dyDescent="0.25">
      <c r="A185" t="s">
        <v>13</v>
      </c>
      <c r="B185">
        <v>62000</v>
      </c>
      <c r="C185">
        <v>11</v>
      </c>
      <c r="D185">
        <v>2000</v>
      </c>
      <c r="E185">
        <f t="shared" si="20"/>
        <v>1.1559364750414849</v>
      </c>
      <c r="F185">
        <f t="shared" si="21"/>
        <v>94.234987337993573</v>
      </c>
      <c r="G185">
        <v>160</v>
      </c>
      <c r="H185">
        <f t="shared" si="28"/>
        <v>164.83103781704153</v>
      </c>
      <c r="I185">
        <v>96</v>
      </c>
      <c r="J185">
        <f t="shared" si="22"/>
        <v>33987.839999999997</v>
      </c>
      <c r="K185">
        <f>(O185-O184)/((M185-M184)/60)</f>
        <v>3733.333333333333</v>
      </c>
      <c r="L185">
        <f t="shared" si="23"/>
        <v>1866.6666666666665</v>
      </c>
      <c r="M185">
        <v>0.9</v>
      </c>
      <c r="N185">
        <v>2</v>
      </c>
      <c r="O185">
        <v>56</v>
      </c>
      <c r="P185">
        <v>900</v>
      </c>
      <c r="Q185">
        <f t="shared" si="24"/>
        <v>3203.2784536615586</v>
      </c>
      <c r="R185">
        <f t="shared" si="29"/>
        <v>30007.138979708558</v>
      </c>
    </row>
    <row r="186" spans="1:18" x14ac:dyDescent="0.25">
      <c r="A186" t="s">
        <v>13</v>
      </c>
      <c r="B186">
        <v>62000</v>
      </c>
      <c r="C186">
        <v>7.1</v>
      </c>
      <c r="D186">
        <v>4000</v>
      </c>
      <c r="E186">
        <f t="shared" si="20"/>
        <v>1.0899066174514316</v>
      </c>
      <c r="F186">
        <f t="shared" si="21"/>
        <v>87.632551945245098</v>
      </c>
      <c r="G186">
        <v>160</v>
      </c>
      <c r="H186">
        <f t="shared" si="28"/>
        <v>169.7506055833438</v>
      </c>
      <c r="I186">
        <v>96</v>
      </c>
      <c r="J186">
        <f t="shared" si="22"/>
        <v>33987.839999999997</v>
      </c>
      <c r="K186">
        <f t="shared" ref="K186:K197" si="30">(O186-O185)/((M186-M185)/60)</f>
        <v>4125</v>
      </c>
      <c r="L186">
        <f t="shared" si="23"/>
        <v>2062.5</v>
      </c>
      <c r="M186">
        <v>1.7</v>
      </c>
      <c r="N186">
        <v>5</v>
      </c>
      <c r="O186">
        <v>111</v>
      </c>
      <c r="P186">
        <v>900</v>
      </c>
      <c r="Q186">
        <f t="shared" si="24"/>
        <v>3203.2784536615586</v>
      </c>
      <c r="R186">
        <f t="shared" si="29"/>
        <v>29453.567429964121</v>
      </c>
    </row>
    <row r="187" spans="1:18" x14ac:dyDescent="0.25">
      <c r="A187" t="s">
        <v>13</v>
      </c>
      <c r="B187">
        <v>62000</v>
      </c>
      <c r="C187">
        <v>3.1</v>
      </c>
      <c r="D187">
        <v>6000</v>
      </c>
      <c r="E187">
        <f t="shared" si="20"/>
        <v>1.0252213873142479</v>
      </c>
      <c r="F187">
        <f t="shared" si="21"/>
        <v>81.255074425651443</v>
      </c>
      <c r="G187">
        <v>160</v>
      </c>
      <c r="H187">
        <f t="shared" si="28"/>
        <v>175.02381593861151</v>
      </c>
      <c r="I187">
        <v>96</v>
      </c>
      <c r="J187">
        <f t="shared" si="22"/>
        <v>33987.839999999997</v>
      </c>
      <c r="K187">
        <f t="shared" si="30"/>
        <v>3733.3333333333326</v>
      </c>
      <c r="L187">
        <f t="shared" si="23"/>
        <v>1866.6666666666663</v>
      </c>
      <c r="M187">
        <v>2.6</v>
      </c>
      <c r="N187">
        <v>7</v>
      </c>
      <c r="O187">
        <v>167</v>
      </c>
      <c r="P187">
        <v>900</v>
      </c>
      <c r="Q187">
        <f t="shared" si="24"/>
        <v>3203.2784536615586</v>
      </c>
      <c r="R187">
        <f t="shared" si="29"/>
        <v>28870.17341120536</v>
      </c>
    </row>
    <row r="188" spans="1:18" x14ac:dyDescent="0.25">
      <c r="A188" t="s">
        <v>13</v>
      </c>
      <c r="B188">
        <v>62000</v>
      </c>
      <c r="C188">
        <v>-0.8</v>
      </c>
      <c r="D188">
        <v>8000</v>
      </c>
      <c r="E188">
        <f t="shared" si="20"/>
        <v>0.96502208599689476</v>
      </c>
      <c r="F188">
        <f t="shared" si="21"/>
        <v>75.404138213287837</v>
      </c>
      <c r="G188">
        <v>160</v>
      </c>
      <c r="H188">
        <f t="shared" si="28"/>
        <v>180.40033951132818</v>
      </c>
      <c r="I188">
        <v>96</v>
      </c>
      <c r="J188">
        <f t="shared" si="22"/>
        <v>33987.839999999997</v>
      </c>
      <c r="K188">
        <f t="shared" si="30"/>
        <v>3733.3333333333339</v>
      </c>
      <c r="L188">
        <f t="shared" si="23"/>
        <v>1866.666666666667</v>
      </c>
      <c r="M188">
        <v>3.5</v>
      </c>
      <c r="N188">
        <v>10</v>
      </c>
      <c r="O188">
        <v>223</v>
      </c>
      <c r="P188">
        <v>900</v>
      </c>
      <c r="Q188">
        <f t="shared" si="24"/>
        <v>3203.2784536615586</v>
      </c>
      <c r="R188">
        <f t="shared" si="29"/>
        <v>28285.918979649072</v>
      </c>
    </row>
    <row r="189" spans="1:18" x14ac:dyDescent="0.25">
      <c r="A189" t="s">
        <v>13</v>
      </c>
      <c r="B189">
        <v>62000</v>
      </c>
      <c r="C189">
        <v>-4.8</v>
      </c>
      <c r="D189">
        <v>10000</v>
      </c>
      <c r="E189">
        <f t="shared" si="20"/>
        <v>0.90612712934108608</v>
      </c>
      <c r="F189">
        <f t="shared" si="21"/>
        <v>69.762378829025408</v>
      </c>
      <c r="G189">
        <v>160</v>
      </c>
      <c r="H189">
        <f t="shared" si="28"/>
        <v>186.17073371881716</v>
      </c>
      <c r="I189">
        <v>96</v>
      </c>
      <c r="J189">
        <f t="shared" si="22"/>
        <v>33987.839999999997</v>
      </c>
      <c r="K189">
        <f t="shared" si="30"/>
        <v>3733.3333333333317</v>
      </c>
      <c r="L189">
        <f t="shared" si="23"/>
        <v>1866.6666666666658</v>
      </c>
      <c r="M189">
        <v>4.4000000000000004</v>
      </c>
      <c r="N189">
        <v>13</v>
      </c>
      <c r="O189">
        <v>279</v>
      </c>
      <c r="P189">
        <v>900</v>
      </c>
      <c r="Q189">
        <f t="shared" si="24"/>
        <v>3203.2784536615586</v>
      </c>
      <c r="R189">
        <f t="shared" si="29"/>
        <v>27670.681749587737</v>
      </c>
    </row>
    <row r="190" spans="1:18" x14ac:dyDescent="0.25">
      <c r="A190" t="s">
        <v>13</v>
      </c>
      <c r="B190">
        <v>62000</v>
      </c>
      <c r="C190">
        <v>-8.8000000000000007</v>
      </c>
      <c r="D190">
        <v>12000</v>
      </c>
      <c r="E190">
        <f t="shared" si="20"/>
        <v>0.85002224022584971</v>
      </c>
      <c r="F190">
        <f t="shared" si="21"/>
        <v>64.467399493542487</v>
      </c>
      <c r="G190">
        <v>161</v>
      </c>
      <c r="H190">
        <f t="shared" si="28"/>
        <v>193.4179277254363</v>
      </c>
      <c r="I190">
        <v>91.3</v>
      </c>
      <c r="J190">
        <f t="shared" si="22"/>
        <v>32323.851999999999</v>
      </c>
      <c r="K190">
        <f t="shared" si="30"/>
        <v>3800.0000000000023</v>
      </c>
      <c r="L190">
        <f t="shared" si="23"/>
        <v>1900.0000000000011</v>
      </c>
      <c r="M190">
        <v>5.3</v>
      </c>
      <c r="N190">
        <v>16</v>
      </c>
      <c r="O190">
        <v>336</v>
      </c>
      <c r="P190">
        <v>900</v>
      </c>
      <c r="Q190">
        <f t="shared" si="24"/>
        <v>3046.4512793677118</v>
      </c>
      <c r="R190">
        <f>Q190*1000/(H190*0.51444)*(0.0000000280836682*H190^3 - 0.0000271683584*H190^2 + 0.00848348631*H190 + 0.00836930492)</f>
        <v>25597.517446739304</v>
      </c>
    </row>
    <row r="191" spans="1:18" x14ac:dyDescent="0.25">
      <c r="A191" t="s">
        <v>13</v>
      </c>
      <c r="B191">
        <v>62000</v>
      </c>
      <c r="C191">
        <v>-12.7</v>
      </c>
      <c r="D191">
        <v>14000</v>
      </c>
      <c r="E191">
        <f t="shared" si="20"/>
        <v>0.79791753463950577</v>
      </c>
      <c r="F191">
        <f t="shared" si="21"/>
        <v>59.622875722208917</v>
      </c>
      <c r="G191">
        <v>161</v>
      </c>
      <c r="H191">
        <f t="shared" si="28"/>
        <v>199.63324485538334</v>
      </c>
      <c r="I191">
        <v>86.7</v>
      </c>
      <c r="J191">
        <f t="shared" si="22"/>
        <v>30695.268</v>
      </c>
      <c r="K191">
        <f t="shared" si="30"/>
        <v>3272.7272727272707</v>
      </c>
      <c r="L191">
        <f t="shared" si="23"/>
        <v>1636.3636363636354</v>
      </c>
      <c r="M191">
        <v>6.4</v>
      </c>
      <c r="N191">
        <v>19</v>
      </c>
      <c r="O191">
        <v>396</v>
      </c>
      <c r="P191">
        <v>900</v>
      </c>
      <c r="Q191">
        <f t="shared" si="24"/>
        <v>2892.9608534630956</v>
      </c>
      <c r="R191">
        <f t="shared" si="29"/>
        <v>23736.476919270379</v>
      </c>
    </row>
    <row r="192" spans="1:18" x14ac:dyDescent="0.25">
      <c r="A192" t="s">
        <v>13</v>
      </c>
      <c r="B192">
        <v>62000</v>
      </c>
      <c r="C192">
        <v>-16.7</v>
      </c>
      <c r="D192">
        <v>16000</v>
      </c>
      <c r="E192">
        <f t="shared" si="20"/>
        <v>0.74705165293004538</v>
      </c>
      <c r="F192">
        <f t="shared" si="21"/>
        <v>54.964702625412812</v>
      </c>
      <c r="G192">
        <v>161</v>
      </c>
      <c r="H192">
        <f t="shared" si="28"/>
        <v>206.31773191694867</v>
      </c>
      <c r="I192">
        <v>82.2</v>
      </c>
      <c r="J192">
        <f t="shared" si="22"/>
        <v>29102.088000000003</v>
      </c>
      <c r="K192">
        <f t="shared" si="30"/>
        <v>3327.2727272727284</v>
      </c>
      <c r="L192">
        <f t="shared" si="23"/>
        <v>1663.6363636363642</v>
      </c>
      <c r="M192">
        <v>7.5</v>
      </c>
      <c r="N192">
        <v>23</v>
      </c>
      <c r="O192">
        <v>457</v>
      </c>
      <c r="P192">
        <v>900</v>
      </c>
      <c r="Q192">
        <f t="shared" si="24"/>
        <v>2742.8071759477102</v>
      </c>
      <c r="R192">
        <f t="shared" si="29"/>
        <v>21935.286561704852</v>
      </c>
    </row>
    <row r="193" spans="1:18" x14ac:dyDescent="0.25">
      <c r="A193" t="s">
        <v>13</v>
      </c>
      <c r="B193">
        <v>62000</v>
      </c>
      <c r="C193">
        <v>-20.7</v>
      </c>
      <c r="D193">
        <v>18000</v>
      </c>
      <c r="E193">
        <f t="shared" si="20"/>
        <v>0.69870446964341482</v>
      </c>
      <c r="F193">
        <f t="shared" si="21"/>
        <v>50.605700950408632</v>
      </c>
      <c r="G193">
        <v>161</v>
      </c>
      <c r="H193">
        <f t="shared" si="28"/>
        <v>213.33647243532079</v>
      </c>
      <c r="I193">
        <v>77.7</v>
      </c>
      <c r="J193">
        <f t="shared" si="22"/>
        <v>27508.907999999999</v>
      </c>
      <c r="K193">
        <f t="shared" si="30"/>
        <v>2999.9999999999986</v>
      </c>
      <c r="L193">
        <f t="shared" si="23"/>
        <v>1499.9999999999993</v>
      </c>
      <c r="M193">
        <v>8.8000000000000007</v>
      </c>
      <c r="N193">
        <v>27</v>
      </c>
      <c r="O193">
        <v>522</v>
      </c>
      <c r="P193">
        <v>900</v>
      </c>
      <c r="Q193">
        <f t="shared" si="24"/>
        <v>2592.6534984323243</v>
      </c>
      <c r="R193">
        <f t="shared" si="29"/>
        <v>20183.587069627905</v>
      </c>
    </row>
    <row r="194" spans="1:18" x14ac:dyDescent="0.25">
      <c r="A194" t="s">
        <v>13</v>
      </c>
      <c r="B194">
        <v>62000</v>
      </c>
      <c r="C194">
        <v>-24.6</v>
      </c>
      <c r="D194">
        <v>20000</v>
      </c>
      <c r="E194">
        <f t="shared" si="20"/>
        <v>0.65390720062118801</v>
      </c>
      <c r="F194">
        <f t="shared" si="21"/>
        <v>46.629465299560287</v>
      </c>
      <c r="G194">
        <v>161</v>
      </c>
      <c r="H194">
        <f t="shared" si="28"/>
        <v>220.52295863761717</v>
      </c>
      <c r="I194">
        <v>73.400000000000006</v>
      </c>
      <c r="J194">
        <f t="shared" si="22"/>
        <v>25986.536000000004</v>
      </c>
      <c r="K194">
        <f t="shared" si="30"/>
        <v>2957.1428571428601</v>
      </c>
      <c r="L194">
        <f t="shared" si="23"/>
        <v>1478.57142857143</v>
      </c>
      <c r="M194">
        <v>10.199999999999999</v>
      </c>
      <c r="N194">
        <v>32</v>
      </c>
      <c r="O194">
        <v>591</v>
      </c>
      <c r="P194">
        <v>900</v>
      </c>
      <c r="Q194">
        <f t="shared" si="24"/>
        <v>2449.1733176954008</v>
      </c>
      <c r="R194">
        <f t="shared" si="29"/>
        <v>18547.860037390419</v>
      </c>
    </row>
    <row r="195" spans="1:18" x14ac:dyDescent="0.25">
      <c r="A195" t="s">
        <v>13</v>
      </c>
      <c r="B195">
        <v>62000</v>
      </c>
      <c r="C195">
        <v>-28.6</v>
      </c>
      <c r="D195">
        <v>22000</v>
      </c>
      <c r="E195">
        <f t="shared" ref="E195:E258" si="31">F195/(0.2869*(C195+273.15))</f>
        <v>0.61027828449683619</v>
      </c>
      <c r="F195">
        <f t="shared" ref="F195:F258" si="32">101.29*((C195+273.15)/288.08)^5.256</f>
        <v>42.817975778504902</v>
      </c>
      <c r="G195">
        <v>162</v>
      </c>
      <c r="H195">
        <f t="shared" si="28"/>
        <v>229.68733592387304</v>
      </c>
      <c r="I195">
        <v>68.400000000000006</v>
      </c>
      <c r="J195">
        <f t="shared" ref="J195:J258" si="33">I195/100*35404</f>
        <v>24216.336000000003</v>
      </c>
      <c r="K195">
        <f t="shared" si="30"/>
        <v>2647.0588235294099</v>
      </c>
      <c r="L195">
        <f t="shared" ref="L195:L258" si="34">K195/2</f>
        <v>1323.5294117647049</v>
      </c>
      <c r="M195">
        <v>11.9</v>
      </c>
      <c r="N195">
        <v>38</v>
      </c>
      <c r="O195">
        <v>666</v>
      </c>
      <c r="P195">
        <v>900</v>
      </c>
      <c r="Q195">
        <f t="shared" ref="Q195:Q258" si="35">P195/60*2*PI()*J195/1000</f>
        <v>2282.3358982338614</v>
      </c>
      <c r="R195">
        <f t="shared" si="29"/>
        <v>16687.111920137915</v>
      </c>
    </row>
    <row r="196" spans="1:18" x14ac:dyDescent="0.25">
      <c r="A196" t="s">
        <v>13</v>
      </c>
      <c r="B196">
        <v>62000</v>
      </c>
      <c r="C196">
        <v>-32.5</v>
      </c>
      <c r="D196">
        <v>24000</v>
      </c>
      <c r="E196">
        <f t="shared" si="31"/>
        <v>0.56991930881758013</v>
      </c>
      <c r="F196">
        <f t="shared" si="32"/>
        <v>39.348645330248132</v>
      </c>
      <c r="G196">
        <v>162</v>
      </c>
      <c r="H196">
        <f t="shared" si="28"/>
        <v>237.68092192881477</v>
      </c>
      <c r="I196">
        <v>64.2</v>
      </c>
      <c r="J196">
        <f t="shared" si="33"/>
        <v>22729.368000000002</v>
      </c>
      <c r="K196">
        <f t="shared" si="30"/>
        <v>2621.0526315789471</v>
      </c>
      <c r="L196">
        <f t="shared" si="34"/>
        <v>1310.5263157894735</v>
      </c>
      <c r="M196">
        <v>13.8</v>
      </c>
      <c r="N196">
        <v>46</v>
      </c>
      <c r="O196">
        <v>749</v>
      </c>
      <c r="P196">
        <v>900</v>
      </c>
      <c r="Q196">
        <f t="shared" si="35"/>
        <v>2142.1924658861676</v>
      </c>
      <c r="R196">
        <f t="shared" si="29"/>
        <v>15189.924219584733</v>
      </c>
    </row>
    <row r="197" spans="1:18" x14ac:dyDescent="0.25">
      <c r="A197" t="s">
        <v>13</v>
      </c>
      <c r="B197">
        <v>62000</v>
      </c>
      <c r="C197">
        <v>-34.5</v>
      </c>
      <c r="D197">
        <v>25000</v>
      </c>
      <c r="E197">
        <f t="shared" si="31"/>
        <v>0.55003181210936014</v>
      </c>
      <c r="F197">
        <f t="shared" si="32"/>
        <v>37.659954883294965</v>
      </c>
      <c r="G197">
        <v>162</v>
      </c>
      <c r="H197">
        <f t="shared" si="28"/>
        <v>241.93968155136855</v>
      </c>
      <c r="I197">
        <v>62.2</v>
      </c>
      <c r="J197">
        <f t="shared" si="33"/>
        <v>22021.288</v>
      </c>
      <c r="K197">
        <f t="shared" si="30"/>
        <v>2300.0000000000014</v>
      </c>
      <c r="L197">
        <f t="shared" si="34"/>
        <v>1150.0000000000007</v>
      </c>
      <c r="M197">
        <v>15</v>
      </c>
      <c r="N197">
        <v>51</v>
      </c>
      <c r="O197">
        <v>795</v>
      </c>
      <c r="P197">
        <v>900</v>
      </c>
      <c r="Q197">
        <f t="shared" si="35"/>
        <v>2075.4574981015521</v>
      </c>
      <c r="R197">
        <f t="shared" si="29"/>
        <v>14478.849756849124</v>
      </c>
    </row>
    <row r="198" spans="1:18" x14ac:dyDescent="0.25">
      <c r="A198" t="s">
        <v>13</v>
      </c>
      <c r="B198">
        <v>64000</v>
      </c>
      <c r="C198">
        <v>15</v>
      </c>
      <c r="D198">
        <v>0</v>
      </c>
      <c r="E198">
        <f t="shared" si="31"/>
        <v>1.226794975834826</v>
      </c>
      <c r="F198">
        <f t="shared" si="32"/>
        <v>101.41942894908438</v>
      </c>
      <c r="G198">
        <v>160</v>
      </c>
      <c r="H198">
        <f t="shared" si="28"/>
        <v>160</v>
      </c>
      <c r="I198">
        <v>96</v>
      </c>
      <c r="J198">
        <f t="shared" si="33"/>
        <v>33987.839999999997</v>
      </c>
      <c r="K198">
        <f>K199</f>
        <v>3933.333333333333</v>
      </c>
      <c r="L198">
        <f t="shared" si="34"/>
        <v>1966.6666666666665</v>
      </c>
      <c r="M198">
        <v>0</v>
      </c>
      <c r="N198">
        <v>0</v>
      </c>
      <c r="O198">
        <v>0</v>
      </c>
      <c r="P198">
        <v>900</v>
      </c>
      <c r="Q198">
        <f t="shared" si="35"/>
        <v>3203.2784536615586</v>
      </c>
      <c r="R198">
        <f t="shared" si="29"/>
        <v>30559.5344068044</v>
      </c>
    </row>
    <row r="199" spans="1:18" x14ac:dyDescent="0.25">
      <c r="A199" t="s">
        <v>13</v>
      </c>
      <c r="B199">
        <v>64000</v>
      </c>
      <c r="C199">
        <v>11</v>
      </c>
      <c r="D199">
        <v>2000</v>
      </c>
      <c r="E199">
        <f t="shared" si="31"/>
        <v>1.1559364750414849</v>
      </c>
      <c r="F199">
        <f t="shared" si="32"/>
        <v>94.234987337993573</v>
      </c>
      <c r="G199">
        <v>160</v>
      </c>
      <c r="H199">
        <f t="shared" si="28"/>
        <v>164.83103781704153</v>
      </c>
      <c r="I199">
        <v>96</v>
      </c>
      <c r="J199">
        <f t="shared" si="33"/>
        <v>33987.839999999997</v>
      </c>
      <c r="K199">
        <f>(O199-O198)/((M199-M198)/60)</f>
        <v>3933.333333333333</v>
      </c>
      <c r="L199">
        <f t="shared" si="34"/>
        <v>1966.6666666666665</v>
      </c>
      <c r="M199">
        <v>0.9</v>
      </c>
      <c r="N199">
        <v>2</v>
      </c>
      <c r="O199">
        <v>59</v>
      </c>
      <c r="P199">
        <v>900</v>
      </c>
      <c r="Q199">
        <f t="shared" si="35"/>
        <v>3203.2784536615586</v>
      </c>
      <c r="R199">
        <f t="shared" si="29"/>
        <v>30007.138979708558</v>
      </c>
    </row>
    <row r="200" spans="1:18" x14ac:dyDescent="0.25">
      <c r="A200" t="s">
        <v>13</v>
      </c>
      <c r="B200">
        <v>64000</v>
      </c>
      <c r="C200">
        <v>7.1</v>
      </c>
      <c r="D200">
        <v>4000</v>
      </c>
      <c r="E200">
        <f t="shared" si="31"/>
        <v>1.0899066174514316</v>
      </c>
      <c r="F200">
        <f t="shared" si="32"/>
        <v>87.632551945245098</v>
      </c>
      <c r="G200">
        <v>160</v>
      </c>
      <c r="H200">
        <f t="shared" si="28"/>
        <v>169.7506055833438</v>
      </c>
      <c r="I200">
        <v>96</v>
      </c>
      <c r="J200">
        <f t="shared" si="33"/>
        <v>33987.839999999997</v>
      </c>
      <c r="K200">
        <f t="shared" ref="K200:K211" si="36">(O200-O199)/((M200-M199)/60)</f>
        <v>3866.6666666666665</v>
      </c>
      <c r="L200">
        <f t="shared" si="34"/>
        <v>1933.3333333333333</v>
      </c>
      <c r="M200">
        <v>1.8</v>
      </c>
      <c r="N200">
        <v>5</v>
      </c>
      <c r="O200">
        <v>117</v>
      </c>
      <c r="P200">
        <v>900</v>
      </c>
      <c r="Q200">
        <f t="shared" si="35"/>
        <v>3203.2784536615586</v>
      </c>
      <c r="R200">
        <f t="shared" si="29"/>
        <v>29453.567429964121</v>
      </c>
    </row>
    <row r="201" spans="1:18" x14ac:dyDescent="0.25">
      <c r="A201" t="s">
        <v>13</v>
      </c>
      <c r="B201">
        <v>64000</v>
      </c>
      <c r="C201">
        <v>3.1</v>
      </c>
      <c r="D201">
        <v>6000</v>
      </c>
      <c r="E201">
        <f t="shared" si="31"/>
        <v>1.0252213873142479</v>
      </c>
      <c r="F201">
        <f t="shared" si="32"/>
        <v>81.255074425651443</v>
      </c>
      <c r="G201">
        <v>160</v>
      </c>
      <c r="H201">
        <f t="shared" si="28"/>
        <v>175.02381593861151</v>
      </c>
      <c r="I201">
        <v>96</v>
      </c>
      <c r="J201">
        <f t="shared" si="33"/>
        <v>33987.839999999997</v>
      </c>
      <c r="K201">
        <f t="shared" si="36"/>
        <v>3866.6666666666661</v>
      </c>
      <c r="L201">
        <f t="shared" si="34"/>
        <v>1933.333333333333</v>
      </c>
      <c r="M201">
        <v>2.7</v>
      </c>
      <c r="N201">
        <v>8</v>
      </c>
      <c r="O201">
        <v>175</v>
      </c>
      <c r="P201">
        <v>900</v>
      </c>
      <c r="Q201">
        <f t="shared" si="35"/>
        <v>3203.2784536615586</v>
      </c>
      <c r="R201">
        <f t="shared" si="29"/>
        <v>28870.17341120536</v>
      </c>
    </row>
    <row r="202" spans="1:18" x14ac:dyDescent="0.25">
      <c r="A202" t="s">
        <v>13</v>
      </c>
      <c r="B202">
        <v>64000</v>
      </c>
      <c r="C202">
        <v>-0.8</v>
      </c>
      <c r="D202">
        <v>8000</v>
      </c>
      <c r="E202">
        <f t="shared" si="31"/>
        <v>0.96502208599689476</v>
      </c>
      <c r="F202">
        <f t="shared" si="32"/>
        <v>75.404138213287837</v>
      </c>
      <c r="G202">
        <v>160</v>
      </c>
      <c r="H202">
        <f t="shared" si="28"/>
        <v>180.40033951132818</v>
      </c>
      <c r="I202">
        <v>96</v>
      </c>
      <c r="J202">
        <f t="shared" si="33"/>
        <v>33987.839999999997</v>
      </c>
      <c r="K202">
        <f t="shared" si="36"/>
        <v>3540</v>
      </c>
      <c r="L202">
        <f t="shared" si="34"/>
        <v>1770</v>
      </c>
      <c r="M202">
        <v>3.7</v>
      </c>
      <c r="N202">
        <v>10</v>
      </c>
      <c r="O202">
        <v>234</v>
      </c>
      <c r="P202">
        <v>900</v>
      </c>
      <c r="Q202">
        <f t="shared" si="35"/>
        <v>3203.2784536615586</v>
      </c>
      <c r="R202">
        <f t="shared" si="29"/>
        <v>28285.918979649072</v>
      </c>
    </row>
    <row r="203" spans="1:18" x14ac:dyDescent="0.25">
      <c r="A203" t="s">
        <v>13</v>
      </c>
      <c r="B203">
        <v>64000</v>
      </c>
      <c r="C203">
        <v>-4.8</v>
      </c>
      <c r="D203">
        <v>10000</v>
      </c>
      <c r="E203">
        <f t="shared" si="31"/>
        <v>0.90612712934108608</v>
      </c>
      <c r="F203">
        <f t="shared" si="32"/>
        <v>69.762378829025408</v>
      </c>
      <c r="G203">
        <v>160</v>
      </c>
      <c r="H203">
        <f t="shared" si="28"/>
        <v>186.17073371881716</v>
      </c>
      <c r="I203">
        <v>96</v>
      </c>
      <c r="J203">
        <f t="shared" si="33"/>
        <v>33987.839999999997</v>
      </c>
      <c r="K203">
        <f t="shared" si="36"/>
        <v>3933.3333333333358</v>
      </c>
      <c r="L203">
        <f t="shared" si="34"/>
        <v>1966.6666666666679</v>
      </c>
      <c r="M203">
        <v>4.5999999999999996</v>
      </c>
      <c r="N203">
        <v>13</v>
      </c>
      <c r="O203">
        <v>293</v>
      </c>
      <c r="P203">
        <v>900</v>
      </c>
      <c r="Q203">
        <f t="shared" si="35"/>
        <v>3203.2784536615586</v>
      </c>
      <c r="R203">
        <f t="shared" si="29"/>
        <v>27670.681749587737</v>
      </c>
    </row>
    <row r="204" spans="1:18" x14ac:dyDescent="0.25">
      <c r="A204" t="s">
        <v>13</v>
      </c>
      <c r="B204">
        <v>64000</v>
      </c>
      <c r="C204">
        <v>-8.8000000000000007</v>
      </c>
      <c r="D204">
        <v>12000</v>
      </c>
      <c r="E204">
        <f t="shared" si="31"/>
        <v>0.85002224022584971</v>
      </c>
      <c r="F204">
        <f t="shared" si="32"/>
        <v>64.467399493542487</v>
      </c>
      <c r="G204">
        <v>161</v>
      </c>
      <c r="H204">
        <f t="shared" si="28"/>
        <v>193.4179277254363</v>
      </c>
      <c r="I204">
        <v>91.3</v>
      </c>
      <c r="J204">
        <f t="shared" si="33"/>
        <v>32323.851999999999</v>
      </c>
      <c r="K204">
        <f t="shared" si="36"/>
        <v>3660</v>
      </c>
      <c r="L204">
        <f t="shared" si="34"/>
        <v>1830</v>
      </c>
      <c r="M204">
        <v>5.6</v>
      </c>
      <c r="N204">
        <v>16</v>
      </c>
      <c r="O204">
        <v>354</v>
      </c>
      <c r="P204">
        <v>900</v>
      </c>
      <c r="Q204">
        <f t="shared" si="35"/>
        <v>3046.4512793677118</v>
      </c>
      <c r="R204">
        <f t="shared" si="29"/>
        <v>25597.517446739304</v>
      </c>
    </row>
    <row r="205" spans="1:18" x14ac:dyDescent="0.25">
      <c r="A205" t="s">
        <v>13</v>
      </c>
      <c r="B205">
        <v>64000</v>
      </c>
      <c r="C205">
        <v>-12.7</v>
      </c>
      <c r="D205">
        <v>14000</v>
      </c>
      <c r="E205">
        <f t="shared" si="31"/>
        <v>0.79791753463950577</v>
      </c>
      <c r="F205">
        <f t="shared" si="32"/>
        <v>59.622875722208917</v>
      </c>
      <c r="G205">
        <v>161</v>
      </c>
      <c r="H205">
        <f t="shared" si="28"/>
        <v>199.63324485538334</v>
      </c>
      <c r="I205">
        <v>86.7</v>
      </c>
      <c r="J205">
        <f t="shared" si="33"/>
        <v>30695.268</v>
      </c>
      <c r="K205">
        <f t="shared" si="36"/>
        <v>3436.3636363636342</v>
      </c>
      <c r="L205">
        <f t="shared" si="34"/>
        <v>1718.1818181818171</v>
      </c>
      <c r="M205">
        <v>6.7</v>
      </c>
      <c r="N205">
        <v>20</v>
      </c>
      <c r="O205">
        <v>417</v>
      </c>
      <c r="P205">
        <v>900</v>
      </c>
      <c r="Q205">
        <f t="shared" si="35"/>
        <v>2892.9608534630956</v>
      </c>
      <c r="R205">
        <f t="shared" si="29"/>
        <v>23736.476919270379</v>
      </c>
    </row>
    <row r="206" spans="1:18" x14ac:dyDescent="0.25">
      <c r="A206" t="s">
        <v>13</v>
      </c>
      <c r="B206">
        <v>64000</v>
      </c>
      <c r="C206">
        <v>-16.7</v>
      </c>
      <c r="D206">
        <v>16000</v>
      </c>
      <c r="E206">
        <f t="shared" si="31"/>
        <v>0.74705165293004538</v>
      </c>
      <c r="F206">
        <f t="shared" si="32"/>
        <v>54.964702625412812</v>
      </c>
      <c r="G206">
        <v>161</v>
      </c>
      <c r="H206">
        <f t="shared" si="28"/>
        <v>206.31773191694867</v>
      </c>
      <c r="I206">
        <v>82.2</v>
      </c>
      <c r="J206">
        <f t="shared" si="33"/>
        <v>29102.088000000003</v>
      </c>
      <c r="K206">
        <f t="shared" si="36"/>
        <v>3249.9999999999995</v>
      </c>
      <c r="L206">
        <f t="shared" si="34"/>
        <v>1624.9999999999998</v>
      </c>
      <c r="M206">
        <v>7.9</v>
      </c>
      <c r="N206">
        <v>24</v>
      </c>
      <c r="O206">
        <v>482</v>
      </c>
      <c r="P206">
        <v>900</v>
      </c>
      <c r="Q206">
        <f t="shared" si="35"/>
        <v>2742.8071759477102</v>
      </c>
      <c r="R206">
        <f t="shared" si="29"/>
        <v>21935.286561704852</v>
      </c>
    </row>
    <row r="207" spans="1:18" x14ac:dyDescent="0.25">
      <c r="A207" t="s">
        <v>13</v>
      </c>
      <c r="B207">
        <v>64000</v>
      </c>
      <c r="C207">
        <v>-20.7</v>
      </c>
      <c r="D207">
        <v>18000</v>
      </c>
      <c r="E207">
        <f t="shared" si="31"/>
        <v>0.69870446964341482</v>
      </c>
      <c r="F207">
        <f t="shared" si="32"/>
        <v>50.605700950408632</v>
      </c>
      <c r="G207">
        <v>161</v>
      </c>
      <c r="H207">
        <f t="shared" si="28"/>
        <v>213.33647243532079</v>
      </c>
      <c r="I207">
        <v>77.7</v>
      </c>
      <c r="J207">
        <f t="shared" si="33"/>
        <v>27508.907999999999</v>
      </c>
      <c r="K207">
        <f t="shared" si="36"/>
        <v>2957.1428571428564</v>
      </c>
      <c r="L207">
        <f t="shared" si="34"/>
        <v>1478.5714285714282</v>
      </c>
      <c r="M207">
        <v>9.3000000000000007</v>
      </c>
      <c r="N207">
        <v>29</v>
      </c>
      <c r="O207">
        <v>551</v>
      </c>
      <c r="P207">
        <v>900</v>
      </c>
      <c r="Q207">
        <f t="shared" si="35"/>
        <v>2592.6534984323243</v>
      </c>
      <c r="R207">
        <f t="shared" si="29"/>
        <v>20183.587069627905</v>
      </c>
    </row>
    <row r="208" spans="1:18" x14ac:dyDescent="0.25">
      <c r="A208" t="s">
        <v>13</v>
      </c>
      <c r="B208">
        <v>64000</v>
      </c>
      <c r="C208">
        <v>-24.6</v>
      </c>
      <c r="D208">
        <v>20000</v>
      </c>
      <c r="E208">
        <f t="shared" si="31"/>
        <v>0.65390720062118801</v>
      </c>
      <c r="F208">
        <f t="shared" si="32"/>
        <v>46.629465299560287</v>
      </c>
      <c r="G208">
        <v>161</v>
      </c>
      <c r="H208">
        <f t="shared" si="28"/>
        <v>220.52295863761717</v>
      </c>
      <c r="I208">
        <v>73.400000000000006</v>
      </c>
      <c r="J208">
        <f t="shared" si="33"/>
        <v>25986.536000000004</v>
      </c>
      <c r="K208">
        <f t="shared" si="36"/>
        <v>2960</v>
      </c>
      <c r="L208">
        <f t="shared" si="34"/>
        <v>1480</v>
      </c>
      <c r="M208">
        <v>10.8</v>
      </c>
      <c r="N208">
        <v>34</v>
      </c>
      <c r="O208">
        <v>625</v>
      </c>
      <c r="P208">
        <v>900</v>
      </c>
      <c r="Q208">
        <f t="shared" si="35"/>
        <v>2449.1733176954008</v>
      </c>
      <c r="R208">
        <f t="shared" si="29"/>
        <v>18547.860037390419</v>
      </c>
    </row>
    <row r="209" spans="1:18" x14ac:dyDescent="0.25">
      <c r="A209" t="s">
        <v>13</v>
      </c>
      <c r="B209">
        <v>64000</v>
      </c>
      <c r="C209">
        <v>-28.6</v>
      </c>
      <c r="D209">
        <v>22000</v>
      </c>
      <c r="E209">
        <f t="shared" si="31"/>
        <v>0.61027828449683619</v>
      </c>
      <c r="F209">
        <f t="shared" si="32"/>
        <v>42.817975778504902</v>
      </c>
      <c r="G209">
        <v>162</v>
      </c>
      <c r="H209">
        <f t="shared" si="28"/>
        <v>229.68733592387304</v>
      </c>
      <c r="I209">
        <v>68.400000000000006</v>
      </c>
      <c r="J209">
        <f t="shared" si="33"/>
        <v>24216.336000000003</v>
      </c>
      <c r="K209">
        <f t="shared" si="36"/>
        <v>2700.0000000000018</v>
      </c>
      <c r="L209">
        <f t="shared" si="34"/>
        <v>1350.0000000000009</v>
      </c>
      <c r="M209">
        <v>12.6</v>
      </c>
      <c r="N209">
        <v>41</v>
      </c>
      <c r="O209">
        <v>706</v>
      </c>
      <c r="P209">
        <v>900</v>
      </c>
      <c r="Q209">
        <f t="shared" si="35"/>
        <v>2282.3358982338614</v>
      </c>
      <c r="R209">
        <f t="shared" si="29"/>
        <v>16687.111920137915</v>
      </c>
    </row>
    <row r="210" spans="1:18" x14ac:dyDescent="0.25">
      <c r="A210" t="s">
        <v>13</v>
      </c>
      <c r="B210">
        <v>64000</v>
      </c>
      <c r="C210">
        <v>-32.5</v>
      </c>
      <c r="D210">
        <v>24000</v>
      </c>
      <c r="E210">
        <f t="shared" si="31"/>
        <v>0.56991930881758013</v>
      </c>
      <c r="F210">
        <f t="shared" si="32"/>
        <v>39.348645330248132</v>
      </c>
      <c r="G210">
        <v>162</v>
      </c>
      <c r="H210">
        <f t="shared" si="28"/>
        <v>237.68092192881477</v>
      </c>
      <c r="I210">
        <v>64.2</v>
      </c>
      <c r="J210">
        <f t="shared" si="33"/>
        <v>22729.368000000002</v>
      </c>
      <c r="K210">
        <f t="shared" si="36"/>
        <v>2481.8181818181806</v>
      </c>
      <c r="L210">
        <f t="shared" si="34"/>
        <v>1240.9090909090903</v>
      </c>
      <c r="M210">
        <v>14.8</v>
      </c>
      <c r="N210">
        <v>49</v>
      </c>
      <c r="O210">
        <v>797</v>
      </c>
      <c r="P210">
        <v>900</v>
      </c>
      <c r="Q210">
        <f t="shared" si="35"/>
        <v>2142.1924658861676</v>
      </c>
      <c r="R210">
        <f t="shared" si="29"/>
        <v>15189.924219584733</v>
      </c>
    </row>
    <row r="211" spans="1:18" x14ac:dyDescent="0.25">
      <c r="A211" t="s">
        <v>13</v>
      </c>
      <c r="B211">
        <v>64000</v>
      </c>
      <c r="C211">
        <v>-34.5</v>
      </c>
      <c r="D211">
        <v>25000</v>
      </c>
      <c r="E211">
        <f t="shared" si="31"/>
        <v>0.55003181210936014</v>
      </c>
      <c r="F211">
        <f t="shared" si="32"/>
        <v>37.659954883294965</v>
      </c>
      <c r="G211">
        <v>162</v>
      </c>
      <c r="H211">
        <f t="shared" si="28"/>
        <v>241.93968155136855</v>
      </c>
      <c r="I211">
        <v>62.2</v>
      </c>
      <c r="J211">
        <f t="shared" si="33"/>
        <v>22021.288</v>
      </c>
      <c r="K211">
        <f t="shared" si="36"/>
        <v>2500.0000000000018</v>
      </c>
      <c r="L211">
        <f t="shared" si="34"/>
        <v>1250.0000000000009</v>
      </c>
      <c r="M211">
        <v>16</v>
      </c>
      <c r="N211">
        <v>54</v>
      </c>
      <c r="O211">
        <v>847</v>
      </c>
      <c r="P211">
        <v>900</v>
      </c>
      <c r="Q211">
        <f t="shared" si="35"/>
        <v>2075.4574981015521</v>
      </c>
      <c r="R211">
        <f t="shared" si="29"/>
        <v>14478.849756849124</v>
      </c>
    </row>
    <row r="212" spans="1:18" x14ac:dyDescent="0.25">
      <c r="A212" t="s">
        <v>13</v>
      </c>
      <c r="B212">
        <v>65200</v>
      </c>
      <c r="C212">
        <v>15</v>
      </c>
      <c r="D212">
        <v>0</v>
      </c>
      <c r="E212">
        <f t="shared" si="31"/>
        <v>1.226794975834826</v>
      </c>
      <c r="F212">
        <f t="shared" si="32"/>
        <v>101.41942894908438</v>
      </c>
      <c r="G212">
        <v>160</v>
      </c>
      <c r="H212">
        <f t="shared" si="28"/>
        <v>160</v>
      </c>
      <c r="I212">
        <v>96</v>
      </c>
      <c r="J212">
        <f t="shared" si="33"/>
        <v>33987.839999999997</v>
      </c>
      <c r="K212">
        <f>K213</f>
        <v>3999.9999999999995</v>
      </c>
      <c r="L212">
        <f t="shared" si="34"/>
        <v>1999.9999999999998</v>
      </c>
      <c r="M212">
        <v>0</v>
      </c>
      <c r="N212">
        <v>0</v>
      </c>
      <c r="O212">
        <v>0</v>
      </c>
      <c r="P212">
        <v>900</v>
      </c>
      <c r="Q212">
        <f t="shared" si="35"/>
        <v>3203.2784536615586</v>
      </c>
      <c r="R212">
        <f t="shared" si="29"/>
        <v>30559.5344068044</v>
      </c>
    </row>
    <row r="213" spans="1:18" x14ac:dyDescent="0.25">
      <c r="A213" t="s">
        <v>13</v>
      </c>
      <c r="B213">
        <v>65200</v>
      </c>
      <c r="C213">
        <v>11</v>
      </c>
      <c r="D213">
        <v>2000</v>
      </c>
      <c r="E213">
        <f t="shared" si="31"/>
        <v>1.1559364750414849</v>
      </c>
      <c r="F213">
        <f t="shared" si="32"/>
        <v>94.234987337993573</v>
      </c>
      <c r="G213">
        <v>160</v>
      </c>
      <c r="H213">
        <f t="shared" si="28"/>
        <v>164.83103781704153</v>
      </c>
      <c r="I213">
        <v>96</v>
      </c>
      <c r="J213">
        <f t="shared" si="33"/>
        <v>33987.839999999997</v>
      </c>
      <c r="K213">
        <f>(O213-O212)/((M213-M212)/60)</f>
        <v>3999.9999999999995</v>
      </c>
      <c r="L213">
        <f t="shared" si="34"/>
        <v>1999.9999999999998</v>
      </c>
      <c r="M213">
        <v>0.9</v>
      </c>
      <c r="N213">
        <v>2</v>
      </c>
      <c r="O213">
        <v>60</v>
      </c>
      <c r="P213">
        <v>900</v>
      </c>
      <c r="Q213">
        <f t="shared" si="35"/>
        <v>3203.2784536615586</v>
      </c>
      <c r="R213">
        <f t="shared" si="29"/>
        <v>30007.138979708558</v>
      </c>
    </row>
    <row r="214" spans="1:18" x14ac:dyDescent="0.25">
      <c r="A214" t="s">
        <v>13</v>
      </c>
      <c r="B214">
        <v>65200</v>
      </c>
      <c r="C214">
        <v>7.1</v>
      </c>
      <c r="D214">
        <v>4000</v>
      </c>
      <c r="E214">
        <f t="shared" si="31"/>
        <v>1.0899066174514316</v>
      </c>
      <c r="F214">
        <f t="shared" si="32"/>
        <v>87.632551945245098</v>
      </c>
      <c r="G214">
        <v>160</v>
      </c>
      <c r="H214">
        <f t="shared" si="28"/>
        <v>169.7506055833438</v>
      </c>
      <c r="I214">
        <v>96</v>
      </c>
      <c r="J214">
        <f t="shared" si="33"/>
        <v>33987.839999999997</v>
      </c>
      <c r="K214">
        <f t="shared" ref="K214:K225" si="37">(O214-O213)/((M214-M213)/60)</f>
        <v>3600</v>
      </c>
      <c r="L214">
        <f t="shared" si="34"/>
        <v>1800</v>
      </c>
      <c r="M214">
        <v>1.9</v>
      </c>
      <c r="N214">
        <v>5</v>
      </c>
      <c r="O214">
        <v>120</v>
      </c>
      <c r="P214">
        <v>900</v>
      </c>
      <c r="Q214">
        <f t="shared" si="35"/>
        <v>3203.2784536615586</v>
      </c>
      <c r="R214">
        <f t="shared" si="29"/>
        <v>29453.567429964121</v>
      </c>
    </row>
    <row r="215" spans="1:18" x14ac:dyDescent="0.25">
      <c r="A215" t="s">
        <v>13</v>
      </c>
      <c r="B215">
        <v>65200</v>
      </c>
      <c r="C215">
        <v>3.1</v>
      </c>
      <c r="D215">
        <v>6000</v>
      </c>
      <c r="E215">
        <f t="shared" si="31"/>
        <v>1.0252213873142479</v>
      </c>
      <c r="F215">
        <f t="shared" si="32"/>
        <v>81.255074425651443</v>
      </c>
      <c r="G215">
        <v>160</v>
      </c>
      <c r="H215">
        <f t="shared" si="28"/>
        <v>175.02381593861151</v>
      </c>
      <c r="I215">
        <v>96</v>
      </c>
      <c r="J215">
        <f t="shared" si="33"/>
        <v>33987.839999999997</v>
      </c>
      <c r="K215">
        <f t="shared" si="37"/>
        <v>4066.6666666666674</v>
      </c>
      <c r="L215">
        <f t="shared" si="34"/>
        <v>2033.3333333333337</v>
      </c>
      <c r="M215">
        <v>2.8</v>
      </c>
      <c r="N215">
        <v>8</v>
      </c>
      <c r="O215">
        <v>181</v>
      </c>
      <c r="P215">
        <v>900</v>
      </c>
      <c r="Q215">
        <f t="shared" si="35"/>
        <v>3203.2784536615586</v>
      </c>
      <c r="R215">
        <f t="shared" si="29"/>
        <v>28870.17341120536</v>
      </c>
    </row>
    <row r="216" spans="1:18" x14ac:dyDescent="0.25">
      <c r="A216" t="s">
        <v>13</v>
      </c>
      <c r="B216">
        <v>65200</v>
      </c>
      <c r="C216">
        <v>-0.8</v>
      </c>
      <c r="D216">
        <v>8000</v>
      </c>
      <c r="E216">
        <f t="shared" si="31"/>
        <v>0.96502208599689476</v>
      </c>
      <c r="F216">
        <f t="shared" si="32"/>
        <v>75.404138213287837</v>
      </c>
      <c r="G216">
        <v>160</v>
      </c>
      <c r="H216">
        <f t="shared" si="28"/>
        <v>180.40033951132818</v>
      </c>
      <c r="I216">
        <v>96</v>
      </c>
      <c r="J216">
        <f t="shared" si="33"/>
        <v>33987.839999999997</v>
      </c>
      <c r="K216">
        <f t="shared" si="37"/>
        <v>3600</v>
      </c>
      <c r="L216">
        <f t="shared" si="34"/>
        <v>1800</v>
      </c>
      <c r="M216">
        <v>3.8</v>
      </c>
      <c r="N216">
        <v>11</v>
      </c>
      <c r="O216">
        <v>241</v>
      </c>
      <c r="P216">
        <v>900</v>
      </c>
      <c r="Q216">
        <f t="shared" si="35"/>
        <v>3203.2784536615586</v>
      </c>
      <c r="R216">
        <f t="shared" si="29"/>
        <v>28285.918979649072</v>
      </c>
    </row>
    <row r="217" spans="1:18" x14ac:dyDescent="0.25">
      <c r="A217" t="s">
        <v>13</v>
      </c>
      <c r="B217">
        <v>65200</v>
      </c>
      <c r="C217">
        <v>-4.8</v>
      </c>
      <c r="D217">
        <v>10000</v>
      </c>
      <c r="E217">
        <f t="shared" si="31"/>
        <v>0.90612712934108608</v>
      </c>
      <c r="F217">
        <f t="shared" si="32"/>
        <v>69.762378829025408</v>
      </c>
      <c r="G217">
        <v>160</v>
      </c>
      <c r="H217">
        <f t="shared" si="28"/>
        <v>186.17073371881716</v>
      </c>
      <c r="I217">
        <v>96</v>
      </c>
      <c r="J217">
        <f t="shared" si="33"/>
        <v>33987.839999999997</v>
      </c>
      <c r="K217">
        <f t="shared" si="37"/>
        <v>3660</v>
      </c>
      <c r="L217">
        <f t="shared" si="34"/>
        <v>1830</v>
      </c>
      <c r="M217">
        <v>4.8</v>
      </c>
      <c r="N217">
        <v>14</v>
      </c>
      <c r="O217">
        <v>302</v>
      </c>
      <c r="P217">
        <v>900</v>
      </c>
      <c r="Q217">
        <f t="shared" si="35"/>
        <v>3203.2784536615586</v>
      </c>
      <c r="R217">
        <f t="shared" si="29"/>
        <v>27670.681749587737</v>
      </c>
    </row>
    <row r="218" spans="1:18" x14ac:dyDescent="0.25">
      <c r="A218" t="s">
        <v>13</v>
      </c>
      <c r="B218">
        <v>65200</v>
      </c>
      <c r="C218">
        <v>-8.8000000000000007</v>
      </c>
      <c r="D218">
        <v>12000</v>
      </c>
      <c r="E218">
        <f t="shared" si="31"/>
        <v>0.85002224022584971</v>
      </c>
      <c r="F218">
        <f t="shared" si="32"/>
        <v>64.467399493542487</v>
      </c>
      <c r="G218">
        <v>161</v>
      </c>
      <c r="H218">
        <f t="shared" si="28"/>
        <v>193.4179277254363</v>
      </c>
      <c r="I218">
        <v>91.3</v>
      </c>
      <c r="J218">
        <f t="shared" si="33"/>
        <v>32323.851999999999</v>
      </c>
      <c r="K218">
        <f t="shared" si="37"/>
        <v>3780</v>
      </c>
      <c r="L218">
        <f t="shared" si="34"/>
        <v>1890</v>
      </c>
      <c r="M218">
        <v>5.8</v>
      </c>
      <c r="N218">
        <v>17</v>
      </c>
      <c r="O218">
        <v>365</v>
      </c>
      <c r="P218">
        <v>900</v>
      </c>
      <c r="Q218">
        <f t="shared" si="35"/>
        <v>3046.4512793677118</v>
      </c>
      <c r="R218">
        <f t="shared" si="29"/>
        <v>25597.517446739304</v>
      </c>
    </row>
    <row r="219" spans="1:18" x14ac:dyDescent="0.25">
      <c r="A219" t="s">
        <v>13</v>
      </c>
      <c r="B219">
        <v>65200</v>
      </c>
      <c r="C219">
        <v>-12.7</v>
      </c>
      <c r="D219">
        <v>14000</v>
      </c>
      <c r="E219">
        <f t="shared" si="31"/>
        <v>0.79791753463950577</v>
      </c>
      <c r="F219">
        <f t="shared" si="32"/>
        <v>59.622875722208917</v>
      </c>
      <c r="G219">
        <v>161</v>
      </c>
      <c r="H219">
        <f t="shared" si="28"/>
        <v>199.63324485538334</v>
      </c>
      <c r="I219">
        <v>86.7</v>
      </c>
      <c r="J219">
        <f t="shared" si="33"/>
        <v>30695.268</v>
      </c>
      <c r="K219">
        <f t="shared" si="37"/>
        <v>3545.4545454545432</v>
      </c>
      <c r="L219">
        <f t="shared" si="34"/>
        <v>1772.7272727272716</v>
      </c>
      <c r="M219">
        <v>6.9</v>
      </c>
      <c r="N219">
        <v>21</v>
      </c>
      <c r="O219">
        <v>430</v>
      </c>
      <c r="P219">
        <v>900</v>
      </c>
      <c r="Q219">
        <f t="shared" si="35"/>
        <v>2892.9608534630956</v>
      </c>
      <c r="R219">
        <f t="shared" si="29"/>
        <v>23736.476919270379</v>
      </c>
    </row>
    <row r="220" spans="1:18" x14ac:dyDescent="0.25">
      <c r="A220" t="s">
        <v>13</v>
      </c>
      <c r="B220">
        <v>65200</v>
      </c>
      <c r="C220">
        <v>-16.7</v>
      </c>
      <c r="D220">
        <v>16000</v>
      </c>
      <c r="E220">
        <f t="shared" si="31"/>
        <v>0.74705165293004538</v>
      </c>
      <c r="F220">
        <f t="shared" si="32"/>
        <v>54.964702625412812</v>
      </c>
      <c r="G220">
        <v>161</v>
      </c>
      <c r="H220">
        <f t="shared" si="28"/>
        <v>206.31773191694867</v>
      </c>
      <c r="I220">
        <v>82.2</v>
      </c>
      <c r="J220">
        <f t="shared" si="33"/>
        <v>29102.088000000003</v>
      </c>
      <c r="K220">
        <f t="shared" si="37"/>
        <v>3138.4615384615408</v>
      </c>
      <c r="L220">
        <f t="shared" si="34"/>
        <v>1569.2307692307704</v>
      </c>
      <c r="M220">
        <v>8.1999999999999993</v>
      </c>
      <c r="N220">
        <v>25</v>
      </c>
      <c r="O220">
        <v>498</v>
      </c>
      <c r="P220">
        <v>900</v>
      </c>
      <c r="Q220">
        <f t="shared" si="35"/>
        <v>2742.8071759477102</v>
      </c>
      <c r="R220">
        <f t="shared" si="29"/>
        <v>21935.286561704852</v>
      </c>
    </row>
    <row r="221" spans="1:18" x14ac:dyDescent="0.25">
      <c r="A221" t="s">
        <v>13</v>
      </c>
      <c r="B221">
        <v>65200</v>
      </c>
      <c r="C221">
        <v>-20.7</v>
      </c>
      <c r="D221">
        <v>18000</v>
      </c>
      <c r="E221">
        <f t="shared" si="31"/>
        <v>0.69870446964341482</v>
      </c>
      <c r="F221">
        <f t="shared" si="32"/>
        <v>50.605700950408632</v>
      </c>
      <c r="G221">
        <v>161</v>
      </c>
      <c r="H221">
        <f t="shared" si="28"/>
        <v>213.33647243532079</v>
      </c>
      <c r="I221">
        <v>77.7</v>
      </c>
      <c r="J221">
        <f t="shared" si="33"/>
        <v>27508.907999999999</v>
      </c>
      <c r="K221">
        <f t="shared" si="37"/>
        <v>3085.7142857142853</v>
      </c>
      <c r="L221">
        <f t="shared" si="34"/>
        <v>1542.8571428571427</v>
      </c>
      <c r="M221">
        <v>9.6</v>
      </c>
      <c r="N221">
        <v>30</v>
      </c>
      <c r="O221">
        <v>570</v>
      </c>
      <c r="P221">
        <v>900</v>
      </c>
      <c r="Q221">
        <f t="shared" si="35"/>
        <v>2592.6534984323243</v>
      </c>
      <c r="R221">
        <f t="shared" si="29"/>
        <v>20183.587069627905</v>
      </c>
    </row>
    <row r="222" spans="1:18" x14ac:dyDescent="0.25">
      <c r="A222" t="s">
        <v>13</v>
      </c>
      <c r="B222">
        <v>65200</v>
      </c>
      <c r="C222">
        <v>-24.6</v>
      </c>
      <c r="D222">
        <v>20000</v>
      </c>
      <c r="E222">
        <f t="shared" si="31"/>
        <v>0.65390720062118801</v>
      </c>
      <c r="F222">
        <f t="shared" si="32"/>
        <v>46.629465299560287</v>
      </c>
      <c r="G222">
        <v>161</v>
      </c>
      <c r="H222">
        <f t="shared" si="28"/>
        <v>220.52295863761717</v>
      </c>
      <c r="I222">
        <v>73.400000000000006</v>
      </c>
      <c r="J222">
        <f t="shared" si="33"/>
        <v>25986.536000000004</v>
      </c>
      <c r="K222">
        <f t="shared" si="37"/>
        <v>2887.5000000000005</v>
      </c>
      <c r="L222">
        <f t="shared" si="34"/>
        <v>1443.7500000000002</v>
      </c>
      <c r="M222">
        <v>11.2</v>
      </c>
      <c r="N222">
        <v>36</v>
      </c>
      <c r="O222">
        <v>647</v>
      </c>
      <c r="P222">
        <v>900</v>
      </c>
      <c r="Q222">
        <f t="shared" si="35"/>
        <v>2449.1733176954008</v>
      </c>
      <c r="R222">
        <f t="shared" si="29"/>
        <v>18547.860037390419</v>
      </c>
    </row>
    <row r="223" spans="1:18" x14ac:dyDescent="0.25">
      <c r="A223" t="s">
        <v>13</v>
      </c>
      <c r="B223">
        <v>65200</v>
      </c>
      <c r="C223">
        <v>-28.6</v>
      </c>
      <c r="D223">
        <v>22000</v>
      </c>
      <c r="E223">
        <f t="shared" si="31"/>
        <v>0.61027828449683619</v>
      </c>
      <c r="F223">
        <f t="shared" si="32"/>
        <v>42.817975778504902</v>
      </c>
      <c r="G223">
        <v>162</v>
      </c>
      <c r="H223">
        <f t="shared" si="28"/>
        <v>229.68733592387304</v>
      </c>
      <c r="I223">
        <v>68.400000000000006</v>
      </c>
      <c r="J223">
        <f t="shared" si="33"/>
        <v>24216.336000000003</v>
      </c>
      <c r="K223">
        <f t="shared" si="37"/>
        <v>2684.2105263157891</v>
      </c>
      <c r="L223">
        <f t="shared" si="34"/>
        <v>1342.1052631578946</v>
      </c>
      <c r="M223">
        <v>13.1</v>
      </c>
      <c r="N223">
        <v>42</v>
      </c>
      <c r="O223">
        <v>732</v>
      </c>
      <c r="P223">
        <v>900</v>
      </c>
      <c r="Q223">
        <f t="shared" si="35"/>
        <v>2282.3358982338614</v>
      </c>
      <c r="R223">
        <f t="shared" si="29"/>
        <v>16687.111920137915</v>
      </c>
    </row>
    <row r="224" spans="1:18" x14ac:dyDescent="0.25">
      <c r="A224" t="s">
        <v>13</v>
      </c>
      <c r="B224">
        <v>65200</v>
      </c>
      <c r="C224">
        <v>-32.5</v>
      </c>
      <c r="D224">
        <v>24000</v>
      </c>
      <c r="E224">
        <f t="shared" si="31"/>
        <v>0.56991930881758013</v>
      </c>
      <c r="F224">
        <f t="shared" si="32"/>
        <v>39.348645330248132</v>
      </c>
      <c r="G224">
        <v>162</v>
      </c>
      <c r="H224">
        <f t="shared" si="28"/>
        <v>237.68092192881477</v>
      </c>
      <c r="I224">
        <v>64.2</v>
      </c>
      <c r="J224">
        <f t="shared" si="33"/>
        <v>22729.368000000002</v>
      </c>
      <c r="K224">
        <f t="shared" si="37"/>
        <v>2590.9090909090896</v>
      </c>
      <c r="L224">
        <f t="shared" si="34"/>
        <v>1295.4545454545448</v>
      </c>
      <c r="M224">
        <v>15.3</v>
      </c>
      <c r="N224">
        <v>51</v>
      </c>
      <c r="O224">
        <v>827</v>
      </c>
      <c r="P224">
        <v>900</v>
      </c>
      <c r="Q224">
        <f t="shared" si="35"/>
        <v>2142.1924658861676</v>
      </c>
      <c r="R224">
        <f t="shared" si="29"/>
        <v>15189.924219584733</v>
      </c>
    </row>
    <row r="225" spans="1:18" x14ac:dyDescent="0.25">
      <c r="A225" t="s">
        <v>13</v>
      </c>
      <c r="B225">
        <v>65200</v>
      </c>
      <c r="C225">
        <v>-34.5</v>
      </c>
      <c r="D225">
        <v>25000</v>
      </c>
      <c r="E225">
        <f t="shared" si="31"/>
        <v>0.55003181210936014</v>
      </c>
      <c r="F225">
        <f t="shared" si="32"/>
        <v>37.659954883294965</v>
      </c>
      <c r="G225">
        <v>162</v>
      </c>
      <c r="H225">
        <f t="shared" si="28"/>
        <v>241.93968155136855</v>
      </c>
      <c r="I225">
        <v>62.2</v>
      </c>
      <c r="J225">
        <f t="shared" si="33"/>
        <v>22021.288</v>
      </c>
      <c r="K225">
        <f t="shared" si="37"/>
        <v>2314.2857142857165</v>
      </c>
      <c r="L225">
        <f t="shared" si="34"/>
        <v>1157.1428571428582</v>
      </c>
      <c r="M225">
        <v>16.7</v>
      </c>
      <c r="N225">
        <v>57</v>
      </c>
      <c r="O225">
        <v>881</v>
      </c>
      <c r="P225">
        <v>900</v>
      </c>
      <c r="Q225">
        <f t="shared" si="35"/>
        <v>2075.4574981015521</v>
      </c>
      <c r="R225">
        <f t="shared" si="29"/>
        <v>14478.849756849124</v>
      </c>
    </row>
    <row r="226" spans="1:18" x14ac:dyDescent="0.25">
      <c r="A226" t="s">
        <v>14</v>
      </c>
      <c r="B226">
        <v>42000</v>
      </c>
      <c r="C226">
        <v>15</v>
      </c>
      <c r="D226">
        <v>0</v>
      </c>
      <c r="E226">
        <f t="shared" si="31"/>
        <v>1.226794975834826</v>
      </c>
      <c r="F226">
        <f t="shared" si="32"/>
        <v>101.41942894908438</v>
      </c>
      <c r="G226">
        <v>240</v>
      </c>
      <c r="H226">
        <f t="shared" si="28"/>
        <v>240</v>
      </c>
      <c r="I226">
        <v>11.7</v>
      </c>
      <c r="J226">
        <f t="shared" si="33"/>
        <v>4142.268</v>
      </c>
      <c r="K226">
        <f>K227</f>
        <v>1500</v>
      </c>
      <c r="L226">
        <f t="shared" si="34"/>
        <v>750</v>
      </c>
      <c r="M226">
        <v>0</v>
      </c>
      <c r="N226">
        <v>0</v>
      </c>
      <c r="O226">
        <v>0</v>
      </c>
      <c r="P226">
        <v>850</v>
      </c>
      <c r="Q226">
        <f t="shared" si="35"/>
        <v>368.71069701000238</v>
      </c>
      <c r="R226">
        <f t="shared" si="29"/>
        <v>2591.361395869732</v>
      </c>
    </row>
    <row r="227" spans="1:18" x14ac:dyDescent="0.25">
      <c r="A227" t="s">
        <v>14</v>
      </c>
      <c r="B227">
        <v>42000</v>
      </c>
      <c r="C227">
        <v>11</v>
      </c>
      <c r="D227">
        <v>2000</v>
      </c>
      <c r="E227">
        <f t="shared" si="31"/>
        <v>1.1559364750414849</v>
      </c>
      <c r="F227">
        <f t="shared" si="32"/>
        <v>94.234987337993573</v>
      </c>
      <c r="G227">
        <v>240</v>
      </c>
      <c r="H227">
        <f t="shared" si="28"/>
        <v>247.24655672556227</v>
      </c>
      <c r="I227">
        <v>12.6</v>
      </c>
      <c r="J227">
        <f t="shared" si="33"/>
        <v>4460.9040000000005</v>
      </c>
      <c r="K227">
        <f>(O227-O226)/((M227-M226)/60)</f>
        <v>1500</v>
      </c>
      <c r="L227">
        <f t="shared" si="34"/>
        <v>750</v>
      </c>
      <c r="M227">
        <v>1</v>
      </c>
      <c r="N227">
        <v>4</v>
      </c>
      <c r="O227">
        <v>25</v>
      </c>
      <c r="P227">
        <v>850</v>
      </c>
      <c r="Q227">
        <f t="shared" si="35"/>
        <v>397.07305831846412</v>
      </c>
      <c r="R227">
        <f t="shared" si="29"/>
        <v>2714.4842219782172</v>
      </c>
    </row>
    <row r="228" spans="1:18" x14ac:dyDescent="0.25">
      <c r="A228" t="s">
        <v>14</v>
      </c>
      <c r="B228">
        <v>42000</v>
      </c>
      <c r="C228">
        <v>7.1</v>
      </c>
      <c r="D228">
        <v>4000</v>
      </c>
      <c r="E228">
        <f t="shared" si="31"/>
        <v>1.0899066174514316</v>
      </c>
      <c r="F228">
        <f t="shared" si="32"/>
        <v>87.632551945245098</v>
      </c>
      <c r="G228">
        <v>240</v>
      </c>
      <c r="H228">
        <f t="shared" si="28"/>
        <v>254.62590837501571</v>
      </c>
      <c r="I228">
        <v>13.6</v>
      </c>
      <c r="J228">
        <f t="shared" si="33"/>
        <v>4814.9440000000004</v>
      </c>
      <c r="K228">
        <f t="shared" ref="K228:K239" si="38">(O228-O227)/((M228-M227)/60)</f>
        <v>1500</v>
      </c>
      <c r="L228">
        <f t="shared" si="34"/>
        <v>750</v>
      </c>
      <c r="M228">
        <v>2</v>
      </c>
      <c r="N228">
        <v>8</v>
      </c>
      <c r="O228">
        <v>50</v>
      </c>
      <c r="P228">
        <v>850</v>
      </c>
      <c r="Q228">
        <f t="shared" si="35"/>
        <v>428.58679310564384</v>
      </c>
      <c r="R228">
        <f t="shared" si="29"/>
        <v>2848.7257546659025</v>
      </c>
    </row>
    <row r="229" spans="1:18" x14ac:dyDescent="0.25">
      <c r="A229" t="s">
        <v>14</v>
      </c>
      <c r="B229">
        <v>42000</v>
      </c>
      <c r="C229">
        <v>3.1</v>
      </c>
      <c r="D229">
        <v>6000</v>
      </c>
      <c r="E229">
        <f t="shared" si="31"/>
        <v>1.0252213873142479</v>
      </c>
      <c r="F229">
        <f t="shared" si="32"/>
        <v>81.255074425651443</v>
      </c>
      <c r="G229">
        <v>240</v>
      </c>
      <c r="H229">
        <f t="shared" si="28"/>
        <v>262.53572390791726</v>
      </c>
      <c r="I229">
        <v>14.6</v>
      </c>
      <c r="J229">
        <f t="shared" si="33"/>
        <v>5168.9839999999995</v>
      </c>
      <c r="K229">
        <f t="shared" si="38"/>
        <v>1440</v>
      </c>
      <c r="L229">
        <f t="shared" si="34"/>
        <v>720</v>
      </c>
      <c r="M229">
        <v>3</v>
      </c>
      <c r="N229">
        <v>13</v>
      </c>
      <c r="O229">
        <v>74</v>
      </c>
      <c r="P229">
        <v>850</v>
      </c>
      <c r="Q229">
        <f t="shared" si="35"/>
        <v>460.10052789282344</v>
      </c>
      <c r="R229">
        <f t="shared" si="29"/>
        <v>2967.8535794894115</v>
      </c>
    </row>
    <row r="230" spans="1:18" x14ac:dyDescent="0.25">
      <c r="A230" t="s">
        <v>14</v>
      </c>
      <c r="B230">
        <v>42000</v>
      </c>
      <c r="C230">
        <v>-0.8</v>
      </c>
      <c r="D230">
        <v>8000</v>
      </c>
      <c r="E230">
        <f t="shared" si="31"/>
        <v>0.96502208599689476</v>
      </c>
      <c r="F230">
        <f t="shared" si="32"/>
        <v>75.404138213287837</v>
      </c>
      <c r="G230">
        <v>240</v>
      </c>
      <c r="H230">
        <f t="shared" si="28"/>
        <v>270.60050926699228</v>
      </c>
      <c r="I230">
        <v>15.6</v>
      </c>
      <c r="J230">
        <f t="shared" si="33"/>
        <v>5523.0240000000003</v>
      </c>
      <c r="K230">
        <f t="shared" si="38"/>
        <v>1440</v>
      </c>
      <c r="L230">
        <f t="shared" si="34"/>
        <v>720</v>
      </c>
      <c r="M230">
        <v>4</v>
      </c>
      <c r="N230">
        <v>17</v>
      </c>
      <c r="O230">
        <v>98</v>
      </c>
      <c r="P230">
        <v>850</v>
      </c>
      <c r="Q230">
        <f t="shared" si="35"/>
        <v>491.61426268000321</v>
      </c>
      <c r="R230">
        <f t="shared" si="29"/>
        <v>3076.2298038567701</v>
      </c>
    </row>
    <row r="231" spans="1:18" x14ac:dyDescent="0.25">
      <c r="A231" t="s">
        <v>14</v>
      </c>
      <c r="B231">
        <v>42000</v>
      </c>
      <c r="C231">
        <v>-4.8</v>
      </c>
      <c r="D231">
        <v>10000</v>
      </c>
      <c r="E231">
        <f t="shared" si="31"/>
        <v>0.90612712934108608</v>
      </c>
      <c r="F231">
        <f t="shared" si="32"/>
        <v>69.762378829025408</v>
      </c>
      <c r="G231">
        <v>277</v>
      </c>
      <c r="H231">
        <f t="shared" si="28"/>
        <v>322.30808275070223</v>
      </c>
      <c r="I231">
        <v>37.700000000000003</v>
      </c>
      <c r="J231">
        <f t="shared" si="33"/>
        <v>13347.308000000001</v>
      </c>
      <c r="K231">
        <f t="shared" si="38"/>
        <v>1680</v>
      </c>
      <c r="L231">
        <f t="shared" si="34"/>
        <v>840</v>
      </c>
      <c r="M231">
        <v>5</v>
      </c>
      <c r="N231">
        <v>22</v>
      </c>
      <c r="O231">
        <v>126</v>
      </c>
      <c r="P231">
        <v>850</v>
      </c>
      <c r="Q231">
        <f t="shared" si="35"/>
        <v>1188.0678014766743</v>
      </c>
      <c r="R231">
        <f t="shared" si="29"/>
        <v>6166.8332098899727</v>
      </c>
    </row>
    <row r="232" spans="1:18" x14ac:dyDescent="0.25">
      <c r="A232" t="s">
        <v>14</v>
      </c>
      <c r="B232">
        <v>42000</v>
      </c>
      <c r="C232">
        <v>-8.8000000000000007</v>
      </c>
      <c r="D232">
        <v>12000</v>
      </c>
      <c r="E232">
        <f t="shared" si="31"/>
        <v>0.85002224022584971</v>
      </c>
      <c r="F232">
        <f t="shared" si="32"/>
        <v>64.467399493542487</v>
      </c>
      <c r="G232">
        <v>278</v>
      </c>
      <c r="H232">
        <f t="shared" si="28"/>
        <v>333.97629756317571</v>
      </c>
      <c r="I232">
        <v>37.299999999999997</v>
      </c>
      <c r="J232">
        <f t="shared" si="33"/>
        <v>13205.691999999999</v>
      </c>
      <c r="K232">
        <f t="shared" si="38"/>
        <v>1800</v>
      </c>
      <c r="L232">
        <f t="shared" si="34"/>
        <v>900</v>
      </c>
      <c r="M232">
        <v>6</v>
      </c>
      <c r="N232">
        <v>27</v>
      </c>
      <c r="O232">
        <v>156</v>
      </c>
      <c r="P232">
        <v>850</v>
      </c>
      <c r="Q232">
        <f t="shared" si="35"/>
        <v>1175.4623075618024</v>
      </c>
      <c r="R232">
        <f t="shared" si="29"/>
        <v>5866.3785515609461</v>
      </c>
    </row>
    <row r="233" spans="1:18" x14ac:dyDescent="0.25">
      <c r="A233" t="s">
        <v>14</v>
      </c>
      <c r="B233">
        <v>42000</v>
      </c>
      <c r="C233">
        <v>-12.7</v>
      </c>
      <c r="D233">
        <v>14000</v>
      </c>
      <c r="E233">
        <f t="shared" si="31"/>
        <v>0.79791753463950577</v>
      </c>
      <c r="F233">
        <f t="shared" si="32"/>
        <v>59.622875722208917</v>
      </c>
      <c r="G233">
        <v>278</v>
      </c>
      <c r="H233">
        <f t="shared" si="28"/>
        <v>344.70833583724578</v>
      </c>
      <c r="I233">
        <v>39.700000000000003</v>
      </c>
      <c r="J233">
        <f t="shared" si="33"/>
        <v>14055.388000000001</v>
      </c>
      <c r="K233">
        <f t="shared" si="38"/>
        <v>1860</v>
      </c>
      <c r="L233">
        <f t="shared" si="34"/>
        <v>930</v>
      </c>
      <c r="M233">
        <v>7</v>
      </c>
      <c r="N233">
        <v>33</v>
      </c>
      <c r="O233">
        <v>187</v>
      </c>
      <c r="P233">
        <v>850</v>
      </c>
      <c r="Q233">
        <f t="shared" si="35"/>
        <v>1251.0952710510339</v>
      </c>
      <c r="R233">
        <f t="shared" si="29"/>
        <v>6030.3144358679465</v>
      </c>
    </row>
    <row r="234" spans="1:18" x14ac:dyDescent="0.25">
      <c r="A234" t="s">
        <v>14</v>
      </c>
      <c r="B234">
        <v>42000</v>
      </c>
      <c r="C234">
        <v>-16.7</v>
      </c>
      <c r="D234">
        <v>16000</v>
      </c>
      <c r="E234">
        <f t="shared" si="31"/>
        <v>0.74705165293004538</v>
      </c>
      <c r="F234">
        <f t="shared" si="32"/>
        <v>54.964702625412812</v>
      </c>
      <c r="G234">
        <v>280</v>
      </c>
      <c r="H234">
        <f t="shared" si="28"/>
        <v>358.81344681208463</v>
      </c>
      <c r="I234">
        <v>42.4</v>
      </c>
      <c r="J234">
        <f t="shared" si="33"/>
        <v>15011.296</v>
      </c>
      <c r="K234">
        <f t="shared" si="38"/>
        <v>1800</v>
      </c>
      <c r="L234">
        <f t="shared" si="34"/>
        <v>900</v>
      </c>
      <c r="M234">
        <v>8</v>
      </c>
      <c r="N234">
        <v>39</v>
      </c>
      <c r="O234">
        <v>217</v>
      </c>
      <c r="P234">
        <v>850</v>
      </c>
      <c r="Q234">
        <f t="shared" si="35"/>
        <v>1336.182354976419</v>
      </c>
      <c r="R234">
        <f t="shared" si="29"/>
        <v>6166.4526921183024</v>
      </c>
    </row>
    <row r="235" spans="1:18" x14ac:dyDescent="0.25">
      <c r="A235" t="s">
        <v>14</v>
      </c>
      <c r="B235">
        <v>42000</v>
      </c>
      <c r="C235">
        <v>-20.7</v>
      </c>
      <c r="D235">
        <v>18000</v>
      </c>
      <c r="E235">
        <f t="shared" si="31"/>
        <v>0.69870446964341482</v>
      </c>
      <c r="F235">
        <f t="shared" si="32"/>
        <v>50.605700950408632</v>
      </c>
      <c r="G235">
        <v>281</v>
      </c>
      <c r="H235">
        <f t="shared" si="28"/>
        <v>372.34502331878969</v>
      </c>
      <c r="I235">
        <v>45.1</v>
      </c>
      <c r="J235">
        <f t="shared" si="33"/>
        <v>15967.204</v>
      </c>
      <c r="K235">
        <f t="shared" si="38"/>
        <v>1860</v>
      </c>
      <c r="L235">
        <f t="shared" si="34"/>
        <v>930</v>
      </c>
      <c r="M235">
        <v>9</v>
      </c>
      <c r="N235">
        <v>45</v>
      </c>
      <c r="O235">
        <v>248</v>
      </c>
      <c r="P235">
        <v>850</v>
      </c>
      <c r="Q235">
        <f t="shared" si="35"/>
        <v>1421.2694389018038</v>
      </c>
      <c r="R235">
        <f t="shared" si="29"/>
        <v>6308.7500327300631</v>
      </c>
    </row>
    <row r="236" spans="1:18" x14ac:dyDescent="0.25">
      <c r="A236" t="s">
        <v>14</v>
      </c>
      <c r="B236">
        <v>42000</v>
      </c>
      <c r="C236">
        <v>-24.6</v>
      </c>
      <c r="D236">
        <v>20000</v>
      </c>
      <c r="E236">
        <f t="shared" si="31"/>
        <v>0.65390720062118801</v>
      </c>
      <c r="F236">
        <f t="shared" si="32"/>
        <v>46.629465299560287</v>
      </c>
      <c r="G236">
        <v>270</v>
      </c>
      <c r="H236">
        <f t="shared" si="28"/>
        <v>369.82111075873684</v>
      </c>
      <c r="I236">
        <v>45.6</v>
      </c>
      <c r="J236">
        <f t="shared" si="33"/>
        <v>16144.224</v>
      </c>
      <c r="K236">
        <f t="shared" si="38"/>
        <v>1860</v>
      </c>
      <c r="L236">
        <f t="shared" si="34"/>
        <v>930</v>
      </c>
      <c r="M236">
        <v>10</v>
      </c>
      <c r="N236">
        <v>51</v>
      </c>
      <c r="O236">
        <v>279</v>
      </c>
      <c r="P236">
        <v>850</v>
      </c>
      <c r="Q236">
        <f t="shared" si="35"/>
        <v>1437.0263062953941</v>
      </c>
      <c r="R236">
        <f t="shared" si="29"/>
        <v>6423.7174502223561</v>
      </c>
    </row>
    <row r="237" spans="1:18" x14ac:dyDescent="0.25">
      <c r="A237" t="s">
        <v>14</v>
      </c>
      <c r="B237">
        <v>42000</v>
      </c>
      <c r="C237">
        <v>-28.6</v>
      </c>
      <c r="D237">
        <v>22000</v>
      </c>
      <c r="E237">
        <f t="shared" si="31"/>
        <v>0.61027828449683619</v>
      </c>
      <c r="F237">
        <f t="shared" si="32"/>
        <v>42.817975778504902</v>
      </c>
      <c r="G237">
        <v>259</v>
      </c>
      <c r="H237">
        <f t="shared" si="28"/>
        <v>367.21617286594517</v>
      </c>
      <c r="I237">
        <v>53.2</v>
      </c>
      <c r="J237">
        <f t="shared" si="33"/>
        <v>18834.928</v>
      </c>
      <c r="K237">
        <f t="shared" si="38"/>
        <v>2047.0588235294126</v>
      </c>
      <c r="L237">
        <f t="shared" si="34"/>
        <v>1023.5294117647063</v>
      </c>
      <c r="M237">
        <v>11.7</v>
      </c>
      <c r="N237">
        <v>61</v>
      </c>
      <c r="O237">
        <v>337</v>
      </c>
      <c r="P237">
        <v>850</v>
      </c>
      <c r="Q237">
        <f t="shared" si="35"/>
        <v>1676.5306906779595</v>
      </c>
      <c r="R237">
        <f t="shared" si="29"/>
        <v>7549.7832728022686</v>
      </c>
    </row>
    <row r="238" spans="1:18" x14ac:dyDescent="0.25">
      <c r="A238" t="s">
        <v>14</v>
      </c>
      <c r="B238">
        <v>42000</v>
      </c>
      <c r="C238">
        <v>-32.5</v>
      </c>
      <c r="D238">
        <v>24000</v>
      </c>
      <c r="E238">
        <f t="shared" si="31"/>
        <v>0.56991930881758013</v>
      </c>
      <c r="F238">
        <f t="shared" si="32"/>
        <v>39.348645330248132</v>
      </c>
      <c r="G238">
        <v>249</v>
      </c>
      <c r="H238">
        <f t="shared" si="28"/>
        <v>365.3243800016968</v>
      </c>
      <c r="I238">
        <v>47.2</v>
      </c>
      <c r="J238">
        <f t="shared" si="33"/>
        <v>16710.688000000002</v>
      </c>
      <c r="K238">
        <f t="shared" si="38"/>
        <v>1830</v>
      </c>
      <c r="L238">
        <f t="shared" si="34"/>
        <v>915</v>
      </c>
      <c r="M238">
        <v>13.7</v>
      </c>
      <c r="N238">
        <v>73</v>
      </c>
      <c r="O238">
        <v>398</v>
      </c>
      <c r="P238">
        <v>850</v>
      </c>
      <c r="Q238">
        <f t="shared" si="35"/>
        <v>1487.4482819548814</v>
      </c>
      <c r="R238">
        <f t="shared" si="29"/>
        <v>6734.7244069476747</v>
      </c>
    </row>
    <row r="239" spans="1:18" x14ac:dyDescent="0.25">
      <c r="A239" t="s">
        <v>14</v>
      </c>
      <c r="B239">
        <v>42000</v>
      </c>
      <c r="C239">
        <v>-34.5</v>
      </c>
      <c r="D239">
        <v>25000</v>
      </c>
      <c r="E239">
        <f t="shared" si="31"/>
        <v>0.55003181210936014</v>
      </c>
      <c r="F239">
        <f t="shared" si="32"/>
        <v>37.659954883294965</v>
      </c>
      <c r="G239">
        <v>243</v>
      </c>
      <c r="H239">
        <f t="shared" si="28"/>
        <v>362.9095223270528</v>
      </c>
      <c r="I239">
        <v>44.4</v>
      </c>
      <c r="J239">
        <f t="shared" si="33"/>
        <v>15719.376</v>
      </c>
      <c r="K239">
        <f t="shared" si="38"/>
        <v>1799.9999999999993</v>
      </c>
      <c r="L239">
        <f t="shared" si="34"/>
        <v>899.99999999999966</v>
      </c>
      <c r="M239">
        <v>14.6</v>
      </c>
      <c r="N239">
        <v>78</v>
      </c>
      <c r="O239">
        <v>425</v>
      </c>
      <c r="P239">
        <v>850</v>
      </c>
      <c r="Q239">
        <f t="shared" si="35"/>
        <v>1399.2098245507784</v>
      </c>
      <c r="R239">
        <f t="shared" si="29"/>
        <v>6379.7386026035747</v>
      </c>
    </row>
    <row r="240" spans="1:18" x14ac:dyDescent="0.25">
      <c r="A240" t="s">
        <v>14</v>
      </c>
      <c r="B240">
        <v>50000</v>
      </c>
      <c r="C240">
        <v>15</v>
      </c>
      <c r="D240">
        <v>0</v>
      </c>
      <c r="E240">
        <f t="shared" si="31"/>
        <v>1.226794975834826</v>
      </c>
      <c r="F240">
        <f t="shared" si="32"/>
        <v>101.41942894908438</v>
      </c>
      <c r="G240">
        <v>240</v>
      </c>
      <c r="H240">
        <f t="shared" si="28"/>
        <v>240</v>
      </c>
      <c r="I240">
        <v>7.5</v>
      </c>
      <c r="J240">
        <f t="shared" si="33"/>
        <v>2655.2999999999997</v>
      </c>
      <c r="K240">
        <f>K241</f>
        <v>1320</v>
      </c>
      <c r="L240">
        <f t="shared" si="34"/>
        <v>660</v>
      </c>
      <c r="M240">
        <v>0</v>
      </c>
      <c r="N240">
        <v>0</v>
      </c>
      <c r="O240">
        <v>0</v>
      </c>
      <c r="P240">
        <v>850</v>
      </c>
      <c r="Q240">
        <f t="shared" si="35"/>
        <v>236.35301090384766</v>
      </c>
      <c r="R240">
        <f t="shared" si="29"/>
        <v>1661.1290999164946</v>
      </c>
    </row>
    <row r="241" spans="1:18" x14ac:dyDescent="0.25">
      <c r="A241" t="s">
        <v>14</v>
      </c>
      <c r="B241">
        <v>50000</v>
      </c>
      <c r="C241">
        <v>11</v>
      </c>
      <c r="D241">
        <v>2000</v>
      </c>
      <c r="E241">
        <f t="shared" si="31"/>
        <v>1.1559364750414849</v>
      </c>
      <c r="F241">
        <f t="shared" si="32"/>
        <v>94.234987337993573</v>
      </c>
      <c r="G241">
        <v>240</v>
      </c>
      <c r="H241">
        <f t="shared" si="28"/>
        <v>247.24655672556227</v>
      </c>
      <c r="I241">
        <v>8.5</v>
      </c>
      <c r="J241">
        <f t="shared" si="33"/>
        <v>3009.34</v>
      </c>
      <c r="K241">
        <f>(O241-O240)/((M241-M240)/60)</f>
        <v>1320</v>
      </c>
      <c r="L241">
        <f t="shared" si="34"/>
        <v>660</v>
      </c>
      <c r="M241">
        <v>1</v>
      </c>
      <c r="N241">
        <v>4</v>
      </c>
      <c r="O241">
        <v>22</v>
      </c>
      <c r="P241">
        <v>850</v>
      </c>
      <c r="Q241">
        <f t="shared" si="35"/>
        <v>267.8667456910274</v>
      </c>
      <c r="R241">
        <f t="shared" si="29"/>
        <v>1831.1996735567334</v>
      </c>
    </row>
    <row r="242" spans="1:18" x14ac:dyDescent="0.25">
      <c r="A242" t="s">
        <v>14</v>
      </c>
      <c r="B242">
        <v>50000</v>
      </c>
      <c r="C242">
        <v>7.1</v>
      </c>
      <c r="D242">
        <v>4000</v>
      </c>
      <c r="E242">
        <f t="shared" si="31"/>
        <v>1.0899066174514316</v>
      </c>
      <c r="F242">
        <f t="shared" si="32"/>
        <v>87.632551945245098</v>
      </c>
      <c r="G242">
        <v>240</v>
      </c>
      <c r="H242">
        <f t="shared" si="28"/>
        <v>254.62590837501571</v>
      </c>
      <c r="I242">
        <v>9.4</v>
      </c>
      <c r="J242">
        <f t="shared" si="33"/>
        <v>3327.9760000000001</v>
      </c>
      <c r="K242">
        <f t="shared" ref="K242:K253" si="39">(O242-O241)/((M242-M241)/60)</f>
        <v>1260</v>
      </c>
      <c r="L242">
        <f t="shared" si="34"/>
        <v>630</v>
      </c>
      <c r="M242">
        <v>2</v>
      </c>
      <c r="N242">
        <v>8</v>
      </c>
      <c r="O242">
        <v>43</v>
      </c>
      <c r="P242">
        <v>850</v>
      </c>
      <c r="Q242">
        <f t="shared" si="35"/>
        <v>296.22910699948909</v>
      </c>
      <c r="R242">
        <f t="shared" si="29"/>
        <v>1968.9722127837852</v>
      </c>
    </row>
    <row r="243" spans="1:18" x14ac:dyDescent="0.25">
      <c r="A243" t="s">
        <v>14</v>
      </c>
      <c r="B243">
        <v>50000</v>
      </c>
      <c r="C243">
        <v>3.1</v>
      </c>
      <c r="D243">
        <v>6000</v>
      </c>
      <c r="E243">
        <f t="shared" si="31"/>
        <v>1.0252213873142479</v>
      </c>
      <c r="F243">
        <f t="shared" si="32"/>
        <v>81.255074425651443</v>
      </c>
      <c r="G243">
        <v>240</v>
      </c>
      <c r="H243">
        <f t="shared" ref="H243:H281" si="40">G243*SQRT($E$114/E243)</f>
        <v>262.53572390791726</v>
      </c>
      <c r="I243">
        <v>10.4</v>
      </c>
      <c r="J243">
        <f t="shared" si="33"/>
        <v>3682.0160000000005</v>
      </c>
      <c r="K243">
        <f t="shared" si="39"/>
        <v>1320</v>
      </c>
      <c r="L243">
        <f t="shared" si="34"/>
        <v>660</v>
      </c>
      <c r="M243">
        <v>3</v>
      </c>
      <c r="N243">
        <v>13</v>
      </c>
      <c r="O243">
        <v>65</v>
      </c>
      <c r="P243">
        <v>850</v>
      </c>
      <c r="Q243">
        <f t="shared" si="35"/>
        <v>327.74284178666881</v>
      </c>
      <c r="R243">
        <f t="shared" ref="R243:R281" si="41">Q243*1000/(H243*0.51444)*(0.0000000280836682*H243^3 - 0.0000271683584*H243^2 + 0.00848348631*H243 + 0.00836930492)</f>
        <v>2114.0874812801289</v>
      </c>
    </row>
    <row r="244" spans="1:18" x14ac:dyDescent="0.25">
      <c r="A244" t="s">
        <v>14</v>
      </c>
      <c r="B244">
        <v>50000</v>
      </c>
      <c r="C244">
        <v>-0.8</v>
      </c>
      <c r="D244">
        <v>8000</v>
      </c>
      <c r="E244">
        <f t="shared" si="31"/>
        <v>0.96502208599689476</v>
      </c>
      <c r="F244">
        <f t="shared" si="32"/>
        <v>75.404138213287837</v>
      </c>
      <c r="G244">
        <v>240</v>
      </c>
      <c r="H244">
        <f t="shared" si="40"/>
        <v>270.60050926699228</v>
      </c>
      <c r="I244">
        <v>11.5</v>
      </c>
      <c r="J244">
        <f t="shared" si="33"/>
        <v>4071.46</v>
      </c>
      <c r="K244">
        <f t="shared" si="39"/>
        <v>1260</v>
      </c>
      <c r="L244">
        <f t="shared" si="34"/>
        <v>630</v>
      </c>
      <c r="M244">
        <v>4</v>
      </c>
      <c r="N244">
        <v>17</v>
      </c>
      <c r="O244">
        <v>86</v>
      </c>
      <c r="P244">
        <v>850</v>
      </c>
      <c r="Q244">
        <f t="shared" si="35"/>
        <v>362.40795005256643</v>
      </c>
      <c r="R244">
        <f t="shared" si="41"/>
        <v>2267.7335092533881</v>
      </c>
    </row>
    <row r="245" spans="1:18" x14ac:dyDescent="0.25">
      <c r="A245" t="s">
        <v>14</v>
      </c>
      <c r="B245">
        <v>50000</v>
      </c>
      <c r="C245">
        <v>-4.8</v>
      </c>
      <c r="D245">
        <v>10000</v>
      </c>
      <c r="E245">
        <f t="shared" si="31"/>
        <v>0.90612712934108608</v>
      </c>
      <c r="F245">
        <f t="shared" si="32"/>
        <v>69.762378829025408</v>
      </c>
      <c r="G245">
        <v>277</v>
      </c>
      <c r="H245">
        <f t="shared" si="40"/>
        <v>322.30808275070223</v>
      </c>
      <c r="I245">
        <v>33.4</v>
      </c>
      <c r="J245">
        <f t="shared" si="33"/>
        <v>11824.935999999998</v>
      </c>
      <c r="K245">
        <f t="shared" si="39"/>
        <v>1560</v>
      </c>
      <c r="L245">
        <f t="shared" si="34"/>
        <v>780</v>
      </c>
      <c r="M245">
        <v>5</v>
      </c>
      <c r="N245">
        <v>22</v>
      </c>
      <c r="O245">
        <v>112</v>
      </c>
      <c r="P245">
        <v>850</v>
      </c>
      <c r="Q245">
        <f t="shared" si="35"/>
        <v>1052.5587418918014</v>
      </c>
      <c r="R245">
        <f t="shared" si="41"/>
        <v>5463.4543557115385</v>
      </c>
    </row>
    <row r="246" spans="1:18" x14ac:dyDescent="0.25">
      <c r="A246" t="s">
        <v>14</v>
      </c>
      <c r="B246">
        <v>50000</v>
      </c>
      <c r="C246">
        <v>-8.8000000000000007</v>
      </c>
      <c r="D246">
        <v>12000</v>
      </c>
      <c r="E246">
        <f t="shared" si="31"/>
        <v>0.85002224022584971</v>
      </c>
      <c r="F246">
        <f t="shared" si="32"/>
        <v>64.467399493542487</v>
      </c>
      <c r="G246">
        <v>278</v>
      </c>
      <c r="H246">
        <f t="shared" si="40"/>
        <v>333.97629756317571</v>
      </c>
      <c r="I246">
        <v>32.5</v>
      </c>
      <c r="J246">
        <f t="shared" si="33"/>
        <v>11506.300000000001</v>
      </c>
      <c r="K246">
        <f t="shared" si="39"/>
        <v>1740</v>
      </c>
      <c r="L246">
        <f t="shared" si="34"/>
        <v>870</v>
      </c>
      <c r="M246">
        <v>6</v>
      </c>
      <c r="N246">
        <v>27</v>
      </c>
      <c r="O246">
        <v>141</v>
      </c>
      <c r="P246">
        <v>850</v>
      </c>
      <c r="Q246">
        <f t="shared" si="35"/>
        <v>1024.19638058334</v>
      </c>
      <c r="R246">
        <f t="shared" si="41"/>
        <v>5111.4558425128889</v>
      </c>
    </row>
    <row r="247" spans="1:18" x14ac:dyDescent="0.25">
      <c r="A247" t="s">
        <v>14</v>
      </c>
      <c r="B247">
        <v>50000</v>
      </c>
      <c r="C247">
        <v>-12.7</v>
      </c>
      <c r="D247">
        <v>14000</v>
      </c>
      <c r="E247">
        <f t="shared" si="31"/>
        <v>0.79791753463950577</v>
      </c>
      <c r="F247">
        <f t="shared" si="32"/>
        <v>59.622875722208917</v>
      </c>
      <c r="G247">
        <v>278</v>
      </c>
      <c r="H247">
        <f t="shared" si="40"/>
        <v>344.70833583724578</v>
      </c>
      <c r="I247">
        <v>34.9</v>
      </c>
      <c r="J247">
        <f t="shared" si="33"/>
        <v>12355.995999999999</v>
      </c>
      <c r="K247">
        <f t="shared" si="39"/>
        <v>1740</v>
      </c>
      <c r="L247">
        <f t="shared" si="34"/>
        <v>870</v>
      </c>
      <c r="M247">
        <v>7</v>
      </c>
      <c r="N247">
        <v>33</v>
      </c>
      <c r="O247">
        <v>170</v>
      </c>
      <c r="P247">
        <v>850</v>
      </c>
      <c r="Q247">
        <f t="shared" si="35"/>
        <v>1099.8293440725711</v>
      </c>
      <c r="R247">
        <f t="shared" si="41"/>
        <v>5301.2084083574637</v>
      </c>
    </row>
    <row r="248" spans="1:18" x14ac:dyDescent="0.25">
      <c r="A248" t="s">
        <v>14</v>
      </c>
      <c r="B248">
        <v>50000</v>
      </c>
      <c r="C248">
        <v>-16.7</v>
      </c>
      <c r="D248">
        <v>16000</v>
      </c>
      <c r="E248">
        <f t="shared" si="31"/>
        <v>0.74705165293004538</v>
      </c>
      <c r="F248">
        <f t="shared" si="32"/>
        <v>54.964702625412812</v>
      </c>
      <c r="G248">
        <v>280</v>
      </c>
      <c r="H248">
        <f t="shared" si="40"/>
        <v>358.81344681208463</v>
      </c>
      <c r="I248">
        <v>37.5</v>
      </c>
      <c r="J248">
        <f t="shared" si="33"/>
        <v>13276.5</v>
      </c>
      <c r="K248">
        <f t="shared" si="39"/>
        <v>1740</v>
      </c>
      <c r="L248">
        <f t="shared" si="34"/>
        <v>870</v>
      </c>
      <c r="M248">
        <v>8</v>
      </c>
      <c r="N248">
        <v>39</v>
      </c>
      <c r="O248">
        <v>199</v>
      </c>
      <c r="P248">
        <v>850</v>
      </c>
      <c r="Q248">
        <f t="shared" si="35"/>
        <v>1181.7650545192384</v>
      </c>
      <c r="R248">
        <f t="shared" si="41"/>
        <v>5453.8201876046305</v>
      </c>
    </row>
    <row r="249" spans="1:18" x14ac:dyDescent="0.25">
      <c r="A249" t="s">
        <v>14</v>
      </c>
      <c r="B249">
        <v>50000</v>
      </c>
      <c r="C249">
        <v>-20.7</v>
      </c>
      <c r="D249">
        <v>18000</v>
      </c>
      <c r="E249">
        <f t="shared" si="31"/>
        <v>0.69870446964341482</v>
      </c>
      <c r="F249">
        <f t="shared" si="32"/>
        <v>50.605700950408632</v>
      </c>
      <c r="G249">
        <v>281</v>
      </c>
      <c r="H249">
        <f t="shared" si="40"/>
        <v>372.34502331878969</v>
      </c>
      <c r="I249">
        <v>40.200000000000003</v>
      </c>
      <c r="J249">
        <f t="shared" si="33"/>
        <v>14232.408000000001</v>
      </c>
      <c r="K249">
        <f t="shared" si="39"/>
        <v>1740</v>
      </c>
      <c r="L249">
        <f t="shared" si="34"/>
        <v>870</v>
      </c>
      <c r="M249">
        <v>9</v>
      </c>
      <c r="N249">
        <v>45</v>
      </c>
      <c r="O249">
        <v>228</v>
      </c>
      <c r="P249">
        <v>850</v>
      </c>
      <c r="Q249">
        <f t="shared" si="35"/>
        <v>1266.8521384446237</v>
      </c>
      <c r="R249">
        <f t="shared" si="41"/>
        <v>5623.3204282871084</v>
      </c>
    </row>
    <row r="250" spans="1:18" x14ac:dyDescent="0.25">
      <c r="A250" t="s">
        <v>14</v>
      </c>
      <c r="B250">
        <v>50000</v>
      </c>
      <c r="C250">
        <v>-24.6</v>
      </c>
      <c r="D250">
        <v>20000</v>
      </c>
      <c r="E250">
        <f t="shared" si="31"/>
        <v>0.65390720062118801</v>
      </c>
      <c r="F250">
        <f t="shared" si="32"/>
        <v>46.629465299560287</v>
      </c>
      <c r="G250">
        <v>270</v>
      </c>
      <c r="H250">
        <f t="shared" si="40"/>
        <v>369.82111075873684</v>
      </c>
      <c r="I250">
        <v>42</v>
      </c>
      <c r="J250">
        <f t="shared" si="33"/>
        <v>14869.68</v>
      </c>
      <c r="K250">
        <f t="shared" si="39"/>
        <v>1800</v>
      </c>
      <c r="L250">
        <f t="shared" si="34"/>
        <v>900</v>
      </c>
      <c r="M250">
        <v>10</v>
      </c>
      <c r="N250">
        <v>51</v>
      </c>
      <c r="O250">
        <v>258</v>
      </c>
      <c r="P250">
        <v>850</v>
      </c>
      <c r="Q250">
        <f t="shared" si="35"/>
        <v>1323.5768610615469</v>
      </c>
      <c r="R250">
        <f t="shared" si="41"/>
        <v>5916.5818620469063</v>
      </c>
    </row>
    <row r="251" spans="1:18" x14ac:dyDescent="0.25">
      <c r="A251" t="s">
        <v>14</v>
      </c>
      <c r="B251">
        <v>50000</v>
      </c>
      <c r="C251">
        <v>-28.6</v>
      </c>
      <c r="D251">
        <v>22000</v>
      </c>
      <c r="E251">
        <f t="shared" si="31"/>
        <v>0.61027828449683619</v>
      </c>
      <c r="F251">
        <f t="shared" si="32"/>
        <v>42.817975778504902</v>
      </c>
      <c r="G251">
        <v>259</v>
      </c>
      <c r="H251">
        <f t="shared" si="40"/>
        <v>367.21617286594517</v>
      </c>
      <c r="I251">
        <v>51.9</v>
      </c>
      <c r="J251">
        <f t="shared" si="33"/>
        <v>18374.675999999999</v>
      </c>
      <c r="K251">
        <f t="shared" si="39"/>
        <v>1976.4705882352951</v>
      </c>
      <c r="L251">
        <f t="shared" si="34"/>
        <v>988.23529411764753</v>
      </c>
      <c r="M251">
        <v>11.7</v>
      </c>
      <c r="N251">
        <v>61</v>
      </c>
      <c r="O251">
        <v>314</v>
      </c>
      <c r="P251">
        <v>850</v>
      </c>
      <c r="Q251">
        <f t="shared" si="35"/>
        <v>1635.5628354546259</v>
      </c>
      <c r="R251">
        <f t="shared" si="41"/>
        <v>7365.2960875646186</v>
      </c>
    </row>
    <row r="252" spans="1:18" x14ac:dyDescent="0.25">
      <c r="A252" t="s">
        <v>14</v>
      </c>
      <c r="B252">
        <v>50000</v>
      </c>
      <c r="C252">
        <v>-32.5</v>
      </c>
      <c r="D252">
        <v>24000</v>
      </c>
      <c r="E252">
        <f t="shared" si="31"/>
        <v>0.56991930881758013</v>
      </c>
      <c r="F252">
        <f t="shared" si="32"/>
        <v>39.348645330248132</v>
      </c>
      <c r="G252">
        <v>249</v>
      </c>
      <c r="H252">
        <f t="shared" si="40"/>
        <v>365.3243800016968</v>
      </c>
      <c r="I252">
        <v>45.9</v>
      </c>
      <c r="J252">
        <f t="shared" si="33"/>
        <v>16250.435999999998</v>
      </c>
      <c r="K252">
        <f t="shared" si="39"/>
        <v>1800</v>
      </c>
      <c r="L252">
        <f t="shared" si="34"/>
        <v>900</v>
      </c>
      <c r="M252">
        <v>13.7</v>
      </c>
      <c r="N252">
        <v>73</v>
      </c>
      <c r="O252">
        <v>374</v>
      </c>
      <c r="P252">
        <v>850</v>
      </c>
      <c r="Q252">
        <f t="shared" si="35"/>
        <v>1446.4804267315476</v>
      </c>
      <c r="R252">
        <f t="shared" si="41"/>
        <v>6549.2341160783517</v>
      </c>
    </row>
    <row r="253" spans="1:18" x14ac:dyDescent="0.25">
      <c r="A253" t="s">
        <v>14</v>
      </c>
      <c r="B253">
        <v>50000</v>
      </c>
      <c r="C253">
        <v>-34.5</v>
      </c>
      <c r="D253">
        <v>25000</v>
      </c>
      <c r="E253">
        <f t="shared" si="31"/>
        <v>0.55003181210936014</v>
      </c>
      <c r="F253">
        <f t="shared" si="32"/>
        <v>37.659954883294965</v>
      </c>
      <c r="G253">
        <v>243</v>
      </c>
      <c r="H253">
        <f t="shared" si="40"/>
        <v>362.9095223270528</v>
      </c>
      <c r="I253">
        <v>43.2</v>
      </c>
      <c r="J253">
        <f t="shared" si="33"/>
        <v>15294.528000000002</v>
      </c>
      <c r="K253">
        <f t="shared" si="39"/>
        <v>1733.3333333333326</v>
      </c>
      <c r="L253">
        <f t="shared" si="34"/>
        <v>866.66666666666629</v>
      </c>
      <c r="M253">
        <v>14.6</v>
      </c>
      <c r="N253">
        <v>78</v>
      </c>
      <c r="O253">
        <v>400</v>
      </c>
      <c r="P253">
        <v>850</v>
      </c>
      <c r="Q253">
        <f t="shared" si="35"/>
        <v>1361.3933428061628</v>
      </c>
      <c r="R253">
        <f t="shared" si="41"/>
        <v>6207.3132349656407</v>
      </c>
    </row>
    <row r="254" spans="1:18" x14ac:dyDescent="0.25">
      <c r="A254" t="s">
        <v>14</v>
      </c>
      <c r="B254">
        <v>58000</v>
      </c>
      <c r="C254">
        <v>15</v>
      </c>
      <c r="D254">
        <v>0</v>
      </c>
      <c r="E254">
        <f t="shared" si="31"/>
        <v>1.226794975834826</v>
      </c>
      <c r="F254">
        <f t="shared" si="32"/>
        <v>101.41942894908438</v>
      </c>
      <c r="G254">
        <v>240</v>
      </c>
      <c r="H254">
        <f t="shared" si="40"/>
        <v>240</v>
      </c>
      <c r="I254">
        <v>3.7</v>
      </c>
      <c r="J254">
        <f t="shared" si="33"/>
        <v>1309.9480000000001</v>
      </c>
      <c r="K254">
        <f>K255</f>
        <v>1140</v>
      </c>
      <c r="L254">
        <f t="shared" si="34"/>
        <v>570</v>
      </c>
      <c r="M254">
        <v>0</v>
      </c>
      <c r="N254">
        <v>0</v>
      </c>
      <c r="O254">
        <v>0</v>
      </c>
      <c r="P254">
        <v>850</v>
      </c>
      <c r="Q254">
        <f t="shared" si="35"/>
        <v>116.60081871256487</v>
      </c>
      <c r="R254">
        <f t="shared" si="41"/>
        <v>819.49035595880412</v>
      </c>
    </row>
    <row r="255" spans="1:18" x14ac:dyDescent="0.25">
      <c r="A255" t="s">
        <v>14</v>
      </c>
      <c r="B255">
        <v>58000</v>
      </c>
      <c r="C255">
        <v>11</v>
      </c>
      <c r="D255">
        <v>2000</v>
      </c>
      <c r="E255">
        <f t="shared" si="31"/>
        <v>1.1559364750414849</v>
      </c>
      <c r="F255">
        <f t="shared" si="32"/>
        <v>94.234987337993573</v>
      </c>
      <c r="G255">
        <v>240</v>
      </c>
      <c r="H255">
        <f t="shared" si="40"/>
        <v>247.24655672556227</v>
      </c>
      <c r="I255">
        <v>4.7</v>
      </c>
      <c r="J255">
        <f t="shared" si="33"/>
        <v>1663.9880000000001</v>
      </c>
      <c r="K255">
        <f>(O255-O254)/((M255-M254)/60)</f>
        <v>1140</v>
      </c>
      <c r="L255">
        <f t="shared" si="34"/>
        <v>570</v>
      </c>
      <c r="M255">
        <v>1</v>
      </c>
      <c r="N255">
        <v>4</v>
      </c>
      <c r="O255">
        <v>19</v>
      </c>
      <c r="P255">
        <v>850</v>
      </c>
      <c r="Q255">
        <f t="shared" si="35"/>
        <v>148.11455349974455</v>
      </c>
      <c r="R255">
        <f t="shared" si="41"/>
        <v>1012.5457018490173</v>
      </c>
    </row>
    <row r="256" spans="1:18" x14ac:dyDescent="0.25">
      <c r="A256" t="s">
        <v>14</v>
      </c>
      <c r="B256">
        <v>58000</v>
      </c>
      <c r="C256">
        <v>7.1</v>
      </c>
      <c r="D256">
        <v>4000</v>
      </c>
      <c r="E256">
        <f t="shared" si="31"/>
        <v>1.0899066174514316</v>
      </c>
      <c r="F256">
        <f t="shared" si="32"/>
        <v>87.632551945245098</v>
      </c>
      <c r="G256">
        <v>240</v>
      </c>
      <c r="H256">
        <f t="shared" si="40"/>
        <v>254.62590837501571</v>
      </c>
      <c r="I256">
        <v>5.7</v>
      </c>
      <c r="J256">
        <f t="shared" si="33"/>
        <v>2018.028</v>
      </c>
      <c r="K256">
        <f t="shared" ref="K256:K267" si="42">(O256-O255)/((M256-M255)/60)</f>
        <v>1080</v>
      </c>
      <c r="L256">
        <f t="shared" si="34"/>
        <v>540</v>
      </c>
      <c r="M256">
        <v>2</v>
      </c>
      <c r="N256">
        <v>8</v>
      </c>
      <c r="O256">
        <v>37</v>
      </c>
      <c r="P256">
        <v>850</v>
      </c>
      <c r="Q256">
        <f t="shared" si="35"/>
        <v>179.62828828692426</v>
      </c>
      <c r="R256">
        <f t="shared" si="41"/>
        <v>1193.9512354114445</v>
      </c>
    </row>
    <row r="257" spans="1:18" x14ac:dyDescent="0.25">
      <c r="A257" t="s">
        <v>14</v>
      </c>
      <c r="B257">
        <v>58000</v>
      </c>
      <c r="C257">
        <v>3.1</v>
      </c>
      <c r="D257">
        <v>6000</v>
      </c>
      <c r="E257">
        <f t="shared" si="31"/>
        <v>1.0252213873142479</v>
      </c>
      <c r="F257">
        <f t="shared" si="32"/>
        <v>81.255074425651443</v>
      </c>
      <c r="G257">
        <v>240</v>
      </c>
      <c r="H257">
        <f t="shared" si="40"/>
        <v>262.53572390791726</v>
      </c>
      <c r="I257">
        <v>6.7</v>
      </c>
      <c r="J257">
        <f t="shared" si="33"/>
        <v>2372.0680000000002</v>
      </c>
      <c r="K257">
        <f t="shared" si="42"/>
        <v>1140</v>
      </c>
      <c r="L257">
        <f t="shared" si="34"/>
        <v>570</v>
      </c>
      <c r="M257">
        <v>3</v>
      </c>
      <c r="N257">
        <v>13</v>
      </c>
      <c r="O257">
        <v>56</v>
      </c>
      <c r="P257">
        <v>850</v>
      </c>
      <c r="Q257">
        <f t="shared" si="35"/>
        <v>211.14202307410395</v>
      </c>
      <c r="R257">
        <f t="shared" si="41"/>
        <v>1361.9602042862368</v>
      </c>
    </row>
    <row r="258" spans="1:18" x14ac:dyDescent="0.25">
      <c r="A258" t="s">
        <v>14</v>
      </c>
      <c r="B258">
        <v>58000</v>
      </c>
      <c r="C258">
        <v>-0.8</v>
      </c>
      <c r="D258">
        <v>8000</v>
      </c>
      <c r="E258">
        <f t="shared" si="31"/>
        <v>0.96502208599689476</v>
      </c>
      <c r="F258">
        <f t="shared" si="32"/>
        <v>75.404138213287837</v>
      </c>
      <c r="G258">
        <v>240</v>
      </c>
      <c r="H258">
        <f t="shared" si="40"/>
        <v>270.60050926699228</v>
      </c>
      <c r="I258">
        <v>7.7</v>
      </c>
      <c r="J258">
        <f t="shared" si="33"/>
        <v>2726.1080000000002</v>
      </c>
      <c r="K258">
        <f t="shared" si="42"/>
        <v>1080</v>
      </c>
      <c r="L258">
        <f t="shared" si="34"/>
        <v>540</v>
      </c>
      <c r="M258">
        <v>4</v>
      </c>
      <c r="N258">
        <v>17</v>
      </c>
      <c r="O258">
        <v>74</v>
      </c>
      <c r="P258">
        <v>850</v>
      </c>
      <c r="Q258">
        <f t="shared" si="35"/>
        <v>242.65575786128363</v>
      </c>
      <c r="R258">
        <f t="shared" si="41"/>
        <v>1518.3954801087905</v>
      </c>
    </row>
    <row r="259" spans="1:18" x14ac:dyDescent="0.25">
      <c r="A259" t="s">
        <v>14</v>
      </c>
      <c r="B259">
        <v>58000</v>
      </c>
      <c r="C259">
        <v>-4.8</v>
      </c>
      <c r="D259">
        <v>10000</v>
      </c>
      <c r="E259">
        <f t="shared" ref="E259:E281" si="43">F259/(0.2869*(C259+273.15))</f>
        <v>0.90612712934108608</v>
      </c>
      <c r="F259">
        <f t="shared" ref="F259:F281" si="44">101.29*((C259+273.15)/288.08)^5.256</f>
        <v>69.762378829025408</v>
      </c>
      <c r="G259">
        <v>277</v>
      </c>
      <c r="H259">
        <f t="shared" si="40"/>
        <v>322.30808275070223</v>
      </c>
      <c r="I259">
        <v>29.8</v>
      </c>
      <c r="J259">
        <f t="shared" ref="J259:J281" si="45">I259/100*35404</f>
        <v>10550.392</v>
      </c>
      <c r="K259">
        <f t="shared" si="42"/>
        <v>1500</v>
      </c>
      <c r="L259">
        <f t="shared" ref="L259:L281" si="46">K259/2</f>
        <v>750</v>
      </c>
      <c r="M259">
        <v>5</v>
      </c>
      <c r="N259">
        <v>22</v>
      </c>
      <c r="O259">
        <v>99</v>
      </c>
      <c r="P259">
        <v>850</v>
      </c>
      <c r="Q259">
        <f t="shared" ref="Q259:Q281" si="47">P259/60*2*PI()*J259/1000</f>
        <v>939.10929665795481</v>
      </c>
      <c r="R259">
        <f t="shared" si="41"/>
        <v>4874.5790359342491</v>
      </c>
    </row>
    <row r="260" spans="1:18" x14ac:dyDescent="0.25">
      <c r="A260" t="s">
        <v>14</v>
      </c>
      <c r="B260">
        <v>58000</v>
      </c>
      <c r="C260">
        <v>-8.8000000000000007</v>
      </c>
      <c r="D260">
        <v>12000</v>
      </c>
      <c r="E260">
        <f t="shared" si="43"/>
        <v>0.85002224022584971</v>
      </c>
      <c r="F260">
        <f t="shared" si="44"/>
        <v>64.467399493542487</v>
      </c>
      <c r="G260">
        <v>278</v>
      </c>
      <c r="H260">
        <f t="shared" si="40"/>
        <v>333.97629756317571</v>
      </c>
      <c r="I260">
        <v>28.5</v>
      </c>
      <c r="J260">
        <f t="shared" si="45"/>
        <v>10090.14</v>
      </c>
      <c r="K260">
        <f t="shared" si="42"/>
        <v>1740</v>
      </c>
      <c r="L260">
        <f t="shared" si="46"/>
        <v>870</v>
      </c>
      <c r="M260">
        <v>6</v>
      </c>
      <c r="N260">
        <v>27</v>
      </c>
      <c r="O260">
        <v>128</v>
      </c>
      <c r="P260">
        <v>850</v>
      </c>
      <c r="Q260">
        <f t="shared" si="47"/>
        <v>898.14144143462113</v>
      </c>
      <c r="R260">
        <f t="shared" si="41"/>
        <v>4482.3535849728405</v>
      </c>
    </row>
    <row r="261" spans="1:18" x14ac:dyDescent="0.25">
      <c r="A261" t="s">
        <v>14</v>
      </c>
      <c r="B261">
        <v>58000</v>
      </c>
      <c r="C261">
        <v>-12.7</v>
      </c>
      <c r="D261">
        <v>14000</v>
      </c>
      <c r="E261">
        <f t="shared" si="43"/>
        <v>0.79791753463950577</v>
      </c>
      <c r="F261">
        <f t="shared" si="44"/>
        <v>59.622875722208917</v>
      </c>
      <c r="G261">
        <v>278</v>
      </c>
      <c r="H261">
        <f t="shared" si="40"/>
        <v>344.70833583724578</v>
      </c>
      <c r="I261">
        <v>30.4</v>
      </c>
      <c r="J261">
        <f t="shared" si="45"/>
        <v>10762.815999999999</v>
      </c>
      <c r="K261">
        <f t="shared" si="42"/>
        <v>1740</v>
      </c>
      <c r="L261">
        <f t="shared" si="46"/>
        <v>870</v>
      </c>
      <c r="M261">
        <v>7</v>
      </c>
      <c r="N261">
        <v>33</v>
      </c>
      <c r="O261">
        <v>157</v>
      </c>
      <c r="P261">
        <v>850</v>
      </c>
      <c r="Q261">
        <f t="shared" si="47"/>
        <v>958.01753753026253</v>
      </c>
      <c r="R261">
        <f t="shared" si="41"/>
        <v>4617.671507566386</v>
      </c>
    </row>
    <row r="262" spans="1:18" x14ac:dyDescent="0.25">
      <c r="A262" t="s">
        <v>14</v>
      </c>
      <c r="B262">
        <v>58000</v>
      </c>
      <c r="C262">
        <v>-16.7</v>
      </c>
      <c r="D262">
        <v>16000</v>
      </c>
      <c r="E262">
        <f t="shared" si="43"/>
        <v>0.74705165293004538</v>
      </c>
      <c r="F262">
        <f t="shared" si="44"/>
        <v>54.964702625412812</v>
      </c>
      <c r="G262">
        <v>280</v>
      </c>
      <c r="H262">
        <f t="shared" si="40"/>
        <v>358.81344681208463</v>
      </c>
      <c r="I262">
        <v>33</v>
      </c>
      <c r="J262">
        <f t="shared" si="45"/>
        <v>11683.32</v>
      </c>
      <c r="K262">
        <f t="shared" si="42"/>
        <v>1620</v>
      </c>
      <c r="L262">
        <f t="shared" si="46"/>
        <v>810</v>
      </c>
      <c r="M262">
        <v>8</v>
      </c>
      <c r="N262">
        <v>39</v>
      </c>
      <c r="O262">
        <v>184</v>
      </c>
      <c r="P262">
        <v>850</v>
      </c>
      <c r="Q262">
        <f t="shared" si="47"/>
        <v>1039.9532479769298</v>
      </c>
      <c r="R262">
        <f t="shared" si="41"/>
        <v>4799.3617650920742</v>
      </c>
    </row>
    <row r="263" spans="1:18" x14ac:dyDescent="0.25">
      <c r="A263" t="s">
        <v>14</v>
      </c>
      <c r="B263">
        <v>58000</v>
      </c>
      <c r="C263">
        <v>-20.7</v>
      </c>
      <c r="D263">
        <v>18000</v>
      </c>
      <c r="E263">
        <f t="shared" si="43"/>
        <v>0.69870446964341482</v>
      </c>
      <c r="F263">
        <f t="shared" si="44"/>
        <v>50.605700950408632</v>
      </c>
      <c r="G263">
        <v>281</v>
      </c>
      <c r="H263">
        <f t="shared" si="40"/>
        <v>372.34502331878969</v>
      </c>
      <c r="I263">
        <v>35.700000000000003</v>
      </c>
      <c r="J263">
        <f t="shared" si="45"/>
        <v>12639.228000000001</v>
      </c>
      <c r="K263">
        <f t="shared" si="42"/>
        <v>1620</v>
      </c>
      <c r="L263">
        <f t="shared" si="46"/>
        <v>810</v>
      </c>
      <c r="M263">
        <v>9</v>
      </c>
      <c r="N263">
        <v>45</v>
      </c>
      <c r="O263">
        <v>211</v>
      </c>
      <c r="P263">
        <v>850</v>
      </c>
      <c r="Q263">
        <f t="shared" si="47"/>
        <v>1125.0403319023151</v>
      </c>
      <c r="R263">
        <f t="shared" si="41"/>
        <v>4993.844260941536</v>
      </c>
    </row>
    <row r="264" spans="1:18" x14ac:dyDescent="0.25">
      <c r="A264" t="s">
        <v>14</v>
      </c>
      <c r="B264">
        <v>58000</v>
      </c>
      <c r="C264">
        <v>-24.6</v>
      </c>
      <c r="D264">
        <v>20000</v>
      </c>
      <c r="E264">
        <f t="shared" si="43"/>
        <v>0.65390720062118801</v>
      </c>
      <c r="F264">
        <f t="shared" si="44"/>
        <v>46.629465299560287</v>
      </c>
      <c r="G264">
        <v>270</v>
      </c>
      <c r="H264">
        <f t="shared" si="40"/>
        <v>369.82111075873684</v>
      </c>
      <c r="I264">
        <v>38.799999999999997</v>
      </c>
      <c r="J264">
        <f t="shared" si="45"/>
        <v>13736.751999999999</v>
      </c>
      <c r="K264">
        <f t="shared" si="42"/>
        <v>1680</v>
      </c>
      <c r="L264">
        <f t="shared" si="46"/>
        <v>840</v>
      </c>
      <c r="M264">
        <v>10</v>
      </c>
      <c r="N264">
        <v>51</v>
      </c>
      <c r="O264">
        <v>239</v>
      </c>
      <c r="P264">
        <v>850</v>
      </c>
      <c r="Q264">
        <f t="shared" si="47"/>
        <v>1222.7329097425718</v>
      </c>
      <c r="R264">
        <f t="shared" si="41"/>
        <v>5465.7946725576185</v>
      </c>
    </row>
    <row r="265" spans="1:18" x14ac:dyDescent="0.25">
      <c r="A265" t="s">
        <v>14</v>
      </c>
      <c r="B265">
        <v>58000</v>
      </c>
      <c r="C265">
        <v>-28.6</v>
      </c>
      <c r="D265">
        <v>22000</v>
      </c>
      <c r="E265">
        <f t="shared" si="43"/>
        <v>0.61027828449683619</v>
      </c>
      <c r="F265">
        <f t="shared" si="44"/>
        <v>42.817975778504902</v>
      </c>
      <c r="G265">
        <v>259</v>
      </c>
      <c r="H265">
        <f t="shared" si="40"/>
        <v>367.21617286594517</v>
      </c>
      <c r="I265">
        <v>51</v>
      </c>
      <c r="J265">
        <f t="shared" si="45"/>
        <v>18056.04</v>
      </c>
      <c r="K265">
        <f t="shared" si="42"/>
        <v>1941.176470588236</v>
      </c>
      <c r="L265">
        <f t="shared" si="46"/>
        <v>970.58823529411802</v>
      </c>
      <c r="M265">
        <v>11.7</v>
      </c>
      <c r="N265">
        <v>61</v>
      </c>
      <c r="O265">
        <v>294</v>
      </c>
      <c r="P265">
        <v>850</v>
      </c>
      <c r="Q265">
        <f t="shared" si="47"/>
        <v>1607.2004741461642</v>
      </c>
      <c r="R265">
        <f t="shared" si="41"/>
        <v>7237.5741900923995</v>
      </c>
    </row>
    <row r="266" spans="1:18" x14ac:dyDescent="0.25">
      <c r="A266" t="s">
        <v>14</v>
      </c>
      <c r="B266">
        <v>58000</v>
      </c>
      <c r="C266">
        <v>-32.5</v>
      </c>
      <c r="D266">
        <v>24000</v>
      </c>
      <c r="E266">
        <f t="shared" si="43"/>
        <v>0.56991930881758013</v>
      </c>
      <c r="F266">
        <f t="shared" si="44"/>
        <v>39.348645330248132</v>
      </c>
      <c r="G266">
        <v>249</v>
      </c>
      <c r="H266">
        <f t="shared" si="40"/>
        <v>365.3243800016968</v>
      </c>
      <c r="I266">
        <v>45.1</v>
      </c>
      <c r="J266">
        <f t="shared" si="45"/>
        <v>15967.204</v>
      </c>
      <c r="K266">
        <f t="shared" si="42"/>
        <v>1770</v>
      </c>
      <c r="L266">
        <f t="shared" si="46"/>
        <v>885</v>
      </c>
      <c r="M266">
        <v>13.7</v>
      </c>
      <c r="N266">
        <v>73</v>
      </c>
      <c r="O266">
        <v>353</v>
      </c>
      <c r="P266">
        <v>850</v>
      </c>
      <c r="Q266">
        <f t="shared" si="47"/>
        <v>1421.2694389018038</v>
      </c>
      <c r="R266">
        <f t="shared" si="41"/>
        <v>6435.0862447741538</v>
      </c>
    </row>
    <row r="267" spans="1:18" x14ac:dyDescent="0.25">
      <c r="A267" t="s">
        <v>14</v>
      </c>
      <c r="B267">
        <v>58000</v>
      </c>
      <c r="C267">
        <v>-34.5</v>
      </c>
      <c r="D267">
        <v>25000</v>
      </c>
      <c r="E267">
        <f t="shared" si="43"/>
        <v>0.55003181210936014</v>
      </c>
      <c r="F267">
        <f t="shared" si="44"/>
        <v>37.659954883294965</v>
      </c>
      <c r="G267">
        <v>243</v>
      </c>
      <c r="H267">
        <f t="shared" si="40"/>
        <v>362.9095223270528</v>
      </c>
      <c r="I267">
        <v>42.5</v>
      </c>
      <c r="J267">
        <f t="shared" si="45"/>
        <v>15046.699999999999</v>
      </c>
      <c r="K267">
        <f t="shared" si="42"/>
        <v>1733.3333333333326</v>
      </c>
      <c r="L267">
        <f t="shared" si="46"/>
        <v>866.66666666666629</v>
      </c>
      <c r="M267">
        <v>14.6</v>
      </c>
      <c r="N267">
        <v>78</v>
      </c>
      <c r="O267">
        <v>379</v>
      </c>
      <c r="P267">
        <v>850</v>
      </c>
      <c r="Q267">
        <f t="shared" si="47"/>
        <v>1339.3337284551367</v>
      </c>
      <c r="R267">
        <f t="shared" si="41"/>
        <v>6106.7317705101786</v>
      </c>
    </row>
    <row r="268" spans="1:18" x14ac:dyDescent="0.25">
      <c r="A268" t="s">
        <v>14</v>
      </c>
      <c r="B268">
        <v>65200</v>
      </c>
      <c r="C268">
        <v>15</v>
      </c>
      <c r="D268">
        <v>0</v>
      </c>
      <c r="E268">
        <f t="shared" si="43"/>
        <v>1.226794975834826</v>
      </c>
      <c r="F268">
        <f t="shared" si="44"/>
        <v>101.41942894908438</v>
      </c>
      <c r="G268">
        <v>240</v>
      </c>
      <c r="H268">
        <f t="shared" si="40"/>
        <v>240</v>
      </c>
      <c r="I268">
        <v>0.5</v>
      </c>
      <c r="J268">
        <f t="shared" si="45"/>
        <v>177.02</v>
      </c>
      <c r="K268">
        <f>K269</f>
        <v>1557.5342465753426</v>
      </c>
      <c r="L268">
        <f t="shared" si="46"/>
        <v>778.76712328767132</v>
      </c>
      <c r="M268">
        <v>0</v>
      </c>
      <c r="N268">
        <v>0</v>
      </c>
      <c r="O268">
        <v>0</v>
      </c>
      <c r="P268">
        <v>850</v>
      </c>
      <c r="Q268">
        <f t="shared" si="47"/>
        <v>15.756867393589847</v>
      </c>
      <c r="R268">
        <f t="shared" si="41"/>
        <v>110.74193999443298</v>
      </c>
    </row>
    <row r="269" spans="1:18" x14ac:dyDescent="0.25">
      <c r="A269" t="s">
        <v>14</v>
      </c>
      <c r="B269">
        <v>65200</v>
      </c>
      <c r="C269">
        <v>11</v>
      </c>
      <c r="D269">
        <v>2000</v>
      </c>
      <c r="E269">
        <f t="shared" si="43"/>
        <v>1.1559364750414849</v>
      </c>
      <c r="F269">
        <f t="shared" si="44"/>
        <v>94.234987337993573</v>
      </c>
      <c r="G269">
        <v>240</v>
      </c>
      <c r="H269">
        <f t="shared" si="40"/>
        <v>247.24655672556227</v>
      </c>
      <c r="I269">
        <v>1.5</v>
      </c>
      <c r="J269">
        <f t="shared" si="45"/>
        <v>531.05999999999995</v>
      </c>
      <c r="K269">
        <f>(O268-O267)/((M268-M267)/60)</f>
        <v>1557.5342465753426</v>
      </c>
      <c r="L269">
        <f t="shared" si="46"/>
        <v>778.76712328767132</v>
      </c>
      <c r="M269">
        <v>1</v>
      </c>
      <c r="N269">
        <v>4</v>
      </c>
      <c r="O269">
        <v>16</v>
      </c>
      <c r="P269">
        <v>850</v>
      </c>
      <c r="Q269">
        <f t="shared" si="47"/>
        <v>47.270602180769529</v>
      </c>
      <c r="R269">
        <f t="shared" si="41"/>
        <v>323.15288356883531</v>
      </c>
    </row>
    <row r="270" spans="1:18" x14ac:dyDescent="0.25">
      <c r="A270" t="s">
        <v>14</v>
      </c>
      <c r="B270">
        <v>65200</v>
      </c>
      <c r="C270">
        <v>7.1</v>
      </c>
      <c r="D270">
        <v>4000</v>
      </c>
      <c r="E270">
        <f t="shared" si="43"/>
        <v>1.0899066174514316</v>
      </c>
      <c r="F270">
        <f t="shared" si="44"/>
        <v>87.632551945245098</v>
      </c>
      <c r="G270">
        <v>240</v>
      </c>
      <c r="H270">
        <f t="shared" si="40"/>
        <v>254.62590837501571</v>
      </c>
      <c r="I270">
        <v>2.5</v>
      </c>
      <c r="J270">
        <f t="shared" si="45"/>
        <v>885.1</v>
      </c>
      <c r="K270">
        <f t="shared" ref="K270:K281" si="48">(O269-O268)/((M269-M268)/60)</f>
        <v>960</v>
      </c>
      <c r="L270">
        <f t="shared" si="46"/>
        <v>480</v>
      </c>
      <c r="M270">
        <v>2</v>
      </c>
      <c r="N270">
        <v>8</v>
      </c>
      <c r="O270">
        <v>33</v>
      </c>
      <c r="P270">
        <v>850</v>
      </c>
      <c r="Q270">
        <f t="shared" si="47"/>
        <v>78.78433696794923</v>
      </c>
      <c r="R270">
        <f t="shared" si="41"/>
        <v>523.66282254887915</v>
      </c>
    </row>
    <row r="271" spans="1:18" x14ac:dyDescent="0.25">
      <c r="A271" t="s">
        <v>14</v>
      </c>
      <c r="B271">
        <v>65200</v>
      </c>
      <c r="C271">
        <v>3.1</v>
      </c>
      <c r="D271">
        <v>6000</v>
      </c>
      <c r="E271">
        <f t="shared" si="43"/>
        <v>1.0252213873142479</v>
      </c>
      <c r="F271">
        <f t="shared" si="44"/>
        <v>81.255074425651443</v>
      </c>
      <c r="G271">
        <v>240</v>
      </c>
      <c r="H271">
        <f t="shared" si="40"/>
        <v>262.53572390791726</v>
      </c>
      <c r="I271">
        <v>3.6</v>
      </c>
      <c r="J271">
        <f t="shared" si="45"/>
        <v>1274.5440000000001</v>
      </c>
      <c r="K271">
        <f t="shared" si="48"/>
        <v>1020</v>
      </c>
      <c r="L271">
        <f t="shared" si="46"/>
        <v>510</v>
      </c>
      <c r="M271">
        <v>3</v>
      </c>
      <c r="N271">
        <v>13</v>
      </c>
      <c r="O271">
        <v>49</v>
      </c>
      <c r="P271">
        <v>850</v>
      </c>
      <c r="Q271">
        <f t="shared" si="47"/>
        <v>113.4494452338469</v>
      </c>
      <c r="R271">
        <f t="shared" si="41"/>
        <v>731.79951275081385</v>
      </c>
    </row>
    <row r="272" spans="1:18" x14ac:dyDescent="0.25">
      <c r="A272" t="s">
        <v>14</v>
      </c>
      <c r="B272">
        <v>65200</v>
      </c>
      <c r="C272">
        <v>-0.8</v>
      </c>
      <c r="D272">
        <v>8000</v>
      </c>
      <c r="E272">
        <f t="shared" si="43"/>
        <v>0.96502208599689476</v>
      </c>
      <c r="F272">
        <f t="shared" si="44"/>
        <v>75.404138213287837</v>
      </c>
      <c r="G272">
        <v>240</v>
      </c>
      <c r="H272">
        <f t="shared" si="40"/>
        <v>270.60050926699228</v>
      </c>
      <c r="I272">
        <v>4.7</v>
      </c>
      <c r="J272">
        <f t="shared" si="45"/>
        <v>1663.9880000000001</v>
      </c>
      <c r="K272">
        <f t="shared" si="48"/>
        <v>960</v>
      </c>
      <c r="L272">
        <f t="shared" si="46"/>
        <v>480</v>
      </c>
      <c r="M272">
        <v>4</v>
      </c>
      <c r="N272">
        <v>17</v>
      </c>
      <c r="O272">
        <v>64</v>
      </c>
      <c r="P272">
        <v>850</v>
      </c>
      <c r="Q272">
        <f t="shared" si="47"/>
        <v>148.11455349974455</v>
      </c>
      <c r="R272">
        <f t="shared" si="41"/>
        <v>926.81282552095001</v>
      </c>
    </row>
    <row r="273" spans="1:18" x14ac:dyDescent="0.25">
      <c r="A273" t="s">
        <v>14</v>
      </c>
      <c r="B273">
        <v>65200</v>
      </c>
      <c r="C273">
        <v>-4.8</v>
      </c>
      <c r="D273">
        <v>10000</v>
      </c>
      <c r="E273">
        <f t="shared" si="43"/>
        <v>0.90612712934108608</v>
      </c>
      <c r="F273">
        <f t="shared" si="44"/>
        <v>69.762378829025408</v>
      </c>
      <c r="G273">
        <v>277</v>
      </c>
      <c r="H273">
        <f t="shared" si="40"/>
        <v>322.30808275070223</v>
      </c>
      <c r="I273">
        <v>26.5</v>
      </c>
      <c r="J273">
        <f t="shared" si="45"/>
        <v>9382.0600000000013</v>
      </c>
      <c r="K273">
        <f t="shared" si="48"/>
        <v>900</v>
      </c>
      <c r="L273">
        <f t="shared" si="46"/>
        <v>450</v>
      </c>
      <c r="M273">
        <v>5</v>
      </c>
      <c r="N273">
        <v>22</v>
      </c>
      <c r="O273">
        <v>87</v>
      </c>
      <c r="P273">
        <v>850</v>
      </c>
      <c r="Q273">
        <f t="shared" si="47"/>
        <v>835.11397186026181</v>
      </c>
      <c r="R273">
        <f t="shared" si="41"/>
        <v>4334.7766594717323</v>
      </c>
    </row>
    <row r="274" spans="1:18" x14ac:dyDescent="0.25">
      <c r="A274" t="s">
        <v>14</v>
      </c>
      <c r="B274">
        <v>65200</v>
      </c>
      <c r="C274">
        <v>-8.8000000000000007</v>
      </c>
      <c r="D274">
        <v>12000</v>
      </c>
      <c r="E274">
        <f t="shared" si="43"/>
        <v>0.85002224022584971</v>
      </c>
      <c r="F274">
        <f t="shared" si="44"/>
        <v>64.467399493542487</v>
      </c>
      <c r="G274">
        <v>278</v>
      </c>
      <c r="H274">
        <f t="shared" si="40"/>
        <v>333.97629756317571</v>
      </c>
      <c r="I274">
        <v>24.8</v>
      </c>
      <c r="J274">
        <f t="shared" si="45"/>
        <v>8780.1919999999991</v>
      </c>
      <c r="K274">
        <f t="shared" si="48"/>
        <v>1380</v>
      </c>
      <c r="L274">
        <f t="shared" si="46"/>
        <v>690</v>
      </c>
      <c r="M274">
        <v>6</v>
      </c>
      <c r="N274">
        <v>27</v>
      </c>
      <c r="O274">
        <v>114</v>
      </c>
      <c r="P274">
        <v>850</v>
      </c>
      <c r="Q274">
        <f t="shared" si="47"/>
        <v>781.54062272205624</v>
      </c>
      <c r="R274">
        <f t="shared" si="41"/>
        <v>3900.4339967482965</v>
      </c>
    </row>
    <row r="275" spans="1:18" x14ac:dyDescent="0.25">
      <c r="A275" t="s">
        <v>14</v>
      </c>
      <c r="B275">
        <v>65200</v>
      </c>
      <c r="C275">
        <v>-12.7</v>
      </c>
      <c r="D275">
        <v>14000</v>
      </c>
      <c r="E275">
        <f t="shared" si="43"/>
        <v>0.79791753463950577</v>
      </c>
      <c r="F275">
        <f t="shared" si="44"/>
        <v>59.622875722208917</v>
      </c>
      <c r="G275">
        <v>278</v>
      </c>
      <c r="H275">
        <f t="shared" si="40"/>
        <v>344.70833583724578</v>
      </c>
      <c r="I275">
        <v>27.2</v>
      </c>
      <c r="J275">
        <f t="shared" si="45"/>
        <v>9629.8880000000008</v>
      </c>
      <c r="K275">
        <f t="shared" si="48"/>
        <v>1620</v>
      </c>
      <c r="L275">
        <f t="shared" si="46"/>
        <v>810</v>
      </c>
      <c r="M275">
        <v>7</v>
      </c>
      <c r="N275">
        <v>33</v>
      </c>
      <c r="O275">
        <v>141</v>
      </c>
      <c r="P275">
        <v>850</v>
      </c>
      <c r="Q275">
        <f t="shared" si="47"/>
        <v>857.17358621128767</v>
      </c>
      <c r="R275">
        <f t="shared" si="41"/>
        <v>4131.6008225593996</v>
      </c>
    </row>
    <row r="276" spans="1:18" x14ac:dyDescent="0.25">
      <c r="A276" t="s">
        <v>14</v>
      </c>
      <c r="B276">
        <v>65200</v>
      </c>
      <c r="C276">
        <v>-16.7</v>
      </c>
      <c r="D276">
        <v>16000</v>
      </c>
      <c r="E276">
        <f t="shared" si="43"/>
        <v>0.74705165293004538</v>
      </c>
      <c r="F276">
        <f t="shared" si="44"/>
        <v>54.964702625412812</v>
      </c>
      <c r="G276">
        <v>280</v>
      </c>
      <c r="H276">
        <f t="shared" si="40"/>
        <v>358.81344681208463</v>
      </c>
      <c r="I276">
        <v>29.7</v>
      </c>
      <c r="J276">
        <f t="shared" si="45"/>
        <v>10514.987999999999</v>
      </c>
      <c r="K276">
        <f t="shared" si="48"/>
        <v>1620</v>
      </c>
      <c r="L276">
        <f t="shared" si="46"/>
        <v>810</v>
      </c>
      <c r="M276">
        <v>8</v>
      </c>
      <c r="N276">
        <v>39</v>
      </c>
      <c r="O276">
        <v>169</v>
      </c>
      <c r="P276">
        <v>850</v>
      </c>
      <c r="Q276">
        <f t="shared" si="47"/>
        <v>935.95792317923667</v>
      </c>
      <c r="R276">
        <f t="shared" si="41"/>
        <v>4319.425588582867</v>
      </c>
    </row>
    <row r="277" spans="1:18" x14ac:dyDescent="0.25">
      <c r="A277" t="s">
        <v>14</v>
      </c>
      <c r="B277">
        <v>65200</v>
      </c>
      <c r="C277">
        <v>-20.7</v>
      </c>
      <c r="D277">
        <v>18000</v>
      </c>
      <c r="E277">
        <f t="shared" si="43"/>
        <v>0.69870446964341482</v>
      </c>
      <c r="F277">
        <f t="shared" si="44"/>
        <v>50.605700950408632</v>
      </c>
      <c r="G277">
        <v>281</v>
      </c>
      <c r="H277">
        <f t="shared" si="40"/>
        <v>372.34502331878969</v>
      </c>
      <c r="I277">
        <v>32</v>
      </c>
      <c r="J277">
        <f t="shared" si="45"/>
        <v>11329.28</v>
      </c>
      <c r="K277">
        <f t="shared" si="48"/>
        <v>1680</v>
      </c>
      <c r="L277">
        <f t="shared" si="46"/>
        <v>840</v>
      </c>
      <c r="M277">
        <v>9</v>
      </c>
      <c r="N277">
        <v>45</v>
      </c>
      <c r="O277">
        <v>194</v>
      </c>
      <c r="P277">
        <v>850</v>
      </c>
      <c r="Q277">
        <f t="shared" si="47"/>
        <v>1008.4395131897502</v>
      </c>
      <c r="R277">
        <f t="shared" si="41"/>
        <v>4476.2749677907332</v>
      </c>
    </row>
    <row r="278" spans="1:18" x14ac:dyDescent="0.25">
      <c r="A278" t="s">
        <v>14</v>
      </c>
      <c r="B278">
        <v>65200</v>
      </c>
      <c r="C278">
        <v>-24.6</v>
      </c>
      <c r="D278">
        <v>20000</v>
      </c>
      <c r="E278">
        <f t="shared" si="43"/>
        <v>0.65390720062118801</v>
      </c>
      <c r="F278">
        <f t="shared" si="44"/>
        <v>46.629465299560287</v>
      </c>
      <c r="G278">
        <v>270</v>
      </c>
      <c r="H278">
        <f t="shared" si="40"/>
        <v>369.82111075873684</v>
      </c>
      <c r="I278">
        <v>36.1</v>
      </c>
      <c r="J278">
        <f t="shared" si="45"/>
        <v>12780.843999999999</v>
      </c>
      <c r="K278">
        <f t="shared" si="48"/>
        <v>1500</v>
      </c>
      <c r="L278">
        <f t="shared" si="46"/>
        <v>750</v>
      </c>
      <c r="M278">
        <v>10</v>
      </c>
      <c r="N278">
        <v>51</v>
      </c>
      <c r="O278">
        <v>222</v>
      </c>
      <c r="P278">
        <v>850</v>
      </c>
      <c r="Q278">
        <f t="shared" si="47"/>
        <v>1137.645825817187</v>
      </c>
      <c r="R278">
        <f t="shared" si="41"/>
        <v>5085.4429814260329</v>
      </c>
    </row>
    <row r="279" spans="1:18" x14ac:dyDescent="0.25">
      <c r="A279" t="s">
        <v>14</v>
      </c>
      <c r="B279">
        <v>65200</v>
      </c>
      <c r="C279">
        <v>-28.6</v>
      </c>
      <c r="D279">
        <v>22000</v>
      </c>
      <c r="E279">
        <f t="shared" si="43"/>
        <v>0.61027828449683619</v>
      </c>
      <c r="F279">
        <f t="shared" si="44"/>
        <v>42.817975778504902</v>
      </c>
      <c r="G279">
        <v>259</v>
      </c>
      <c r="H279">
        <f t="shared" si="40"/>
        <v>367.21617286594517</v>
      </c>
      <c r="I279">
        <v>50.6</v>
      </c>
      <c r="J279">
        <f t="shared" si="45"/>
        <v>17914.423999999999</v>
      </c>
      <c r="K279">
        <f t="shared" si="48"/>
        <v>1680</v>
      </c>
      <c r="L279">
        <f t="shared" si="46"/>
        <v>840</v>
      </c>
      <c r="M279">
        <v>11.7</v>
      </c>
      <c r="N279">
        <v>61</v>
      </c>
      <c r="O279">
        <v>276</v>
      </c>
      <c r="P279">
        <v>850</v>
      </c>
      <c r="Q279">
        <f t="shared" si="47"/>
        <v>1594.5949802312923</v>
      </c>
      <c r="R279">
        <f t="shared" si="41"/>
        <v>7180.8089023269695</v>
      </c>
    </row>
    <row r="280" spans="1:18" x14ac:dyDescent="0.25">
      <c r="A280" t="s">
        <v>14</v>
      </c>
      <c r="B280">
        <v>65200</v>
      </c>
      <c r="C280">
        <v>-32.5</v>
      </c>
      <c r="D280">
        <v>24000</v>
      </c>
      <c r="E280">
        <f t="shared" si="43"/>
        <v>0.56991930881758013</v>
      </c>
      <c r="F280">
        <f t="shared" si="44"/>
        <v>39.348645330248132</v>
      </c>
      <c r="G280">
        <v>249</v>
      </c>
      <c r="H280">
        <f t="shared" si="40"/>
        <v>365.3243800016968</v>
      </c>
      <c r="I280">
        <v>44.8</v>
      </c>
      <c r="J280">
        <f t="shared" si="45"/>
        <v>15860.991999999998</v>
      </c>
      <c r="K280">
        <f t="shared" si="48"/>
        <v>1905.8823529411773</v>
      </c>
      <c r="L280">
        <f t="shared" si="46"/>
        <v>952.94117647058863</v>
      </c>
      <c r="M280">
        <v>13.7</v>
      </c>
      <c r="N280">
        <v>73</v>
      </c>
      <c r="O280">
        <v>335</v>
      </c>
      <c r="P280">
        <v>850</v>
      </c>
      <c r="Q280">
        <f t="shared" si="47"/>
        <v>1411.8153184656501</v>
      </c>
      <c r="R280">
        <f t="shared" si="41"/>
        <v>6392.2807930350809</v>
      </c>
    </row>
    <row r="281" spans="1:18" x14ac:dyDescent="0.25">
      <c r="A281" t="s">
        <v>14</v>
      </c>
      <c r="B281">
        <v>65200</v>
      </c>
      <c r="C281">
        <v>-34.5</v>
      </c>
      <c r="D281">
        <v>25000</v>
      </c>
      <c r="E281">
        <f t="shared" si="43"/>
        <v>0.55003181210936014</v>
      </c>
      <c r="F281">
        <f t="shared" si="44"/>
        <v>37.659954883294965</v>
      </c>
      <c r="G281">
        <v>243</v>
      </c>
      <c r="H281">
        <f t="shared" si="40"/>
        <v>362.9095223270528</v>
      </c>
      <c r="I281">
        <v>42.2</v>
      </c>
      <c r="J281">
        <f t="shared" si="45"/>
        <v>14940.488000000001</v>
      </c>
      <c r="K281">
        <f t="shared" si="48"/>
        <v>1770</v>
      </c>
      <c r="L281">
        <f t="shared" si="46"/>
        <v>885</v>
      </c>
      <c r="M281">
        <v>14.6</v>
      </c>
      <c r="N281">
        <v>78</v>
      </c>
      <c r="O281">
        <v>361</v>
      </c>
      <c r="P281">
        <v>850</v>
      </c>
      <c r="Q281">
        <f t="shared" si="47"/>
        <v>1329.8796080189832</v>
      </c>
      <c r="R281">
        <f t="shared" si="41"/>
        <v>6063.6254286006961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Amos</cp:lastModifiedBy>
  <dcterms:created xsi:type="dcterms:W3CDTF">2025-12-15T22:23:50Z</dcterms:created>
  <dcterms:modified xsi:type="dcterms:W3CDTF">2025-12-18T00:03:24Z</dcterms:modified>
</cp:coreProperties>
</file>