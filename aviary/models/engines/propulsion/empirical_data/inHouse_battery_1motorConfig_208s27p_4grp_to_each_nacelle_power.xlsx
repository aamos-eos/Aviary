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eosaircraft-my.sharepoint.com/personal/aamos_eos_aero/Documents/Documents/GitHub/aircraft_performance/models/openconcept/openconcept/propulsion/empirical_data/"/>
    </mc:Choice>
  </mc:AlternateContent>
  <xr:revisionPtr revIDLastSave="156" documentId="8_{EF032385-DE63-4270-9BB3-4C17439E485B}" xr6:coauthVersionLast="47" xr6:coauthVersionMax="47" xr10:uidLastSave="{A12D2D70-C3E6-478F-A3C3-43AF4191BAAC}"/>
  <bookViews>
    <workbookView xWindow="19080" yWindow="11940" windowWidth="19420" windowHeight="11500" firstSheet="1" activeTab="1" xr2:uid="{7CCCB848-FB88-436A-8691-ACFEF71AA10C}"/>
  </bookViews>
  <sheets>
    <sheet name="battery_config" sheetId="1" r:id="rId1"/>
    <sheet name="Sheet1" sheetId="9" r:id="rId2"/>
    <sheet name="EOL_cell_fct_CRate" sheetId="5" r:id="rId3"/>
    <sheet name="BOL_cell_fct_CRate" sheetId="8" r:id="rId4"/>
    <sheet name="EOL_quickChk" sheetId="7" r:id="rId5"/>
    <sheet name="LBV_model" sheetId="4" r:id="rId6"/>
    <sheet name="Debug" sheetId="6" r:id="rId7"/>
    <sheet name="cables" sheetId="3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9" l="1"/>
  <c r="F5" i="9"/>
  <c r="F6" i="9"/>
  <c r="F7" i="9"/>
  <c r="F2" i="9"/>
  <c r="E3" i="9"/>
  <c r="F3" i="9" s="1"/>
  <c r="E4" i="9"/>
  <c r="E5" i="9"/>
  <c r="E6" i="9"/>
  <c r="E7" i="9"/>
  <c r="E8" i="9"/>
  <c r="E9" i="9"/>
  <c r="E10" i="9"/>
  <c r="E11" i="9"/>
  <c r="E12" i="9"/>
  <c r="E2" i="9"/>
  <c r="H17" i="5"/>
  <c r="B4" i="9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" i="9"/>
  <c r="A3" i="9"/>
  <c r="A4" i="9" s="1"/>
  <c r="A5" i="9" s="1"/>
  <c r="A6" i="9" s="1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N2" i="5"/>
  <c r="B44" i="9"/>
  <c r="I2" i="5"/>
  <c r="I3" i="5"/>
  <c r="I4" i="5"/>
  <c r="I5" i="5"/>
  <c r="I6" i="5"/>
  <c r="I7" i="5"/>
  <c r="I8" i="5"/>
  <c r="I9" i="5"/>
  <c r="I10" i="5"/>
  <c r="I11" i="5"/>
  <c r="I12" i="5"/>
  <c r="I13" i="5"/>
  <c r="I14" i="5"/>
  <c r="R20" i="4" l="1"/>
  <c r="H13" i="4"/>
  <c r="J13" i="4"/>
  <c r="L2" i="8"/>
  <c r="I16" i="8"/>
  <c r="H16" i="8"/>
  <c r="B16" i="8"/>
  <c r="F15" i="8"/>
  <c r="F16" i="8" s="1"/>
  <c r="G16" i="8" s="1"/>
  <c r="E15" i="8"/>
  <c r="E16" i="8" s="1"/>
  <c r="D15" i="8"/>
  <c r="D16" i="8" s="1"/>
  <c r="C15" i="8"/>
  <c r="C16" i="8" s="1"/>
  <c r="F14" i="8"/>
  <c r="G14" i="8" s="1"/>
  <c r="E14" i="8"/>
  <c r="D14" i="8"/>
  <c r="C14" i="8"/>
  <c r="F13" i="8"/>
  <c r="G13" i="8" s="1"/>
  <c r="E13" i="8"/>
  <c r="D13" i="8"/>
  <c r="C13" i="8" s="1"/>
  <c r="F12" i="8"/>
  <c r="G12" i="8" s="1"/>
  <c r="E12" i="8"/>
  <c r="D12" i="8"/>
  <c r="C12" i="8"/>
  <c r="F11" i="8"/>
  <c r="G11" i="8" s="1"/>
  <c r="E11" i="8"/>
  <c r="D11" i="8"/>
  <c r="C11" i="8"/>
  <c r="F10" i="8"/>
  <c r="G10" i="8" s="1"/>
  <c r="E10" i="8"/>
  <c r="D10" i="8"/>
  <c r="C10" i="8"/>
  <c r="F9" i="8"/>
  <c r="G9" i="8" s="1"/>
  <c r="E9" i="8"/>
  <c r="D9" i="8"/>
  <c r="C9" i="8"/>
  <c r="G8" i="8"/>
  <c r="F8" i="8"/>
  <c r="E8" i="8"/>
  <c r="D8" i="8"/>
  <c r="C8" i="8"/>
  <c r="F7" i="8"/>
  <c r="G7" i="8" s="1"/>
  <c r="E7" i="8"/>
  <c r="D7" i="8"/>
  <c r="C7" i="8" s="1"/>
  <c r="K6" i="8"/>
  <c r="J6" i="8"/>
  <c r="F6" i="8"/>
  <c r="G6" i="8" s="1"/>
  <c r="E6" i="8"/>
  <c r="D6" i="8"/>
  <c r="C6" i="8"/>
  <c r="K5" i="8"/>
  <c r="J5" i="8"/>
  <c r="F5" i="8"/>
  <c r="G5" i="8" s="1"/>
  <c r="E5" i="8"/>
  <c r="D5" i="8"/>
  <c r="C5" i="8" s="1"/>
  <c r="K4" i="8"/>
  <c r="J4" i="8"/>
  <c r="F4" i="8"/>
  <c r="G4" i="8" s="1"/>
  <c r="E4" i="8"/>
  <c r="D4" i="8"/>
  <c r="C4" i="8"/>
  <c r="J3" i="8"/>
  <c r="F3" i="8"/>
  <c r="G3" i="8" s="1"/>
  <c r="E3" i="8"/>
  <c r="D3" i="8"/>
  <c r="C3" i="8"/>
  <c r="F2" i="8"/>
  <c r="G2" i="8" s="1"/>
  <c r="E2" i="8"/>
  <c r="D2" i="8"/>
  <c r="C2" i="8"/>
  <c r="S6" i="5"/>
  <c r="R6" i="5"/>
  <c r="C25" i="6"/>
  <c r="C24" i="6" s="1"/>
  <c r="B21" i="6"/>
  <c r="L33" i="7"/>
  <c r="M33" i="7"/>
  <c r="N33" i="7"/>
  <c r="O33" i="7"/>
  <c r="L34" i="7"/>
  <c r="M34" i="7"/>
  <c r="N34" i="7"/>
  <c r="O34" i="7"/>
  <c r="L35" i="7"/>
  <c r="M35" i="7"/>
  <c r="N35" i="7"/>
  <c r="O35" i="7"/>
  <c r="L36" i="7"/>
  <c r="M36" i="7"/>
  <c r="N36" i="7"/>
  <c r="O36" i="7"/>
  <c r="L37" i="7"/>
  <c r="M37" i="7"/>
  <c r="N37" i="7"/>
  <c r="O37" i="7"/>
  <c r="L38" i="7"/>
  <c r="M38" i="7"/>
  <c r="N38" i="7"/>
  <c r="O38" i="7"/>
  <c r="L39" i="7"/>
  <c r="M39" i="7"/>
  <c r="N39" i="7"/>
  <c r="O39" i="7"/>
  <c r="L40" i="7"/>
  <c r="M40" i="7"/>
  <c r="N40" i="7"/>
  <c r="O40" i="7"/>
  <c r="L41" i="7"/>
  <c r="M41" i="7"/>
  <c r="N41" i="7"/>
  <c r="O41" i="7"/>
  <c r="M29" i="7"/>
  <c r="L29" i="7"/>
  <c r="M28" i="7"/>
  <c r="L28" i="7"/>
  <c r="D40" i="7"/>
  <c r="C40" i="7"/>
  <c r="D39" i="7"/>
  <c r="C39" i="7"/>
  <c r="D38" i="7"/>
  <c r="C38" i="7"/>
  <c r="D37" i="7"/>
  <c r="C37" i="7"/>
  <c r="F36" i="7"/>
  <c r="E36" i="7"/>
  <c r="D36" i="7"/>
  <c r="C36" i="7"/>
  <c r="D34" i="7"/>
  <c r="C34" i="7"/>
  <c r="D33" i="7"/>
  <c r="C33" i="7"/>
  <c r="D32" i="7"/>
  <c r="M32" i="7" s="1"/>
  <c r="C32" i="7"/>
  <c r="L32" i="7" s="1"/>
  <c r="F31" i="7"/>
  <c r="O31" i="7" s="1"/>
  <c r="E31" i="7"/>
  <c r="N31" i="7" s="1"/>
  <c r="D31" i="7"/>
  <c r="M31" i="7" s="1"/>
  <c r="C31" i="7"/>
  <c r="L31" i="7" s="1"/>
  <c r="F30" i="7"/>
  <c r="O30" i="7" s="1"/>
  <c r="E30" i="7"/>
  <c r="N30" i="7" s="1"/>
  <c r="D29" i="7"/>
  <c r="C29" i="7"/>
  <c r="D28" i="7"/>
  <c r="C28" i="7"/>
  <c r="D27" i="7"/>
  <c r="C27" i="7"/>
  <c r="B41" i="7"/>
  <c r="F1" i="7"/>
  <c r="F39" i="7" s="1"/>
  <c r="E1" i="7"/>
  <c r="E34" i="7" s="1"/>
  <c r="H16" i="7"/>
  <c r="G16" i="7"/>
  <c r="B16" i="7"/>
  <c r="F15" i="7"/>
  <c r="F16" i="7" s="1"/>
  <c r="F41" i="7" s="1"/>
  <c r="E15" i="7"/>
  <c r="E16" i="7" s="1"/>
  <c r="E41" i="7" s="1"/>
  <c r="D15" i="7"/>
  <c r="C15" i="7"/>
  <c r="F14" i="7"/>
  <c r="E14" i="7"/>
  <c r="D14" i="7"/>
  <c r="C14" i="7"/>
  <c r="F13" i="7"/>
  <c r="E13" i="7"/>
  <c r="D13" i="7"/>
  <c r="C13" i="7"/>
  <c r="F12" i="7"/>
  <c r="E12" i="7"/>
  <c r="D12" i="7"/>
  <c r="C12" i="7" s="1"/>
  <c r="F11" i="7"/>
  <c r="E11" i="7"/>
  <c r="D11" i="7"/>
  <c r="C11" i="7"/>
  <c r="F10" i="7"/>
  <c r="F35" i="7" s="1"/>
  <c r="E10" i="7"/>
  <c r="E35" i="7" s="1"/>
  <c r="D10" i="7"/>
  <c r="D35" i="7" s="1"/>
  <c r="F9" i="7"/>
  <c r="F34" i="7" s="1"/>
  <c r="E9" i="7"/>
  <c r="D9" i="7"/>
  <c r="C9" i="7" s="1"/>
  <c r="F8" i="7"/>
  <c r="E8" i="7"/>
  <c r="D8" i="7"/>
  <c r="C8" i="7"/>
  <c r="F7" i="7"/>
  <c r="E7" i="7"/>
  <c r="D7" i="7"/>
  <c r="C7" i="7"/>
  <c r="F6" i="7"/>
  <c r="E6" i="7"/>
  <c r="D6" i="7"/>
  <c r="C6" i="7"/>
  <c r="J5" i="7"/>
  <c r="F5" i="7"/>
  <c r="E5" i="7"/>
  <c r="D5" i="7"/>
  <c r="D30" i="7" s="1"/>
  <c r="M30" i="7" s="1"/>
  <c r="C5" i="7"/>
  <c r="C30" i="7" s="1"/>
  <c r="L30" i="7" s="1"/>
  <c r="J4" i="7"/>
  <c r="F4" i="7"/>
  <c r="F29" i="7" s="1"/>
  <c r="O29" i="7" s="1"/>
  <c r="E4" i="7"/>
  <c r="E29" i="7" s="1"/>
  <c r="N29" i="7" s="1"/>
  <c r="D4" i="7"/>
  <c r="C4" i="7"/>
  <c r="F3" i="7"/>
  <c r="E3" i="7"/>
  <c r="D3" i="7"/>
  <c r="C3" i="7" s="1"/>
  <c r="K2" i="7"/>
  <c r="F2" i="7"/>
  <c r="E2" i="7"/>
  <c r="D2" i="7"/>
  <c r="C2" i="7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A7" i="3"/>
  <c r="A8" i="3"/>
  <c r="A9" i="3"/>
  <c r="A10" i="3"/>
  <c r="A11" i="3"/>
  <c r="A12" i="3"/>
  <c r="A13" i="3"/>
  <c r="A14" i="3"/>
  <c r="A15" i="3"/>
  <c r="A16" i="3"/>
  <c r="A17" i="3"/>
  <c r="A3" i="3"/>
  <c r="A4" i="3"/>
  <c r="A5" i="3"/>
  <c r="A6" i="3"/>
  <c r="P16" i="5"/>
  <c r="Q16" i="5"/>
  <c r="B16" i="5"/>
  <c r="B19" i="6"/>
  <c r="O22" i="6"/>
  <c r="J19" i="6"/>
  <c r="L2" i="6"/>
  <c r="D2" i="6" s="1"/>
  <c r="O2" i="6"/>
  <c r="G2" i="6" s="1"/>
  <c r="N2" i="6"/>
  <c r="F2" i="6" s="1"/>
  <c r="M2" i="6"/>
  <c r="E2" i="6" s="1"/>
  <c r="O16" i="6"/>
  <c r="N16" i="6"/>
  <c r="M16" i="6"/>
  <c r="L16" i="6" s="1"/>
  <c r="O15" i="6"/>
  <c r="N15" i="6"/>
  <c r="M15" i="6"/>
  <c r="L15" i="6" s="1"/>
  <c r="O14" i="6"/>
  <c r="N14" i="6"/>
  <c r="M14" i="6"/>
  <c r="L14" i="6" s="1"/>
  <c r="O13" i="6"/>
  <c r="N13" i="6"/>
  <c r="M13" i="6"/>
  <c r="L13" i="6" s="1"/>
  <c r="O12" i="6"/>
  <c r="N12" i="6"/>
  <c r="M12" i="6"/>
  <c r="L12" i="6" s="1"/>
  <c r="O11" i="6"/>
  <c r="N11" i="6"/>
  <c r="M11" i="6"/>
  <c r="L11" i="6" s="1"/>
  <c r="O10" i="6"/>
  <c r="N10" i="6"/>
  <c r="M10" i="6"/>
  <c r="L10" i="6" s="1"/>
  <c r="O9" i="6"/>
  <c r="N9" i="6"/>
  <c r="M9" i="6"/>
  <c r="L9" i="6" s="1"/>
  <c r="O8" i="6"/>
  <c r="N8" i="6"/>
  <c r="M8" i="6"/>
  <c r="L8" i="6" s="1"/>
  <c r="O7" i="6"/>
  <c r="N7" i="6"/>
  <c r="M7" i="6"/>
  <c r="L7" i="6" s="1"/>
  <c r="O6" i="6"/>
  <c r="N6" i="6"/>
  <c r="M6" i="6"/>
  <c r="L6" i="6" s="1"/>
  <c r="O5" i="6"/>
  <c r="N5" i="6"/>
  <c r="M5" i="6"/>
  <c r="L5" i="6" s="1"/>
  <c r="O4" i="6"/>
  <c r="N4" i="6"/>
  <c r="M4" i="6"/>
  <c r="L4" i="6" s="1"/>
  <c r="O3" i="6"/>
  <c r="N3" i="6"/>
  <c r="M3" i="6"/>
  <c r="L3" i="6" s="1"/>
  <c r="F2" i="5"/>
  <c r="S5" i="5"/>
  <c r="S4" i="5"/>
  <c r="J4" i="5" s="1"/>
  <c r="K4" i="5" s="1"/>
  <c r="R5" i="5"/>
  <c r="R4" i="5"/>
  <c r="R3" i="5"/>
  <c r="F3" i="5"/>
  <c r="C3" i="5" s="1"/>
  <c r="D3" i="5" s="1"/>
  <c r="E3" i="5" s="1"/>
  <c r="L3" i="5"/>
  <c r="F4" i="5"/>
  <c r="C4" i="5" s="1"/>
  <c r="D4" i="5" s="1"/>
  <c r="E4" i="5" s="1"/>
  <c r="L4" i="5"/>
  <c r="F5" i="5"/>
  <c r="C5" i="5" s="1"/>
  <c r="D5" i="5" s="1"/>
  <c r="E5" i="5" s="1"/>
  <c r="L5" i="5"/>
  <c r="F6" i="5"/>
  <c r="C6" i="5" s="1"/>
  <c r="D6" i="5" s="1"/>
  <c r="E6" i="5" s="1"/>
  <c r="L6" i="5"/>
  <c r="F7" i="5"/>
  <c r="C7" i="5" s="1"/>
  <c r="D7" i="5" s="1"/>
  <c r="E7" i="5" s="1"/>
  <c r="L7" i="5"/>
  <c r="F8" i="5"/>
  <c r="C8" i="5" s="1"/>
  <c r="D8" i="5" s="1"/>
  <c r="E8" i="5" s="1"/>
  <c r="L8" i="5"/>
  <c r="F9" i="5"/>
  <c r="C9" i="5" s="1"/>
  <c r="D9" i="5" s="1"/>
  <c r="E9" i="5" s="1"/>
  <c r="L9" i="5"/>
  <c r="F10" i="5"/>
  <c r="C10" i="5" s="1"/>
  <c r="D10" i="5" s="1"/>
  <c r="E10" i="5" s="1"/>
  <c r="L10" i="5"/>
  <c r="F11" i="5"/>
  <c r="C11" i="5" s="1"/>
  <c r="D11" i="5" s="1"/>
  <c r="E11" i="5" s="1"/>
  <c r="L11" i="5"/>
  <c r="F12" i="5"/>
  <c r="C12" i="5" s="1"/>
  <c r="D12" i="5" s="1"/>
  <c r="E12" i="5" s="1"/>
  <c r="L12" i="5"/>
  <c r="F13" i="5"/>
  <c r="C13" i="5" s="1"/>
  <c r="D13" i="5" s="1"/>
  <c r="E13" i="5" s="1"/>
  <c r="L13" i="5"/>
  <c r="F14" i="5"/>
  <c r="C14" i="5" s="1"/>
  <c r="D14" i="5" s="1"/>
  <c r="E14" i="5" s="1"/>
  <c r="L14" i="5"/>
  <c r="F15" i="5"/>
  <c r="C15" i="5" s="1"/>
  <c r="D15" i="5" s="1"/>
  <c r="E15" i="5" s="1"/>
  <c r="I15" i="5"/>
  <c r="L15" i="5"/>
  <c r="L2" i="5"/>
  <c r="T2" i="5"/>
  <c r="F18" i="6" a="1"/>
  <c r="D18" i="6" a="1"/>
  <c r="C19" i="6" a="1"/>
  <c r="M18" i="6" a="1"/>
  <c r="N18" i="6" a="1"/>
  <c r="K19" i="6" a="1"/>
  <c r="L18" i="6" a="1"/>
  <c r="K18" i="6" a="1"/>
  <c r="E18" i="6" a="1"/>
  <c r="G18" i="6" a="1"/>
  <c r="O10" i="5" l="1"/>
  <c r="M10" i="5"/>
  <c r="N10" i="5" s="1"/>
  <c r="O3" i="5"/>
  <c r="M3" i="5"/>
  <c r="N3" i="5" s="1"/>
  <c r="O11" i="5"/>
  <c r="M11" i="5"/>
  <c r="N11" i="5" s="1"/>
  <c r="O9" i="5"/>
  <c r="M9" i="5"/>
  <c r="N9" i="5" s="1"/>
  <c r="O15" i="5"/>
  <c r="M15" i="5"/>
  <c r="N15" i="5" s="1"/>
  <c r="O12" i="5"/>
  <c r="M12" i="5"/>
  <c r="N12" i="5" s="1"/>
  <c r="O5" i="5"/>
  <c r="M5" i="5"/>
  <c r="N5" i="5" s="1"/>
  <c r="O4" i="5"/>
  <c r="M4" i="5"/>
  <c r="N4" i="5" s="1"/>
  <c r="O2" i="5"/>
  <c r="M2" i="5"/>
  <c r="O8" i="5"/>
  <c r="M8" i="5"/>
  <c r="N8" i="5" s="1"/>
  <c r="O14" i="5"/>
  <c r="M14" i="5"/>
  <c r="N14" i="5" s="1"/>
  <c r="O7" i="5"/>
  <c r="M7" i="5"/>
  <c r="N7" i="5" s="1"/>
  <c r="O13" i="5"/>
  <c r="M13" i="5"/>
  <c r="N13" i="5" s="1"/>
  <c r="O6" i="5"/>
  <c r="M6" i="5"/>
  <c r="N6" i="5" s="1"/>
  <c r="J14" i="5"/>
  <c r="K14" i="5" s="1"/>
  <c r="G15" i="5"/>
  <c r="H15" i="5" s="1"/>
  <c r="C2" i="5"/>
  <c r="D2" i="5" s="1"/>
  <c r="E2" i="5" s="1"/>
  <c r="G2" i="5"/>
  <c r="H2" i="5" s="1"/>
  <c r="J7" i="5"/>
  <c r="K7" i="5" s="1"/>
  <c r="J2" i="5"/>
  <c r="K2" i="5" s="1"/>
  <c r="J3" i="5"/>
  <c r="K3" i="5" s="1"/>
  <c r="J15" i="5"/>
  <c r="K15" i="5" s="1"/>
  <c r="G14" i="5"/>
  <c r="H14" i="5" s="1"/>
  <c r="G13" i="5"/>
  <c r="H13" i="5" s="1"/>
  <c r="G10" i="5"/>
  <c r="J13" i="5"/>
  <c r="K13" i="5" s="1"/>
  <c r="J10" i="5"/>
  <c r="K10" i="5" s="1"/>
  <c r="J9" i="5"/>
  <c r="K9" i="5" s="1"/>
  <c r="J8" i="5"/>
  <c r="K8" i="5" s="1"/>
  <c r="J6" i="5"/>
  <c r="K6" i="5" s="1"/>
  <c r="J12" i="5"/>
  <c r="K12" i="5" s="1"/>
  <c r="J11" i="5"/>
  <c r="K11" i="5" s="1"/>
  <c r="G9" i="5"/>
  <c r="G8" i="5"/>
  <c r="J5" i="5"/>
  <c r="K5" i="5" s="1"/>
  <c r="G3" i="5"/>
  <c r="G12" i="5"/>
  <c r="G6" i="5"/>
  <c r="G5" i="5"/>
  <c r="G4" i="5"/>
  <c r="G11" i="5"/>
  <c r="G7" i="5"/>
  <c r="C16" i="5"/>
  <c r="D16" i="5" s="1"/>
  <c r="E16" i="5" s="1"/>
  <c r="L16" i="5"/>
  <c r="O16" i="5" s="1"/>
  <c r="I16" i="5"/>
  <c r="J16" i="5" s="1"/>
  <c r="K16" i="5" s="1"/>
  <c r="G15" i="8"/>
  <c r="F18" i="6"/>
  <c r="G18" i="6"/>
  <c r="E18" i="6"/>
  <c r="D18" i="6"/>
  <c r="C19" i="6"/>
  <c r="C10" i="7"/>
  <c r="C35" i="7" s="1"/>
  <c r="E39" i="7"/>
  <c r="F40" i="7"/>
  <c r="E37" i="7"/>
  <c r="F27" i="7"/>
  <c r="C16" i="7"/>
  <c r="C41" i="7"/>
  <c r="F37" i="7"/>
  <c r="E32" i="7"/>
  <c r="N32" i="7" s="1"/>
  <c r="F32" i="7"/>
  <c r="O32" i="7" s="1"/>
  <c r="E27" i="7"/>
  <c r="E38" i="7"/>
  <c r="F38" i="7"/>
  <c r="E33" i="7"/>
  <c r="F33" i="7"/>
  <c r="E28" i="7"/>
  <c r="N28" i="7" s="1"/>
  <c r="F28" i="7"/>
  <c r="O28" i="7" s="1"/>
  <c r="E40" i="7"/>
  <c r="D16" i="7"/>
  <c r="D41" i="7" s="1"/>
  <c r="F16" i="5"/>
  <c r="G16" i="5" s="1"/>
  <c r="K19" i="6"/>
  <c r="N18" i="6"/>
  <c r="M18" i="6"/>
  <c r="L18" i="6"/>
  <c r="K18" i="6"/>
  <c r="K4" i="4"/>
  <c r="K5" i="4"/>
  <c r="K6" i="4"/>
  <c r="K7" i="4"/>
  <c r="K8" i="4"/>
  <c r="K9" i="4"/>
  <c r="K10" i="4"/>
  <c r="K11" i="4"/>
  <c r="K12" i="4"/>
  <c r="K13" i="4"/>
  <c r="K14" i="4"/>
  <c r="K15" i="4"/>
  <c r="N15" i="4" s="1"/>
  <c r="R15" i="4" s="1"/>
  <c r="K16" i="4"/>
  <c r="M16" i="4" s="1"/>
  <c r="Q16" i="4" s="1"/>
  <c r="K3" i="4"/>
  <c r="R3" i="4"/>
  <c r="R4" i="4"/>
  <c r="S4" i="4"/>
  <c r="R5" i="4"/>
  <c r="S5" i="4"/>
  <c r="R6" i="4"/>
  <c r="S6" i="4"/>
  <c r="R7" i="4"/>
  <c r="Q4" i="4"/>
  <c r="Q5" i="4"/>
  <c r="Q3" i="4"/>
  <c r="M5" i="4"/>
  <c r="O6" i="4"/>
  <c r="N7" i="4"/>
  <c r="N8" i="4"/>
  <c r="R8" i="4" s="1"/>
  <c r="M9" i="4"/>
  <c r="Q9" i="4" s="1"/>
  <c r="M10" i="4"/>
  <c r="Q10" i="4" s="1"/>
  <c r="M11" i="4"/>
  <c r="Q11" i="4" s="1"/>
  <c r="M12" i="4"/>
  <c r="Q12" i="4" s="1"/>
  <c r="M13" i="4"/>
  <c r="Q13" i="4" s="1"/>
  <c r="M14" i="4"/>
  <c r="Q14" i="4" s="1"/>
  <c r="M15" i="4"/>
  <c r="Q15" i="4" s="1"/>
  <c r="N3" i="4"/>
  <c r="O3" i="4"/>
  <c r="S3" i="4" s="1"/>
  <c r="N4" i="4"/>
  <c r="O4" i="4"/>
  <c r="N5" i="4"/>
  <c r="O5" i="4"/>
  <c r="N6" i="4"/>
  <c r="O8" i="4"/>
  <c r="S8" i="4" s="1"/>
  <c r="N9" i="4"/>
  <c r="R9" i="4" s="1"/>
  <c r="O9" i="4"/>
  <c r="S9" i="4" s="1"/>
  <c r="N10" i="4"/>
  <c r="R10" i="4" s="1"/>
  <c r="O10" i="4"/>
  <c r="S10" i="4" s="1"/>
  <c r="N11" i="4"/>
  <c r="R11" i="4" s="1"/>
  <c r="O11" i="4"/>
  <c r="S11" i="4" s="1"/>
  <c r="N12" i="4"/>
  <c r="R12" i="4" s="1"/>
  <c r="O12" i="4"/>
  <c r="S12" i="4" s="1"/>
  <c r="N13" i="4"/>
  <c r="R13" i="4" s="1"/>
  <c r="O13" i="4"/>
  <c r="S13" i="4" s="1"/>
  <c r="N14" i="4"/>
  <c r="R14" i="4" s="1"/>
  <c r="O14" i="4"/>
  <c r="S14" i="4" s="1"/>
  <c r="M4" i="4"/>
  <c r="M3" i="4"/>
  <c r="I3" i="4"/>
  <c r="J3" i="4"/>
  <c r="I4" i="4"/>
  <c r="J4" i="4"/>
  <c r="I5" i="4"/>
  <c r="J5" i="4"/>
  <c r="I6" i="4"/>
  <c r="J6" i="4"/>
  <c r="I7" i="4"/>
  <c r="J7" i="4"/>
  <c r="I8" i="4"/>
  <c r="J8" i="4"/>
  <c r="I9" i="4"/>
  <c r="J9" i="4"/>
  <c r="I10" i="4"/>
  <c r="J10" i="4"/>
  <c r="I11" i="4"/>
  <c r="J11" i="4"/>
  <c r="I12" i="4"/>
  <c r="J12" i="4"/>
  <c r="I13" i="4"/>
  <c r="I14" i="4"/>
  <c r="J14" i="4"/>
  <c r="I15" i="4"/>
  <c r="J15" i="4"/>
  <c r="I16" i="4"/>
  <c r="J16" i="4"/>
  <c r="H4" i="4"/>
  <c r="H5" i="4"/>
  <c r="H6" i="4"/>
  <c r="H7" i="4"/>
  <c r="H8" i="4"/>
  <c r="H9" i="4"/>
  <c r="H10" i="4"/>
  <c r="H11" i="4"/>
  <c r="H12" i="4"/>
  <c r="H14" i="4"/>
  <c r="H15" i="4"/>
  <c r="H16" i="4"/>
  <c r="H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3" i="4"/>
  <c r="E2" i="3"/>
  <c r="D2" i="3"/>
  <c r="A2" i="3"/>
  <c r="C20" i="6" a="1"/>
  <c r="K22" i="6" a="1"/>
  <c r="M16" i="5" l="1"/>
  <c r="N16" i="5" s="1"/>
  <c r="H10" i="5"/>
  <c r="H4" i="5"/>
  <c r="H3" i="5"/>
  <c r="H6" i="5"/>
  <c r="H12" i="5"/>
  <c r="H8" i="5"/>
  <c r="H9" i="5"/>
  <c r="H16" i="5"/>
  <c r="H7" i="5"/>
  <c r="H5" i="5"/>
  <c r="H11" i="5"/>
  <c r="C20" i="6"/>
  <c r="C22" i="6" s="1"/>
  <c r="M19" i="6"/>
  <c r="M20" i="6" s="1"/>
  <c r="N19" i="6"/>
  <c r="N20" i="6" s="1"/>
  <c r="L19" i="6"/>
  <c r="L20" i="6" s="1"/>
  <c r="K22" i="6"/>
  <c r="K23" i="6" s="1"/>
  <c r="N16" i="4"/>
  <c r="R16" i="4" s="1"/>
  <c r="O15" i="4"/>
  <c r="S15" i="4" s="1"/>
  <c r="O16" i="4"/>
  <c r="S16" i="4" s="1"/>
  <c r="M8" i="4"/>
  <c r="Q8" i="4" s="1"/>
  <c r="M7" i="4"/>
  <c r="Q7" i="4" s="1"/>
  <c r="O7" i="4"/>
  <c r="S7" i="4" s="1"/>
  <c r="M6" i="4"/>
  <c r="Q6" i="4" s="1"/>
  <c r="J21" i="6" a="1"/>
  <c r="J21" i="6" l="1"/>
  <c r="D20" i="6"/>
  <c r="K24" i="6"/>
  <c r="K26" i="6" s="1"/>
  <c r="L2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St. Michel</author>
  </authors>
  <commentList>
    <comment ref="A44" authorId="0" shapeId="0" xr:uid="{C93727AB-EFD7-4BB4-914E-A1047C2C71FB}">
      <text>
        <r>
          <rPr>
            <b/>
            <sz val="9"/>
            <color indexed="81"/>
            <rFont val="Tahoma"/>
            <family val="2"/>
          </rPr>
          <t>Luc St. Michel:</t>
        </r>
        <r>
          <rPr>
            <sz val="9"/>
            <color indexed="81"/>
            <rFont val="Tahoma"/>
            <family val="2"/>
          </rPr>
          <t xml:space="preserve">
Linearly extrapolated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St. Michel</author>
  </authors>
  <commentList>
    <comment ref="A16" authorId="0" shapeId="0" xr:uid="{787B53C8-ACC2-4C65-A325-116BF8D35777}">
      <text>
        <r>
          <rPr>
            <b/>
            <sz val="9"/>
            <color indexed="81"/>
            <rFont val="Tahoma"/>
            <family val="2"/>
          </rPr>
          <t>Luc St. Michel:</t>
        </r>
        <r>
          <rPr>
            <sz val="9"/>
            <color indexed="81"/>
            <rFont val="Tahoma"/>
            <family val="2"/>
          </rPr>
          <t xml:space="preserve">
Linearly extrapolated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St. Michel</author>
  </authors>
  <commentList>
    <comment ref="A16" authorId="0" shapeId="0" xr:uid="{412CDF07-59C5-4AEB-A5F3-2E813F3C1242}">
      <text>
        <r>
          <rPr>
            <b/>
            <sz val="9"/>
            <color indexed="81"/>
            <rFont val="Tahoma"/>
            <family val="2"/>
          </rPr>
          <t>Luc St. Michel:</t>
        </r>
        <r>
          <rPr>
            <sz val="9"/>
            <color indexed="81"/>
            <rFont val="Tahoma"/>
            <family val="2"/>
          </rPr>
          <t xml:space="preserve">
Linearly extrapolated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 St. Michel</author>
  </authors>
  <commentList>
    <comment ref="A16" authorId="0" shapeId="0" xr:uid="{6D73F8EE-67AA-4CB3-A167-ED37A04F6312}">
      <text>
        <r>
          <rPr>
            <b/>
            <sz val="9"/>
            <color indexed="81"/>
            <rFont val="Tahoma"/>
            <family val="2"/>
          </rPr>
          <t>Luc St. Michel:</t>
        </r>
        <r>
          <rPr>
            <sz val="9"/>
            <color indexed="81"/>
            <rFont val="Tahoma"/>
            <family val="2"/>
          </rPr>
          <t xml:space="preserve">
Linearly extrapolated</t>
        </r>
      </text>
    </comment>
    <comment ref="A41" authorId="0" shapeId="0" xr:uid="{319C50DA-BD80-41BE-B3B3-A8FB9882E154}">
      <text>
        <r>
          <rPr>
            <b/>
            <sz val="9"/>
            <color indexed="81"/>
            <rFont val="Tahoma"/>
            <family val="2"/>
          </rPr>
          <t>Luc St. Michel:</t>
        </r>
        <r>
          <rPr>
            <sz val="9"/>
            <color indexed="81"/>
            <rFont val="Tahoma"/>
            <family val="2"/>
          </rPr>
          <t xml:space="preserve">
Linearly extrapolated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<sst xmlns="http://schemas.openxmlformats.org/spreadsheetml/2006/main" count="115" uniqueCount="58">
  <si>
    <t>nseries</t>
  </si>
  <si>
    <t>nparallels</t>
  </si>
  <si>
    <t>cell_sheet</t>
  </si>
  <si>
    <t>OCV</t>
  </si>
  <si>
    <t>SOC</t>
  </si>
  <si>
    <t>Group</t>
  </si>
  <si>
    <t>motor_id</t>
  </si>
  <si>
    <t>IR1</t>
  </si>
  <si>
    <t>C1</t>
  </si>
  <si>
    <t>Cp_cell</t>
  </si>
  <si>
    <t>mass_cell</t>
  </si>
  <si>
    <t>min_temp</t>
  </si>
  <si>
    <t>max_temp</t>
  </si>
  <si>
    <t>capacity_Ah</t>
  </si>
  <si>
    <t>groupID</t>
  </si>
  <si>
    <t>MotorID</t>
  </si>
  <si>
    <t>index</t>
  </si>
  <si>
    <t>length_m</t>
  </si>
  <si>
    <t>ResistanceCable_mOhm_per_m</t>
  </si>
  <si>
    <t>avg</t>
  </si>
  <si>
    <t>Crating</t>
  </si>
  <si>
    <t>Error</t>
  </si>
  <si>
    <t>IR_1C</t>
  </si>
  <si>
    <t>IR_4C</t>
  </si>
  <si>
    <t>IR_8C</t>
  </si>
  <si>
    <t>Crate_col</t>
  </si>
  <si>
    <t>Crate_value</t>
  </si>
  <si>
    <t>IR_0C</t>
  </si>
  <si>
    <t>SOC interp</t>
  </si>
  <si>
    <t>Current</t>
  </si>
  <si>
    <t>Voltage</t>
  </si>
  <si>
    <t>Power</t>
  </si>
  <si>
    <t>nSeries</t>
  </si>
  <si>
    <t>nParallels</t>
  </si>
  <si>
    <t>TotalGrpPower</t>
  </si>
  <si>
    <t>TargetPower</t>
  </si>
  <si>
    <t>totalCurrent</t>
  </si>
  <si>
    <t>power</t>
  </si>
  <si>
    <t>current</t>
  </si>
  <si>
    <t>1,2,3,4</t>
  </si>
  <si>
    <t>EOL_cell_fct_CRate</t>
  </si>
  <si>
    <t>Efficiency</t>
  </si>
  <si>
    <t>CellPower</t>
  </si>
  <si>
    <t>C-Rate</t>
  </si>
  <si>
    <t>IR_12C</t>
  </si>
  <si>
    <t>Crate_value_A</t>
  </si>
  <si>
    <t>Vline_1C</t>
  </si>
  <si>
    <t>Vline_4C</t>
  </si>
  <si>
    <t>Vline_0C</t>
  </si>
  <si>
    <t>Power_0C</t>
  </si>
  <si>
    <t>Power_1C</t>
  </si>
  <si>
    <t>Power_4C</t>
  </si>
  <si>
    <t>Vline_8C</t>
  </si>
  <si>
    <t>Power_8C</t>
  </si>
  <si>
    <t>C_rate</t>
  </si>
  <si>
    <t>IR0_mOhm</t>
  </si>
  <si>
    <t>Power_W</t>
  </si>
  <si>
    <t>ir0_calc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</si>
</sst>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0" xfId="0" applyFill="1" applyAlignment="1">
      <alignment horizontal="center"/>
    </xf>
    <xf numFmtId="165" fontId="0" fillId="0" borderId="0" xfId="0" applyNumberFormat="1"/>
    <xf numFmtId="0" fontId="0" fillId="4" borderId="0" xfId="0" applyFill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164" fontId="0" fillId="0" borderId="0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IR0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LBV_model!$H$2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LBV_model!$G$3:$G$16</c:f>
              <c:numCache>
                <c:formatCode>General</c:formatCode>
                <c:ptCount val="14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0.35</c:v>
                </c:pt>
                <c:pt idx="8">
                  <c:v>0.3</c:v>
                </c:pt>
                <c:pt idx="9">
                  <c:v>0.25</c:v>
                </c:pt>
                <c:pt idx="10">
                  <c:v>0.2</c:v>
                </c:pt>
                <c:pt idx="11">
                  <c:v>0.15</c:v>
                </c:pt>
                <c:pt idx="12">
                  <c:v>0.1</c:v>
                </c:pt>
                <c:pt idx="13">
                  <c:v>0.05</c:v>
                </c:pt>
              </c:numCache>
            </c:numRef>
          </c:xVal>
          <c:yVal>
            <c:numRef>
              <c:f>LBV_model!$H$3:$H$16</c:f>
              <c:numCache>
                <c:formatCode>General</c:formatCode>
                <c:ptCount val="14"/>
                <c:pt idx="0">
                  <c:v>4.8048048048048098E-3</c:v>
                </c:pt>
                <c:pt idx="1">
                  <c:v>3.003003003003006E-3</c:v>
                </c:pt>
                <c:pt idx="2">
                  <c:v>3.6036036036036071E-3</c:v>
                </c:pt>
                <c:pt idx="3">
                  <c:v>3.3033033033033001E-3</c:v>
                </c:pt>
                <c:pt idx="4">
                  <c:v>3.6036036036036071E-3</c:v>
                </c:pt>
                <c:pt idx="5">
                  <c:v>3.6036036036036071E-3</c:v>
                </c:pt>
                <c:pt idx="6">
                  <c:v>3.9039039039039012E-3</c:v>
                </c:pt>
                <c:pt idx="7">
                  <c:v>3.9039039039039012E-3</c:v>
                </c:pt>
                <c:pt idx="8">
                  <c:v>4.5045045045045019E-3</c:v>
                </c:pt>
                <c:pt idx="9">
                  <c:v>4.8048048048048098E-3</c:v>
                </c:pt>
                <c:pt idx="10">
                  <c:v>5.4054054054054109E-3</c:v>
                </c:pt>
                <c:pt idx="11">
                  <c:v>6.6066066066066131E-3</c:v>
                </c:pt>
                <c:pt idx="12">
                  <c:v>9.3093093093093125E-3</c:v>
                </c:pt>
                <c:pt idx="13">
                  <c:v>1.5615615615615605E-2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127-49F9-9BBD-30A6B7661170}"/>
            </c:ext>
          </c:extLst>
        </c:ser>
        <c:ser>
          <c:idx val="1"/>
          <c:order val="1"/>
          <c:tx>
            <c:strRef>
              <c:f>LBV_model!$I$2</c:f>
              <c:strCache>
                <c:ptCount val="1"/>
                <c:pt idx="0">
                  <c:v>4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LBV_model!$G$3:$G$16</c:f>
              <c:numCache>
                <c:formatCode>General</c:formatCode>
                <c:ptCount val="14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0.35</c:v>
                </c:pt>
                <c:pt idx="8">
                  <c:v>0.3</c:v>
                </c:pt>
                <c:pt idx="9">
                  <c:v>0.25</c:v>
                </c:pt>
                <c:pt idx="10">
                  <c:v>0.2</c:v>
                </c:pt>
                <c:pt idx="11">
                  <c:v>0.15</c:v>
                </c:pt>
                <c:pt idx="12">
                  <c:v>0.1</c:v>
                </c:pt>
                <c:pt idx="13">
                  <c:v>0.05</c:v>
                </c:pt>
              </c:numCache>
            </c:numRef>
          </c:xVal>
          <c:yVal>
            <c:numRef>
              <c:f>LBV_model!$I$3:$I$16</c:f>
              <c:numCache>
                <c:formatCode>General</c:formatCode>
                <c:ptCount val="14"/>
                <c:pt idx="0">
                  <c:v>2.9279279279279292E-3</c:v>
                </c:pt>
                <c:pt idx="1">
                  <c:v>2.1021021021021009E-3</c:v>
                </c:pt>
                <c:pt idx="2">
                  <c:v>2.2522522522522509E-3</c:v>
                </c:pt>
                <c:pt idx="3">
                  <c:v>2.1771771771771776E-3</c:v>
                </c:pt>
                <c:pt idx="4">
                  <c:v>2.3273273273273281E-3</c:v>
                </c:pt>
                <c:pt idx="5">
                  <c:v>2.3273273273273281E-3</c:v>
                </c:pt>
                <c:pt idx="6">
                  <c:v>2.3273273273273281E-3</c:v>
                </c:pt>
                <c:pt idx="7">
                  <c:v>2.4774774774774782E-3</c:v>
                </c:pt>
                <c:pt idx="8">
                  <c:v>2.702702702702702E-3</c:v>
                </c:pt>
                <c:pt idx="9">
                  <c:v>3.0780780780780793E-3</c:v>
                </c:pt>
                <c:pt idx="10">
                  <c:v>3.6786786786786804E-3</c:v>
                </c:pt>
                <c:pt idx="11">
                  <c:v>4.9549549549549564E-3</c:v>
                </c:pt>
                <c:pt idx="12">
                  <c:v>8.1081081081081086E-3</c:v>
                </c:pt>
                <c:pt idx="13">
                  <c:v>1.509009009009009E-2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27-49F9-9BBD-30A6B7661170}"/>
            </c:ext>
          </c:extLst>
        </c:ser>
        <c:ser>
          <c:idx val="2"/>
          <c:order val="2"/>
          <c:tx>
            <c:strRef>
              <c:f>LBV_model!$J$2</c:f>
              <c:strCache>
                <c:ptCount val="1"/>
                <c:pt idx="0">
                  <c:v>8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LBV_model!$G$3:$G$16</c:f>
              <c:numCache>
                <c:formatCode>General</c:formatCode>
                <c:ptCount val="14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0.35</c:v>
                </c:pt>
                <c:pt idx="8">
                  <c:v>0.3</c:v>
                </c:pt>
                <c:pt idx="9">
                  <c:v>0.25</c:v>
                </c:pt>
                <c:pt idx="10">
                  <c:v>0.2</c:v>
                </c:pt>
                <c:pt idx="11">
                  <c:v>0.15</c:v>
                </c:pt>
                <c:pt idx="12">
                  <c:v>0.1</c:v>
                </c:pt>
                <c:pt idx="13">
                  <c:v>0.05</c:v>
                </c:pt>
              </c:numCache>
            </c:numRef>
          </c:xVal>
          <c:yVal>
            <c:numRef>
              <c:f>LBV_model!$J$3:$J$16</c:f>
              <c:numCache>
                <c:formatCode>General</c:formatCode>
                <c:ptCount val="14"/>
                <c:pt idx="0">
                  <c:v>2.2897897897897895E-3</c:v>
                </c:pt>
                <c:pt idx="1">
                  <c:v>1.8768768768768771E-3</c:v>
                </c:pt>
                <c:pt idx="2">
                  <c:v>1.9519519519519521E-3</c:v>
                </c:pt>
                <c:pt idx="3">
                  <c:v>1.9144144144144137E-3</c:v>
                </c:pt>
                <c:pt idx="4">
                  <c:v>1.989489489489489E-3</c:v>
                </c:pt>
                <c:pt idx="5">
                  <c:v>1.9519519519519521E-3</c:v>
                </c:pt>
                <c:pt idx="6">
                  <c:v>2.0270270270270271E-3</c:v>
                </c:pt>
                <c:pt idx="7">
                  <c:v>2.1396396396396408E-3</c:v>
                </c:pt>
                <c:pt idx="8">
                  <c:v>2.3648648648648646E-3</c:v>
                </c:pt>
                <c:pt idx="9">
                  <c:v>2.8153153153153156E-3</c:v>
                </c:pt>
                <c:pt idx="10">
                  <c:v>3.3783783783783799E-3</c:v>
                </c:pt>
                <c:pt idx="11">
                  <c:v>5.030030030030031E-3</c:v>
                </c:pt>
                <c:pt idx="12">
                  <c:v>8.5585585585585596E-3</c:v>
                </c:pt>
                <c:pt idx="13">
                  <c:v>1.1298798798798798E-2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127-49F9-9BBD-30A6B7661170}"/>
            </c:ext>
          </c:extLst>
        </c:ser>
        <c:ser>
          <c:idx val="3"/>
          <c:order val="3"/>
          <c:tx>
            <c:strRef>
              <c:f>LBV_model!$K$2</c:f>
              <c:strCache>
                <c:ptCount val="1"/>
                <c:pt idx="0">
                  <c:v>avg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LBV_model!$G$3:$G$16</c:f>
              <c:numCache>
                <c:formatCode>General</c:formatCode>
                <c:ptCount val="14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0.35</c:v>
                </c:pt>
                <c:pt idx="8">
                  <c:v>0.3</c:v>
                </c:pt>
                <c:pt idx="9">
                  <c:v>0.25</c:v>
                </c:pt>
                <c:pt idx="10">
                  <c:v>0.2</c:v>
                </c:pt>
                <c:pt idx="11">
                  <c:v>0.15</c:v>
                </c:pt>
                <c:pt idx="12">
                  <c:v>0.1</c:v>
                </c:pt>
                <c:pt idx="13">
                  <c:v>0.05</c:v>
                </c:pt>
              </c:numCache>
            </c:numRef>
          </c:xVal>
          <c:yVal>
            <c:numRef>
              <c:f>LBV_model!$K$3:$K$16</c:f>
              <c:numCache>
                <c:formatCode>General</c:formatCode>
                <c:ptCount val="14"/>
                <c:pt idx="0">
                  <c:v>3.3408408408408426E-3</c:v>
                </c:pt>
                <c:pt idx="1">
                  <c:v>2.3273273273273281E-3</c:v>
                </c:pt>
                <c:pt idx="2">
                  <c:v>2.6026026026026035E-3</c:v>
                </c:pt>
                <c:pt idx="3">
                  <c:v>2.4649649649649639E-3</c:v>
                </c:pt>
                <c:pt idx="4">
                  <c:v>2.6401401401401417E-3</c:v>
                </c:pt>
                <c:pt idx="5">
                  <c:v>2.6276276276276291E-3</c:v>
                </c:pt>
                <c:pt idx="6">
                  <c:v>2.7527527527527519E-3</c:v>
                </c:pt>
                <c:pt idx="7">
                  <c:v>2.8403403403403399E-3</c:v>
                </c:pt>
                <c:pt idx="8">
                  <c:v>3.1906906906906895E-3</c:v>
                </c:pt>
                <c:pt idx="9">
                  <c:v>3.5660660660660685E-3</c:v>
                </c:pt>
                <c:pt idx="10">
                  <c:v>4.1541541541541575E-3</c:v>
                </c:pt>
                <c:pt idx="11">
                  <c:v>5.5305305305305341E-3</c:v>
                </c:pt>
                <c:pt idx="12">
                  <c:v>8.6586586586586602E-3</c:v>
                </c:pt>
                <c:pt idx="13">
                  <c:v>1.4001501501501498E-2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127-49F9-9BBD-30A6B76611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18341327"/>
        <c:axId val="2118344207"/>
      </c:scatterChart>
      <c:valAx>
        <c:axId val="21183413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344207"/>
        <c:crosses val="autoZero"/>
        <c:crossBetween val="midCat"/>
      </c:valAx>
      <c:valAx>
        <c:axId val="2118344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3413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Voltage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LBV_model!$B$2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LBV_model!$A$3:$A$16</c:f>
              <c:numCache>
                <c:formatCode>General</c:formatCode>
                <c:ptCount val="14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0.35</c:v>
                </c:pt>
                <c:pt idx="8">
                  <c:v>0.3</c:v>
                </c:pt>
                <c:pt idx="9">
                  <c:v>0.25</c:v>
                </c:pt>
                <c:pt idx="10">
                  <c:v>0.2</c:v>
                </c:pt>
                <c:pt idx="11">
                  <c:v>0.15</c:v>
                </c:pt>
                <c:pt idx="12">
                  <c:v>0.1</c:v>
                </c:pt>
                <c:pt idx="13">
                  <c:v>0.05</c:v>
                </c:pt>
              </c:numCache>
            </c:numRef>
          </c:xVal>
          <c:yVal>
            <c:numRef>
              <c:f>LBV_model!$B$3:$B$16</c:f>
              <c:numCache>
                <c:formatCode>General</c:formatCode>
                <c:ptCount val="14"/>
                <c:pt idx="0">
                  <c:v>4.17</c:v>
                </c:pt>
                <c:pt idx="1">
                  <c:v>3.98</c:v>
                </c:pt>
                <c:pt idx="2">
                  <c:v>3.88</c:v>
                </c:pt>
                <c:pt idx="3">
                  <c:v>3.75</c:v>
                </c:pt>
                <c:pt idx="4">
                  <c:v>3.63</c:v>
                </c:pt>
                <c:pt idx="5">
                  <c:v>3.49</c:v>
                </c:pt>
                <c:pt idx="6">
                  <c:v>3.38</c:v>
                </c:pt>
                <c:pt idx="7">
                  <c:v>3.33</c:v>
                </c:pt>
                <c:pt idx="8">
                  <c:v>3.29</c:v>
                </c:pt>
                <c:pt idx="9">
                  <c:v>3.25</c:v>
                </c:pt>
                <c:pt idx="10">
                  <c:v>3.2</c:v>
                </c:pt>
                <c:pt idx="11">
                  <c:v>3.14</c:v>
                </c:pt>
                <c:pt idx="12">
                  <c:v>3.08</c:v>
                </c:pt>
                <c:pt idx="13">
                  <c:v>3.01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20-4EA8-8022-AE28F8158EFD}"/>
            </c:ext>
          </c:extLst>
        </c:ser>
        <c:ser>
          <c:idx val="1"/>
          <c:order val="1"/>
          <c:tx>
            <c:strRef>
              <c:f>LBV_model!$C$2</c:f>
              <c:strCache>
                <c:ptCount val="1"/>
                <c:pt idx="0">
                  <c:v>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LBV_model!$A$3:$A$16</c:f>
              <c:numCache>
                <c:formatCode>General</c:formatCode>
                <c:ptCount val="14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0.35</c:v>
                </c:pt>
                <c:pt idx="8">
                  <c:v>0.3</c:v>
                </c:pt>
                <c:pt idx="9">
                  <c:v>0.25</c:v>
                </c:pt>
                <c:pt idx="10">
                  <c:v>0.2</c:v>
                </c:pt>
                <c:pt idx="11">
                  <c:v>0.15</c:v>
                </c:pt>
                <c:pt idx="12">
                  <c:v>0.1</c:v>
                </c:pt>
                <c:pt idx="13">
                  <c:v>0.05</c:v>
                </c:pt>
              </c:numCache>
            </c:numRef>
          </c:xVal>
          <c:yVal>
            <c:numRef>
              <c:f>LBV_model!$C$3:$C$16</c:f>
              <c:numCache>
                <c:formatCode>General</c:formatCode>
                <c:ptCount val="14"/>
                <c:pt idx="0">
                  <c:v>4.01</c:v>
                </c:pt>
                <c:pt idx="1">
                  <c:v>3.88</c:v>
                </c:pt>
                <c:pt idx="2">
                  <c:v>3.76</c:v>
                </c:pt>
                <c:pt idx="3">
                  <c:v>3.64</c:v>
                </c:pt>
                <c:pt idx="4">
                  <c:v>3.51</c:v>
                </c:pt>
                <c:pt idx="5">
                  <c:v>3.37</c:v>
                </c:pt>
                <c:pt idx="6">
                  <c:v>3.25</c:v>
                </c:pt>
                <c:pt idx="7">
                  <c:v>3.2</c:v>
                </c:pt>
                <c:pt idx="8">
                  <c:v>3.14</c:v>
                </c:pt>
                <c:pt idx="9">
                  <c:v>3.09</c:v>
                </c:pt>
                <c:pt idx="10">
                  <c:v>3.02</c:v>
                </c:pt>
                <c:pt idx="11">
                  <c:v>2.92</c:v>
                </c:pt>
                <c:pt idx="12">
                  <c:v>2.77</c:v>
                </c:pt>
                <c:pt idx="13">
                  <c:v>2.4900000000000002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20-4EA8-8022-AE28F8158EFD}"/>
            </c:ext>
          </c:extLst>
        </c:ser>
        <c:ser>
          <c:idx val="2"/>
          <c:order val="2"/>
          <c:tx>
            <c:strRef>
              <c:f>LBV_model!$D$2</c:f>
              <c:strCache>
                <c:ptCount val="1"/>
                <c:pt idx="0">
                  <c:v>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LBV_model!$A$3:$A$16</c:f>
              <c:numCache>
                <c:formatCode>General</c:formatCode>
                <c:ptCount val="14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0.35</c:v>
                </c:pt>
                <c:pt idx="8">
                  <c:v>0.3</c:v>
                </c:pt>
                <c:pt idx="9">
                  <c:v>0.25</c:v>
                </c:pt>
                <c:pt idx="10">
                  <c:v>0.2</c:v>
                </c:pt>
                <c:pt idx="11">
                  <c:v>0.15</c:v>
                </c:pt>
                <c:pt idx="12">
                  <c:v>0.1</c:v>
                </c:pt>
                <c:pt idx="13">
                  <c:v>0.05</c:v>
                </c:pt>
              </c:numCache>
            </c:numRef>
          </c:xVal>
          <c:yVal>
            <c:numRef>
              <c:f>LBV_model!$D$3:$D$16</c:f>
              <c:numCache>
                <c:formatCode>General</c:formatCode>
                <c:ptCount val="14"/>
                <c:pt idx="0">
                  <c:v>3.78</c:v>
                </c:pt>
                <c:pt idx="1">
                  <c:v>3.7</c:v>
                </c:pt>
                <c:pt idx="2">
                  <c:v>3.58</c:v>
                </c:pt>
                <c:pt idx="3">
                  <c:v>3.46</c:v>
                </c:pt>
                <c:pt idx="4">
                  <c:v>3.32</c:v>
                </c:pt>
                <c:pt idx="5">
                  <c:v>3.18</c:v>
                </c:pt>
                <c:pt idx="6">
                  <c:v>3.07</c:v>
                </c:pt>
                <c:pt idx="7">
                  <c:v>3</c:v>
                </c:pt>
                <c:pt idx="8">
                  <c:v>2.93</c:v>
                </c:pt>
                <c:pt idx="9">
                  <c:v>2.84</c:v>
                </c:pt>
                <c:pt idx="10">
                  <c:v>2.71</c:v>
                </c:pt>
                <c:pt idx="11">
                  <c:v>2.48</c:v>
                </c:pt>
                <c:pt idx="12">
                  <c:v>2</c:v>
                </c:pt>
                <c:pt idx="13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420-4EA8-8022-AE28F8158EFD}"/>
            </c:ext>
          </c:extLst>
        </c:ser>
        <c:ser>
          <c:idx val="3"/>
          <c:order val="3"/>
          <c:tx>
            <c:strRef>
              <c:f>LBV_model!$E$2</c:f>
              <c:strCache>
                <c:ptCount val="1"/>
                <c:pt idx="0">
                  <c:v>3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LBV_model!$A$3:$A$16</c:f>
              <c:numCache>
                <c:formatCode>General</c:formatCode>
                <c:ptCount val="14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0.35</c:v>
                </c:pt>
                <c:pt idx="8">
                  <c:v>0.3</c:v>
                </c:pt>
                <c:pt idx="9">
                  <c:v>0.25</c:v>
                </c:pt>
                <c:pt idx="10">
                  <c:v>0.2</c:v>
                </c:pt>
                <c:pt idx="11">
                  <c:v>0.15</c:v>
                </c:pt>
                <c:pt idx="12">
                  <c:v>0.1</c:v>
                </c:pt>
                <c:pt idx="13">
                  <c:v>0.05</c:v>
                </c:pt>
              </c:numCache>
            </c:numRef>
          </c:xVal>
          <c:yVal>
            <c:numRef>
              <c:f>LBV_model!$E$3:$E$16</c:f>
              <c:numCache>
                <c:formatCode>General</c:formatCode>
                <c:ptCount val="14"/>
                <c:pt idx="0">
                  <c:v>3.56</c:v>
                </c:pt>
                <c:pt idx="1">
                  <c:v>3.48</c:v>
                </c:pt>
                <c:pt idx="2">
                  <c:v>3.36</c:v>
                </c:pt>
                <c:pt idx="3">
                  <c:v>3.24</c:v>
                </c:pt>
                <c:pt idx="4">
                  <c:v>3.1</c:v>
                </c:pt>
                <c:pt idx="5">
                  <c:v>2.97</c:v>
                </c:pt>
                <c:pt idx="6">
                  <c:v>2.84</c:v>
                </c:pt>
                <c:pt idx="7">
                  <c:v>2.76</c:v>
                </c:pt>
                <c:pt idx="8">
                  <c:v>2.66</c:v>
                </c:pt>
                <c:pt idx="9">
                  <c:v>2.5</c:v>
                </c:pt>
                <c:pt idx="10">
                  <c:v>2.2999999999999998</c:v>
                </c:pt>
                <c:pt idx="11">
                  <c:v>1.8</c:v>
                </c:pt>
                <c:pt idx="12">
                  <c:v>0.8</c:v>
                </c:pt>
                <c:pt idx="1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420-4EA8-8022-AE28F8158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305280"/>
        <c:axId val="111309120"/>
      </c:scatterChart>
      <c:valAx>
        <c:axId val="11130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09120"/>
        <c:crosses val="autoZero"/>
        <c:crossBetween val="midCat"/>
      </c:valAx>
      <c:valAx>
        <c:axId val="11130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052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89535</xdr:colOff>
      <xdr:row>1</xdr:row>
      <xdr:rowOff>47625</xdr:rowOff>
    </xdr:from>
    <xdr:to>
      <xdr:col>29</xdr:col>
      <xdr:colOff>287655</xdr:colOff>
      <xdr:row>24</xdr:row>
      <xdr:rowOff>117132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BEACF7-A484-2A88-BC2C-E43479EBD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1535" y="238125"/>
          <a:ext cx="5684520" cy="4451007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17</xdr:row>
      <xdr:rowOff>125730</xdr:rowOff>
    </xdr:from>
    <xdr:to>
      <xdr:col>16</xdr:col>
      <xdr:colOff>304800</xdr:colOff>
      <xdr:row>32</xdr:row>
      <xdr:rowOff>125730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C60251C-7D06-1F98-1A40-D6F76260B1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365760</xdr:colOff>
      <xdr:row>17</xdr:row>
      <xdr:rowOff>11430</xdr:rowOff>
    </xdr:from>
    <xdr:to>
      <xdr:col>8</xdr:col>
      <xdr:colOff>60960</xdr:colOff>
      <xdr:row>32</xdr:row>
      <xdr:rowOff>11430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2619394-5EEC-7EEE-C33B-1EF1324537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ucStMichel\Documents\ExcelLib\interp1D.xla" TargetMode="External"/><Relationship Id="rId1" Type="http://schemas.openxmlformats.org/officeDocument/2006/relationships/externalLinkPath" Target="/Users/LucStMichel/Documents/ExcelLib/interp1D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interp1D"/>
    </sheetNames>
    <definedNames>
      <definedName name="Interp1D"/>
    </defined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85DB3-6EB1-443C-AB91-51C05BF51BAC}">
  <sheetPr codeName="Sheet1"/>
  <dimension ref="A1:E5"/>
  <sheetViews>
    <sheetView zoomScale="115" zoomScaleNormal="115" workbookViewId="0">
      <selection activeCell="E2" sqref="E2"/>
    </sheetView>
  </sheetViews>
  <sheetFormatPr defaultRowHeight="14.5" x14ac:dyDescent="0.35"/>
  <cols>
    <col min="5" max="5" width="18.81640625" customWidth="1"/>
  </cols>
  <sheetData>
    <row r="1" spans="1:5" x14ac:dyDescent="0.35">
      <c r="A1" s="3" t="s">
        <v>5</v>
      </c>
      <c r="B1" s="3" t="s">
        <v>6</v>
      </c>
      <c r="C1" s="3" t="s">
        <v>0</v>
      </c>
      <c r="D1" s="3" t="s">
        <v>1</v>
      </c>
      <c r="E1" s="3" t="s">
        <v>2</v>
      </c>
    </row>
    <row r="2" spans="1:5" x14ac:dyDescent="0.35">
      <c r="A2" s="3">
        <v>1</v>
      </c>
      <c r="B2" s="3" t="s">
        <v>39</v>
      </c>
      <c r="C2" s="3">
        <v>208</v>
      </c>
      <c r="D2" s="3">
        <v>27</v>
      </c>
      <c r="E2" s="3" t="s">
        <v>40</v>
      </c>
    </row>
    <row r="3" spans="1:5" x14ac:dyDescent="0.35">
      <c r="A3" s="3">
        <v>2</v>
      </c>
      <c r="B3" s="3" t="s">
        <v>39</v>
      </c>
      <c r="C3" s="3">
        <v>208</v>
      </c>
      <c r="D3" s="3">
        <v>27</v>
      </c>
      <c r="E3" s="3" t="s">
        <v>40</v>
      </c>
    </row>
    <row r="4" spans="1:5" x14ac:dyDescent="0.35">
      <c r="A4" s="3">
        <v>3</v>
      </c>
      <c r="B4" s="3" t="s">
        <v>39</v>
      </c>
      <c r="C4" s="3">
        <v>208</v>
      </c>
      <c r="D4" s="3">
        <v>27</v>
      </c>
      <c r="E4" s="3" t="s">
        <v>40</v>
      </c>
    </row>
    <row r="5" spans="1:5" x14ac:dyDescent="0.35">
      <c r="A5" s="3">
        <v>4</v>
      </c>
      <c r="B5" s="3" t="s">
        <v>39</v>
      </c>
      <c r="C5" s="3">
        <v>208</v>
      </c>
      <c r="D5" s="3">
        <v>27</v>
      </c>
      <c r="E5" s="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4B0F0-1446-469C-9219-300BA276A153}">
  <dimension ref="A1:G44"/>
  <sheetViews>
    <sheetView tabSelected="1" topLeftCell="A19" workbookViewId="0">
      <selection activeCell="F30" sqref="F30"/>
    </sheetView>
  </sheetViews>
  <sheetFormatPr defaultRowHeight="14.5" x14ac:dyDescent="0.35"/>
  <cols>
    <col min="4" max="4" width="12.6328125" customWidth="1"/>
  </cols>
  <sheetData>
    <row r="1" spans="1:7" s="18" customFormat="1" x14ac:dyDescent="0.35">
      <c r="A1" s="19" t="s">
        <v>4</v>
      </c>
      <c r="B1" s="19" t="s">
        <v>3</v>
      </c>
      <c r="C1" s="18" t="s">
        <v>56</v>
      </c>
      <c r="D1" s="18" t="s">
        <v>55</v>
      </c>
      <c r="E1" s="18" t="s">
        <v>29</v>
      </c>
      <c r="F1" s="18" t="s">
        <v>54</v>
      </c>
      <c r="G1" s="18" t="s">
        <v>57</v>
      </c>
    </row>
    <row r="2" spans="1:7" x14ac:dyDescent="0.35">
      <c r="A2" s="20">
        <v>1</v>
      </c>
      <c r="B2" s="20">
        <v>4.17</v>
      </c>
      <c r="C2">
        <v>0</v>
      </c>
      <c r="D2">
        <v>4.8049999999999997</v>
      </c>
      <c r="E2">
        <f>(B2-SQRT(B2^2 - 4 * D2/1000*C2))/(2*D2/1000)</f>
        <v>0</v>
      </c>
      <c r="F2">
        <f>E2/33.3</f>
        <v>0</v>
      </c>
    </row>
    <row r="3" spans="1:7" x14ac:dyDescent="0.35">
      <c r="A3" s="17">
        <f>A2</f>
        <v>1</v>
      </c>
      <c r="B3" s="17">
        <f>B2</f>
        <v>4.17</v>
      </c>
      <c r="C3">
        <v>50</v>
      </c>
      <c r="D3">
        <v>1</v>
      </c>
      <c r="E3">
        <f t="shared" ref="E3:E12" si="0">(B3-SQRT(B3^2 - 4 * D3/1000*C3))/(2*D3/1000)</f>
        <v>12.025084570486122</v>
      </c>
      <c r="F3">
        <f t="shared" ref="F3:F7" si="1">E3/33.3</f>
        <v>0.36111365076534901</v>
      </c>
    </row>
    <row r="4" spans="1:7" x14ac:dyDescent="0.35">
      <c r="A4" s="17">
        <f t="shared" ref="A4:A30" si="2">A3</f>
        <v>1</v>
      </c>
      <c r="B4" s="17">
        <f t="shared" ref="B4:B30" si="3">B3</f>
        <v>4.17</v>
      </c>
      <c r="C4">
        <v>100</v>
      </c>
      <c r="D4">
        <v>4</v>
      </c>
      <c r="E4">
        <f t="shared" si="0"/>
        <v>24.559389559254907</v>
      </c>
      <c r="F4">
        <f t="shared" si="1"/>
        <v>0.73751920598363085</v>
      </c>
    </row>
    <row r="5" spans="1:7" x14ac:dyDescent="0.35">
      <c r="A5" s="17">
        <f t="shared" si="2"/>
        <v>1</v>
      </c>
      <c r="B5" s="17">
        <f t="shared" si="3"/>
        <v>4.17</v>
      </c>
      <c r="C5">
        <v>150</v>
      </c>
      <c r="D5">
        <v>4</v>
      </c>
      <c r="E5">
        <f t="shared" si="0"/>
        <v>37.30624035431557</v>
      </c>
      <c r="F5">
        <f t="shared" si="1"/>
        <v>1.1203075181476148</v>
      </c>
    </row>
    <row r="6" spans="1:7" x14ac:dyDescent="0.35">
      <c r="A6" s="17">
        <f t="shared" si="2"/>
        <v>1</v>
      </c>
      <c r="B6" s="17">
        <f t="shared" si="3"/>
        <v>4.17</v>
      </c>
      <c r="C6">
        <v>200</v>
      </c>
      <c r="D6">
        <v>4</v>
      </c>
      <c r="E6">
        <f t="shared" si="0"/>
        <v>50.398046090918299</v>
      </c>
      <c r="F6">
        <f t="shared" si="1"/>
        <v>1.5134548375651142</v>
      </c>
    </row>
    <row r="7" spans="1:7" x14ac:dyDescent="0.35">
      <c r="A7" s="17">
        <f t="shared" si="2"/>
        <v>1</v>
      </c>
      <c r="B7" s="17">
        <f t="shared" si="3"/>
        <v>4.17</v>
      </c>
      <c r="C7">
        <v>250</v>
      </c>
      <c r="E7" t="e">
        <f t="shared" si="0"/>
        <v>#DIV/0!</v>
      </c>
      <c r="F7" t="e">
        <f t="shared" si="1"/>
        <v>#DIV/0!</v>
      </c>
    </row>
    <row r="8" spans="1:7" x14ac:dyDescent="0.35">
      <c r="A8" s="17">
        <f t="shared" si="2"/>
        <v>1</v>
      </c>
      <c r="B8" s="17">
        <f t="shared" si="3"/>
        <v>4.17</v>
      </c>
      <c r="C8">
        <v>300</v>
      </c>
      <c r="E8" t="e">
        <f t="shared" si="0"/>
        <v>#DIV/0!</v>
      </c>
    </row>
    <row r="9" spans="1:7" x14ac:dyDescent="0.35">
      <c r="A9" s="17">
        <f t="shared" si="2"/>
        <v>1</v>
      </c>
      <c r="B9" s="17">
        <f t="shared" si="3"/>
        <v>4.17</v>
      </c>
      <c r="C9">
        <v>350</v>
      </c>
      <c r="E9" t="e">
        <f t="shared" si="0"/>
        <v>#DIV/0!</v>
      </c>
    </row>
    <row r="10" spans="1:7" x14ac:dyDescent="0.35">
      <c r="A10" s="17">
        <f t="shared" si="2"/>
        <v>1</v>
      </c>
      <c r="B10" s="17">
        <f t="shared" si="3"/>
        <v>4.17</v>
      </c>
      <c r="C10">
        <v>400</v>
      </c>
      <c r="E10" t="e">
        <f t="shared" si="0"/>
        <v>#DIV/0!</v>
      </c>
    </row>
    <row r="11" spans="1:7" x14ac:dyDescent="0.35">
      <c r="A11" s="17">
        <f t="shared" si="2"/>
        <v>1</v>
      </c>
      <c r="B11" s="17">
        <f t="shared" si="3"/>
        <v>4.17</v>
      </c>
      <c r="C11">
        <v>450</v>
      </c>
      <c r="E11" t="e">
        <f t="shared" si="0"/>
        <v>#DIV/0!</v>
      </c>
    </row>
    <row r="12" spans="1:7" x14ac:dyDescent="0.35">
      <c r="A12" s="17">
        <f t="shared" si="2"/>
        <v>1</v>
      </c>
      <c r="B12" s="17">
        <f t="shared" si="3"/>
        <v>4.17</v>
      </c>
      <c r="C12">
        <v>500</v>
      </c>
      <c r="E12" t="e">
        <f t="shared" si="0"/>
        <v>#DIV/0!</v>
      </c>
    </row>
    <row r="13" spans="1:7" x14ac:dyDescent="0.35">
      <c r="A13" s="17">
        <f t="shared" si="2"/>
        <v>1</v>
      </c>
      <c r="B13" s="17">
        <f t="shared" si="3"/>
        <v>4.17</v>
      </c>
      <c r="C13">
        <v>550</v>
      </c>
    </row>
    <row r="14" spans="1:7" x14ac:dyDescent="0.35">
      <c r="A14" s="17">
        <f t="shared" si="2"/>
        <v>1</v>
      </c>
      <c r="B14" s="17">
        <f t="shared" si="3"/>
        <v>4.17</v>
      </c>
      <c r="C14">
        <v>600</v>
      </c>
    </row>
    <row r="15" spans="1:7" x14ac:dyDescent="0.35">
      <c r="A15" s="17">
        <f t="shared" si="2"/>
        <v>1</v>
      </c>
      <c r="B15" s="17">
        <f t="shared" si="3"/>
        <v>4.17</v>
      </c>
      <c r="C15">
        <v>650</v>
      </c>
    </row>
    <row r="16" spans="1:7" x14ac:dyDescent="0.35">
      <c r="A16" s="17">
        <f t="shared" si="2"/>
        <v>1</v>
      </c>
      <c r="B16" s="17">
        <f t="shared" si="3"/>
        <v>4.17</v>
      </c>
      <c r="C16">
        <v>700</v>
      </c>
    </row>
    <row r="17" spans="1:3" x14ac:dyDescent="0.35">
      <c r="A17" s="17">
        <f t="shared" si="2"/>
        <v>1</v>
      </c>
      <c r="B17" s="17">
        <f t="shared" si="3"/>
        <v>4.17</v>
      </c>
      <c r="C17">
        <v>750</v>
      </c>
    </row>
    <row r="18" spans="1:3" x14ac:dyDescent="0.35">
      <c r="A18" s="17">
        <f t="shared" si="2"/>
        <v>1</v>
      </c>
      <c r="B18" s="17">
        <f t="shared" si="3"/>
        <v>4.17</v>
      </c>
      <c r="C18">
        <v>800</v>
      </c>
    </row>
    <row r="19" spans="1:3" x14ac:dyDescent="0.35">
      <c r="A19" s="17">
        <f t="shared" si="2"/>
        <v>1</v>
      </c>
      <c r="B19" s="17">
        <f t="shared" si="3"/>
        <v>4.17</v>
      </c>
      <c r="C19">
        <v>850</v>
      </c>
    </row>
    <row r="20" spans="1:3" x14ac:dyDescent="0.35">
      <c r="A20" s="17">
        <f t="shared" si="2"/>
        <v>1</v>
      </c>
      <c r="B20" s="17">
        <f t="shared" si="3"/>
        <v>4.17</v>
      </c>
      <c r="C20">
        <v>900</v>
      </c>
    </row>
    <row r="21" spans="1:3" x14ac:dyDescent="0.35">
      <c r="A21" s="17">
        <f t="shared" si="2"/>
        <v>1</v>
      </c>
      <c r="B21" s="17">
        <f t="shared" si="3"/>
        <v>4.17</v>
      </c>
      <c r="C21">
        <v>950</v>
      </c>
    </row>
    <row r="22" spans="1:3" x14ac:dyDescent="0.35">
      <c r="A22" s="17">
        <f t="shared" si="2"/>
        <v>1</v>
      </c>
      <c r="B22" s="17">
        <f t="shared" si="3"/>
        <v>4.17</v>
      </c>
      <c r="C22">
        <v>1000</v>
      </c>
    </row>
    <row r="23" spans="1:3" x14ac:dyDescent="0.35">
      <c r="A23" s="17">
        <f t="shared" si="2"/>
        <v>1</v>
      </c>
      <c r="B23" s="17">
        <f t="shared" si="3"/>
        <v>4.17</v>
      </c>
      <c r="C23">
        <v>1050</v>
      </c>
    </row>
    <row r="24" spans="1:3" x14ac:dyDescent="0.35">
      <c r="A24" s="17">
        <f t="shared" si="2"/>
        <v>1</v>
      </c>
      <c r="B24" s="17">
        <f t="shared" si="3"/>
        <v>4.17</v>
      </c>
      <c r="C24">
        <v>1100</v>
      </c>
    </row>
    <row r="25" spans="1:3" x14ac:dyDescent="0.35">
      <c r="A25" s="17">
        <f t="shared" si="2"/>
        <v>1</v>
      </c>
      <c r="B25" s="17">
        <f t="shared" si="3"/>
        <v>4.17</v>
      </c>
      <c r="C25">
        <v>1150</v>
      </c>
    </row>
    <row r="26" spans="1:3" x14ac:dyDescent="0.35">
      <c r="A26" s="17">
        <f t="shared" si="2"/>
        <v>1</v>
      </c>
      <c r="B26" s="17">
        <f t="shared" si="3"/>
        <v>4.17</v>
      </c>
      <c r="C26">
        <v>1200</v>
      </c>
    </row>
    <row r="27" spans="1:3" x14ac:dyDescent="0.35">
      <c r="A27" s="17">
        <f t="shared" si="2"/>
        <v>1</v>
      </c>
      <c r="B27" s="17">
        <f t="shared" si="3"/>
        <v>4.17</v>
      </c>
      <c r="C27">
        <v>1250</v>
      </c>
    </row>
    <row r="28" spans="1:3" x14ac:dyDescent="0.35">
      <c r="A28" s="17">
        <f t="shared" si="2"/>
        <v>1</v>
      </c>
      <c r="B28" s="17">
        <f t="shared" si="3"/>
        <v>4.17</v>
      </c>
      <c r="C28">
        <v>1300</v>
      </c>
    </row>
    <row r="29" spans="1:3" x14ac:dyDescent="0.35">
      <c r="A29" s="17">
        <f t="shared" si="2"/>
        <v>1</v>
      </c>
      <c r="B29" s="17">
        <f t="shared" si="3"/>
        <v>4.17</v>
      </c>
      <c r="C29">
        <v>1350</v>
      </c>
    </row>
    <row r="30" spans="1:3" x14ac:dyDescent="0.35">
      <c r="A30" s="17">
        <f t="shared" si="2"/>
        <v>1</v>
      </c>
      <c r="B30" s="17">
        <f t="shared" si="3"/>
        <v>4.17</v>
      </c>
      <c r="C30">
        <v>1400</v>
      </c>
    </row>
    <row r="31" spans="1:3" x14ac:dyDescent="0.35">
      <c r="A31" s="5">
        <v>0.9</v>
      </c>
      <c r="B31" s="5">
        <v>3.98</v>
      </c>
    </row>
    <row r="32" spans="1:3" x14ac:dyDescent="0.35">
      <c r="A32" s="5">
        <v>0.8</v>
      </c>
      <c r="B32" s="5">
        <v>3.88</v>
      </c>
    </row>
    <row r="33" spans="1:2" x14ac:dyDescent="0.35">
      <c r="A33" s="5">
        <v>0.7</v>
      </c>
      <c r="B33" s="5">
        <v>3.75</v>
      </c>
    </row>
    <row r="34" spans="1:2" x14ac:dyDescent="0.35">
      <c r="A34" s="5">
        <v>0.6</v>
      </c>
      <c r="B34" s="5">
        <v>3.63</v>
      </c>
    </row>
    <row r="35" spans="1:2" x14ac:dyDescent="0.35">
      <c r="A35" s="5">
        <v>0.5</v>
      </c>
      <c r="B35" s="5">
        <v>3.49</v>
      </c>
    </row>
    <row r="36" spans="1:2" x14ac:dyDescent="0.35">
      <c r="A36" s="5">
        <v>0.4</v>
      </c>
      <c r="B36" s="5">
        <v>3.38</v>
      </c>
    </row>
    <row r="37" spans="1:2" x14ac:dyDescent="0.35">
      <c r="A37" s="5">
        <v>0.35</v>
      </c>
      <c r="B37" s="5">
        <v>3.33</v>
      </c>
    </row>
    <row r="38" spans="1:2" x14ac:dyDescent="0.35">
      <c r="A38" s="5">
        <v>0.3</v>
      </c>
      <c r="B38" s="5">
        <v>3.29</v>
      </c>
    </row>
    <row r="39" spans="1:2" x14ac:dyDescent="0.35">
      <c r="A39" s="5">
        <v>0.25</v>
      </c>
      <c r="B39" s="5">
        <v>3.25</v>
      </c>
    </row>
    <row r="40" spans="1:2" x14ac:dyDescent="0.35">
      <c r="A40" s="5">
        <v>0.2</v>
      </c>
      <c r="B40" s="5">
        <v>3.2</v>
      </c>
    </row>
    <row r="41" spans="1:2" x14ac:dyDescent="0.35">
      <c r="A41" s="5">
        <v>0.15</v>
      </c>
      <c r="B41" s="5">
        <v>3.14</v>
      </c>
    </row>
    <row r="42" spans="1:2" x14ac:dyDescent="0.35">
      <c r="A42" s="5">
        <v>0.1</v>
      </c>
      <c r="B42" s="5">
        <v>3.08</v>
      </c>
    </row>
    <row r="43" spans="1:2" x14ac:dyDescent="0.35">
      <c r="A43" s="5">
        <v>0.05</v>
      </c>
      <c r="B43" s="5">
        <v>3.01</v>
      </c>
    </row>
    <row r="44" spans="1:2" x14ac:dyDescent="0.35">
      <c r="A44" s="5">
        <v>0</v>
      </c>
      <c r="B44" s="5">
        <f>(B43-B42)+B43</f>
        <v>2.9399999999999995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F6F1-2ADB-4020-AB62-621311D4A843}">
  <sheetPr codeName="Sheet3"/>
  <dimension ref="A1:X23"/>
  <sheetViews>
    <sheetView topLeftCell="B1" workbookViewId="0">
      <selection activeCell="H18" sqref="H18"/>
    </sheetView>
  </sheetViews>
  <sheetFormatPr defaultRowHeight="14.5" x14ac:dyDescent="0.35"/>
  <cols>
    <col min="8" max="8" width="13.26953125" customWidth="1"/>
    <col min="18" max="18" width="11.1796875" customWidth="1"/>
    <col min="19" max="19" width="13.1796875" customWidth="1"/>
    <col min="20" max="20" width="11.1796875" bestFit="1" customWidth="1"/>
    <col min="21" max="21" width="9.453125" bestFit="1" customWidth="1"/>
    <col min="23" max="23" width="9.453125" bestFit="1" customWidth="1"/>
    <col min="24" max="24" width="9.81640625" bestFit="1" customWidth="1"/>
  </cols>
  <sheetData>
    <row r="1" spans="1:24" x14ac:dyDescent="0.35">
      <c r="A1" s="2" t="s">
        <v>4</v>
      </c>
      <c r="B1" s="2" t="s">
        <v>3</v>
      </c>
      <c r="C1" s="2" t="s">
        <v>27</v>
      </c>
      <c r="D1" s="2" t="s">
        <v>48</v>
      </c>
      <c r="E1" s="2" t="s">
        <v>49</v>
      </c>
      <c r="F1" s="2" t="s">
        <v>22</v>
      </c>
      <c r="G1" s="2" t="s">
        <v>46</v>
      </c>
      <c r="H1" s="2" t="s">
        <v>50</v>
      </c>
      <c r="I1" s="2" t="s">
        <v>23</v>
      </c>
      <c r="J1" s="2" t="s">
        <v>47</v>
      </c>
      <c r="K1" s="2" t="s">
        <v>51</v>
      </c>
      <c r="L1" s="2" t="s">
        <v>24</v>
      </c>
      <c r="M1" s="2" t="s">
        <v>52</v>
      </c>
      <c r="N1" s="2" t="s">
        <v>53</v>
      </c>
      <c r="O1" s="2" t="s">
        <v>44</v>
      </c>
      <c r="P1" s="10" t="s">
        <v>7</v>
      </c>
      <c r="Q1" s="10" t="s">
        <v>8</v>
      </c>
      <c r="R1" s="2" t="s">
        <v>25</v>
      </c>
      <c r="S1" s="2" t="s">
        <v>45</v>
      </c>
      <c r="T1" s="2" t="s">
        <v>13</v>
      </c>
      <c r="U1" s="4" t="s">
        <v>10</v>
      </c>
      <c r="V1" s="4" t="s">
        <v>9</v>
      </c>
      <c r="W1" s="4" t="s">
        <v>11</v>
      </c>
      <c r="X1" s="4" t="s">
        <v>12</v>
      </c>
    </row>
    <row r="2" spans="1:24" x14ac:dyDescent="0.35">
      <c r="A2" s="5">
        <v>1</v>
      </c>
      <c r="B2" s="5">
        <v>4.17</v>
      </c>
      <c r="C2" s="5">
        <f>F2</f>
        <v>4.8048048048048102</v>
      </c>
      <c r="D2" s="5">
        <f t="shared" ref="D2:D16" si="0">B2-C2/1000*$S$2</f>
        <v>4.17</v>
      </c>
      <c r="E2" s="5">
        <f t="shared" ref="E2:E16" si="1">D2*$S$2</f>
        <v>0</v>
      </c>
      <c r="F2" s="5">
        <f>LBV_model!H3*1000</f>
        <v>4.8048048048048102</v>
      </c>
      <c r="G2" s="5">
        <f t="shared" ref="G2:G16" si="2">B2-$S$3*F2/1000</f>
        <v>4.01</v>
      </c>
      <c r="H2" s="5">
        <f t="shared" ref="H2:H16" si="3">G2*$S$3</f>
        <v>133.53299999999999</v>
      </c>
      <c r="I2" s="5">
        <f>LBV_model!I3*1000</f>
        <v>2.9279279279279291</v>
      </c>
      <c r="J2" s="5">
        <f t="shared" ref="J2:J16" si="4">B2-$S$4*I2/1000</f>
        <v>3.78</v>
      </c>
      <c r="K2" s="5">
        <f>J2*$S$4</f>
        <v>503.49599999999992</v>
      </c>
      <c r="L2" s="5">
        <f>LBV_model!J3*1000</f>
        <v>2.2897897897897894</v>
      </c>
      <c r="M2" s="5">
        <f t="shared" ref="M2:M16" si="5">B2-L2/1000*$S$5</f>
        <v>3.56</v>
      </c>
      <c r="N2" s="5">
        <f>M2*$S$5</f>
        <v>948.3839999999999</v>
      </c>
      <c r="O2" s="5">
        <f>L2</f>
        <v>2.2897897897897894</v>
      </c>
      <c r="P2" s="11">
        <v>0</v>
      </c>
      <c r="Q2" s="11">
        <v>0</v>
      </c>
      <c r="R2" s="3" t="s">
        <v>27</v>
      </c>
      <c r="S2" s="3">
        <v>0</v>
      </c>
      <c r="T2" s="9">
        <f>33.3*0.9</f>
        <v>29.97</v>
      </c>
      <c r="U2" s="3">
        <v>0.34599999999999997</v>
      </c>
      <c r="V2" s="3">
        <v>900</v>
      </c>
      <c r="W2" s="3">
        <v>15</v>
      </c>
      <c r="X2" s="3">
        <v>55</v>
      </c>
    </row>
    <row r="3" spans="1:24" x14ac:dyDescent="0.35">
      <c r="A3" s="5">
        <v>0.9</v>
      </c>
      <c r="B3" s="5">
        <v>3.98</v>
      </c>
      <c r="C3" s="5">
        <f t="shared" ref="C3:C15" si="6">F3</f>
        <v>3.0030030030030059</v>
      </c>
      <c r="D3" s="5">
        <f t="shared" si="0"/>
        <v>3.98</v>
      </c>
      <c r="E3" s="5">
        <f t="shared" si="1"/>
        <v>0</v>
      </c>
      <c r="F3" s="5">
        <f>LBV_model!H4*1000</f>
        <v>3.0030030030030059</v>
      </c>
      <c r="G3" s="5">
        <f t="shared" si="2"/>
        <v>3.88</v>
      </c>
      <c r="H3" s="5">
        <f t="shared" si="3"/>
        <v>129.20399999999998</v>
      </c>
      <c r="I3" s="5">
        <f>LBV_model!I4*1000</f>
        <v>2.1021021021021009</v>
      </c>
      <c r="J3" s="5">
        <f t="shared" si="4"/>
        <v>3.7</v>
      </c>
      <c r="K3" s="5">
        <f t="shared" ref="K3:K16" si="7">J3*$S$4</f>
        <v>492.84</v>
      </c>
      <c r="L3" s="5">
        <f>LBV_model!J4*1000</f>
        <v>1.8768768768768771</v>
      </c>
      <c r="M3" s="5">
        <f t="shared" si="5"/>
        <v>3.48</v>
      </c>
      <c r="N3" s="5">
        <f t="shared" ref="N3:N16" si="8">M3*$S$5</f>
        <v>927.07199999999989</v>
      </c>
      <c r="O3" s="5">
        <f t="shared" ref="O3:O16" si="9">L3</f>
        <v>1.8768768768768771</v>
      </c>
      <c r="P3" s="11">
        <v>0</v>
      </c>
      <c r="Q3" s="11">
        <v>0</v>
      </c>
      <c r="R3" s="3" t="str">
        <f>F1</f>
        <v>IR_1C</v>
      </c>
      <c r="S3" s="3">
        <v>33.299999999999997</v>
      </c>
    </row>
    <row r="4" spans="1:24" x14ac:dyDescent="0.35">
      <c r="A4" s="5">
        <v>0.8</v>
      </c>
      <c r="B4" s="5">
        <v>3.88</v>
      </c>
      <c r="C4" s="5">
        <f t="shared" si="6"/>
        <v>3.6036036036036072</v>
      </c>
      <c r="D4" s="5">
        <f t="shared" si="0"/>
        <v>3.88</v>
      </c>
      <c r="E4" s="5">
        <f t="shared" si="1"/>
        <v>0</v>
      </c>
      <c r="F4" s="5">
        <f>LBV_model!H5*1000</f>
        <v>3.6036036036036072</v>
      </c>
      <c r="G4" s="5">
        <f t="shared" si="2"/>
        <v>3.76</v>
      </c>
      <c r="H4" s="5">
        <f t="shared" si="3"/>
        <v>125.20799999999998</v>
      </c>
      <c r="I4" s="5">
        <f>LBV_model!I5*1000</f>
        <v>2.252252252252251</v>
      </c>
      <c r="J4" s="5">
        <f t="shared" si="4"/>
        <v>3.58</v>
      </c>
      <c r="K4" s="5">
        <f t="shared" si="7"/>
        <v>476.85599999999999</v>
      </c>
      <c r="L4" s="5">
        <f>LBV_model!J5*1000</f>
        <v>1.9519519519519521</v>
      </c>
      <c r="M4" s="5">
        <f t="shared" si="5"/>
        <v>3.36</v>
      </c>
      <c r="N4" s="5">
        <f t="shared" si="8"/>
        <v>895.10399999999993</v>
      </c>
      <c r="O4" s="5">
        <f t="shared" si="9"/>
        <v>1.9519519519519521</v>
      </c>
      <c r="P4" s="11">
        <v>0</v>
      </c>
      <c r="Q4" s="11">
        <v>0</v>
      </c>
      <c r="R4" s="3" t="str">
        <f>I1</f>
        <v>IR_4C</v>
      </c>
      <c r="S4" s="3">
        <f>S3*4</f>
        <v>133.19999999999999</v>
      </c>
    </row>
    <row r="5" spans="1:24" x14ac:dyDescent="0.35">
      <c r="A5" s="5">
        <v>0.7</v>
      </c>
      <c r="B5" s="5">
        <v>3.75</v>
      </c>
      <c r="C5" s="5">
        <f t="shared" si="6"/>
        <v>3.3033033033032999</v>
      </c>
      <c r="D5" s="5">
        <f t="shared" si="0"/>
        <v>3.75</v>
      </c>
      <c r="E5" s="5">
        <f t="shared" si="1"/>
        <v>0</v>
      </c>
      <c r="F5" s="5">
        <f>LBV_model!H6*1000</f>
        <v>3.3033033033032999</v>
      </c>
      <c r="G5" s="5">
        <f t="shared" si="2"/>
        <v>3.64</v>
      </c>
      <c r="H5" s="5">
        <f t="shared" si="3"/>
        <v>121.21199999999999</v>
      </c>
      <c r="I5" s="5">
        <f>LBV_model!I6*1000</f>
        <v>2.1771771771771777</v>
      </c>
      <c r="J5" s="5">
        <f t="shared" si="4"/>
        <v>3.46</v>
      </c>
      <c r="K5" s="5">
        <f t="shared" si="7"/>
        <v>460.87199999999996</v>
      </c>
      <c r="L5" s="5">
        <f>LBV_model!J6*1000</f>
        <v>1.9144144144144137</v>
      </c>
      <c r="M5" s="5">
        <f t="shared" si="5"/>
        <v>3.24</v>
      </c>
      <c r="N5" s="5">
        <f t="shared" si="8"/>
        <v>863.13599999999997</v>
      </c>
      <c r="O5" s="5">
        <f t="shared" si="9"/>
        <v>1.9144144144144137</v>
      </c>
      <c r="P5" s="11">
        <v>0</v>
      </c>
      <c r="Q5" s="11">
        <v>0</v>
      </c>
      <c r="R5" s="3" t="str">
        <f>L1</f>
        <v>IR_8C</v>
      </c>
      <c r="S5" s="3">
        <f>S3*8</f>
        <v>266.39999999999998</v>
      </c>
    </row>
    <row r="6" spans="1:24" x14ac:dyDescent="0.35">
      <c r="A6" s="5">
        <v>0.6</v>
      </c>
      <c r="B6" s="5">
        <v>3.63</v>
      </c>
      <c r="C6" s="5">
        <f t="shared" si="6"/>
        <v>3.6036036036036072</v>
      </c>
      <c r="D6" s="5">
        <f t="shared" si="0"/>
        <v>3.63</v>
      </c>
      <c r="E6" s="5">
        <f t="shared" si="1"/>
        <v>0</v>
      </c>
      <c r="F6" s="5">
        <f>LBV_model!H7*1000</f>
        <v>3.6036036036036072</v>
      </c>
      <c r="G6" s="5">
        <f t="shared" si="2"/>
        <v>3.51</v>
      </c>
      <c r="H6" s="5">
        <f t="shared" si="3"/>
        <v>116.88299999999998</v>
      </c>
      <c r="I6" s="5">
        <f>LBV_model!I7*1000</f>
        <v>2.3273273273273283</v>
      </c>
      <c r="J6" s="5">
        <f t="shared" si="4"/>
        <v>3.32</v>
      </c>
      <c r="K6" s="5">
        <f t="shared" si="7"/>
        <v>442.22399999999993</v>
      </c>
      <c r="L6" s="5">
        <f>LBV_model!J7*1000</f>
        <v>1.989489489489489</v>
      </c>
      <c r="M6" s="5">
        <f t="shared" si="5"/>
        <v>3.1</v>
      </c>
      <c r="N6" s="5">
        <f t="shared" si="8"/>
        <v>825.83999999999992</v>
      </c>
      <c r="O6" s="5">
        <f t="shared" si="9"/>
        <v>1.989489489489489</v>
      </c>
      <c r="P6" s="11">
        <v>0</v>
      </c>
      <c r="Q6" s="11">
        <v>0</v>
      </c>
      <c r="R6" s="3" t="str">
        <f>O1</f>
        <v>IR_12C</v>
      </c>
      <c r="S6" s="3">
        <f>S3*12</f>
        <v>399.59999999999997</v>
      </c>
    </row>
    <row r="7" spans="1:24" x14ac:dyDescent="0.35">
      <c r="A7" s="5">
        <v>0.5</v>
      </c>
      <c r="B7" s="5">
        <v>3.49</v>
      </c>
      <c r="C7" s="5">
        <f t="shared" si="6"/>
        <v>3.6036036036036072</v>
      </c>
      <c r="D7" s="5">
        <f t="shared" si="0"/>
        <v>3.49</v>
      </c>
      <c r="E7" s="5">
        <f t="shared" si="1"/>
        <v>0</v>
      </c>
      <c r="F7" s="5">
        <f>LBV_model!H8*1000</f>
        <v>3.6036036036036072</v>
      </c>
      <c r="G7" s="5">
        <f t="shared" si="2"/>
        <v>3.37</v>
      </c>
      <c r="H7" s="5">
        <f t="shared" si="3"/>
        <v>112.22099999999999</v>
      </c>
      <c r="I7" s="5">
        <f>LBV_model!I8*1000</f>
        <v>2.3273273273273283</v>
      </c>
      <c r="J7" s="5">
        <f t="shared" si="4"/>
        <v>3.18</v>
      </c>
      <c r="K7" s="5">
        <f t="shared" si="7"/>
        <v>423.57599999999996</v>
      </c>
      <c r="L7" s="5">
        <f>LBV_model!J8*1000</f>
        <v>1.9519519519519521</v>
      </c>
      <c r="M7" s="5">
        <f t="shared" si="5"/>
        <v>2.97</v>
      </c>
      <c r="N7" s="5">
        <f t="shared" si="8"/>
        <v>791.20799999999997</v>
      </c>
      <c r="O7" s="5">
        <f t="shared" si="9"/>
        <v>1.9519519519519521</v>
      </c>
      <c r="P7" s="11">
        <v>0</v>
      </c>
      <c r="Q7" s="11">
        <v>0</v>
      </c>
      <c r="R7" s="1"/>
      <c r="S7" s="1"/>
    </row>
    <row r="8" spans="1:24" x14ac:dyDescent="0.35">
      <c r="A8" s="5">
        <v>0.4</v>
      </c>
      <c r="B8" s="5">
        <v>3.38</v>
      </c>
      <c r="C8" s="5">
        <f t="shared" si="6"/>
        <v>3.9039039039039012</v>
      </c>
      <c r="D8" s="5">
        <f t="shared" si="0"/>
        <v>3.38</v>
      </c>
      <c r="E8" s="5">
        <f t="shared" si="1"/>
        <v>0</v>
      </c>
      <c r="F8" s="5">
        <f>LBV_model!H9*1000</f>
        <v>3.9039039039039012</v>
      </c>
      <c r="G8" s="5">
        <f t="shared" si="2"/>
        <v>3.25</v>
      </c>
      <c r="H8" s="5">
        <f t="shared" si="3"/>
        <v>108.22499999999999</v>
      </c>
      <c r="I8" s="5">
        <f>LBV_model!I9*1000</f>
        <v>2.3273273273273283</v>
      </c>
      <c r="J8" s="5">
        <f t="shared" si="4"/>
        <v>3.07</v>
      </c>
      <c r="K8" s="5">
        <f t="shared" si="7"/>
        <v>408.92399999999992</v>
      </c>
      <c r="L8" s="5">
        <f>LBV_model!J9*1000</f>
        <v>2.0270270270270272</v>
      </c>
      <c r="M8" s="5">
        <f t="shared" si="5"/>
        <v>2.84</v>
      </c>
      <c r="N8" s="5">
        <f t="shared" si="8"/>
        <v>756.57599999999991</v>
      </c>
      <c r="O8" s="5">
        <f t="shared" si="9"/>
        <v>2.0270270270270272</v>
      </c>
      <c r="P8" s="11">
        <v>0</v>
      </c>
      <c r="Q8" s="11">
        <v>0</v>
      </c>
      <c r="R8" s="1"/>
      <c r="S8" s="1"/>
    </row>
    <row r="9" spans="1:24" x14ac:dyDescent="0.35">
      <c r="A9" s="5">
        <v>0.35</v>
      </c>
      <c r="B9" s="5">
        <v>3.33</v>
      </c>
      <c r="C9" s="5">
        <f t="shared" si="6"/>
        <v>3.9039039039039012</v>
      </c>
      <c r="D9" s="5">
        <f t="shared" si="0"/>
        <v>3.33</v>
      </c>
      <c r="E9" s="5">
        <f t="shared" si="1"/>
        <v>0</v>
      </c>
      <c r="F9" s="5">
        <f>LBV_model!H10*1000</f>
        <v>3.9039039039039012</v>
      </c>
      <c r="G9" s="5">
        <f t="shared" si="2"/>
        <v>3.2</v>
      </c>
      <c r="H9" s="5">
        <f t="shared" si="3"/>
        <v>106.56</v>
      </c>
      <c r="I9" s="5">
        <f>LBV_model!I10*1000</f>
        <v>2.4774774774774784</v>
      </c>
      <c r="J9" s="5">
        <f t="shared" si="4"/>
        <v>3</v>
      </c>
      <c r="K9" s="5">
        <f t="shared" si="7"/>
        <v>399.59999999999997</v>
      </c>
      <c r="L9" s="5">
        <f>LBV_model!J10*1000</f>
        <v>2.1396396396396407</v>
      </c>
      <c r="M9" s="5">
        <f t="shared" si="5"/>
        <v>2.76</v>
      </c>
      <c r="N9" s="5">
        <f t="shared" si="8"/>
        <v>735.2639999999999</v>
      </c>
      <c r="O9" s="5">
        <f t="shared" si="9"/>
        <v>2.1396396396396407</v>
      </c>
      <c r="P9" s="11">
        <v>0</v>
      </c>
      <c r="Q9" s="11">
        <v>0</v>
      </c>
      <c r="R9" s="1"/>
      <c r="S9" s="1"/>
    </row>
    <row r="10" spans="1:24" x14ac:dyDescent="0.35">
      <c r="A10" s="5">
        <v>0.3</v>
      </c>
      <c r="B10" s="5">
        <v>3.29</v>
      </c>
      <c r="C10" s="5">
        <f t="shared" si="6"/>
        <v>4.504504504504502</v>
      </c>
      <c r="D10" s="5">
        <f t="shared" si="0"/>
        <v>3.29</v>
      </c>
      <c r="E10" s="5">
        <f t="shared" si="1"/>
        <v>0</v>
      </c>
      <c r="F10" s="5">
        <f>LBV_model!H11*1000</f>
        <v>4.504504504504502</v>
      </c>
      <c r="G10" s="5">
        <f t="shared" si="2"/>
        <v>3.14</v>
      </c>
      <c r="H10" s="5">
        <f t="shared" si="3"/>
        <v>104.562</v>
      </c>
      <c r="I10" s="5">
        <f>LBV_model!I11*1000</f>
        <v>2.7027027027027022</v>
      </c>
      <c r="J10" s="5">
        <f t="shared" si="4"/>
        <v>2.93</v>
      </c>
      <c r="K10" s="5">
        <f t="shared" si="7"/>
        <v>390.27600000000001</v>
      </c>
      <c r="L10" s="5">
        <f>LBV_model!J11*1000</f>
        <v>2.3648648648648645</v>
      </c>
      <c r="M10" s="5">
        <f t="shared" si="5"/>
        <v>2.66</v>
      </c>
      <c r="N10" s="5">
        <f t="shared" si="8"/>
        <v>708.62400000000002</v>
      </c>
      <c r="O10" s="5">
        <f t="shared" si="9"/>
        <v>2.3648648648648645</v>
      </c>
      <c r="P10" s="11">
        <v>0</v>
      </c>
      <c r="Q10" s="11">
        <v>0</v>
      </c>
      <c r="R10" s="1"/>
      <c r="S10" s="1"/>
    </row>
    <row r="11" spans="1:24" x14ac:dyDescent="0.35">
      <c r="A11" s="5">
        <v>0.25</v>
      </c>
      <c r="B11" s="5">
        <v>3.25</v>
      </c>
      <c r="C11" s="5">
        <f t="shared" si="6"/>
        <v>4.8048048048048102</v>
      </c>
      <c r="D11" s="5">
        <f t="shared" si="0"/>
        <v>3.25</v>
      </c>
      <c r="E11" s="5">
        <f t="shared" si="1"/>
        <v>0</v>
      </c>
      <c r="F11" s="5">
        <f>LBV_model!H12*1000</f>
        <v>4.8048048048048102</v>
      </c>
      <c r="G11" s="5">
        <f t="shared" si="2"/>
        <v>3.09</v>
      </c>
      <c r="H11" s="5">
        <f t="shared" si="3"/>
        <v>102.89699999999999</v>
      </c>
      <c r="I11" s="5">
        <f>LBV_model!I12*1000</f>
        <v>3.0780780780780792</v>
      </c>
      <c r="J11" s="5">
        <f t="shared" si="4"/>
        <v>2.84</v>
      </c>
      <c r="K11" s="5">
        <f t="shared" si="7"/>
        <v>378.28799999999995</v>
      </c>
      <c r="L11" s="5">
        <f>LBV_model!J12*1000</f>
        <v>2.8153153153153156</v>
      </c>
      <c r="M11" s="5">
        <f t="shared" si="5"/>
        <v>2.5</v>
      </c>
      <c r="N11" s="5">
        <f t="shared" si="8"/>
        <v>666</v>
      </c>
      <c r="O11" s="5">
        <f t="shared" si="9"/>
        <v>2.8153153153153156</v>
      </c>
      <c r="P11" s="11">
        <v>0</v>
      </c>
      <c r="Q11" s="11">
        <v>0</v>
      </c>
      <c r="R11" s="1"/>
      <c r="S11" s="1"/>
    </row>
    <row r="12" spans="1:24" x14ac:dyDescent="0.35">
      <c r="A12" s="5">
        <v>0.2</v>
      </c>
      <c r="B12" s="5">
        <v>3.2</v>
      </c>
      <c r="C12" s="5">
        <f t="shared" si="6"/>
        <v>5.4054054054054106</v>
      </c>
      <c r="D12" s="5">
        <f t="shared" si="0"/>
        <v>3.2</v>
      </c>
      <c r="E12" s="5">
        <f t="shared" si="1"/>
        <v>0</v>
      </c>
      <c r="F12" s="5">
        <f>LBV_model!H13*1000</f>
        <v>5.4054054054054106</v>
      </c>
      <c r="G12" s="5">
        <f t="shared" si="2"/>
        <v>3.02</v>
      </c>
      <c r="H12" s="5">
        <f t="shared" si="3"/>
        <v>100.56599999999999</v>
      </c>
      <c r="I12" s="5">
        <f>LBV_model!I13*1000</f>
        <v>3.6786786786786805</v>
      </c>
      <c r="J12" s="5">
        <f t="shared" si="4"/>
        <v>2.71</v>
      </c>
      <c r="K12" s="5">
        <f t="shared" si="7"/>
        <v>360.97199999999998</v>
      </c>
      <c r="L12" s="5">
        <f>LBV_model!J13*1000</f>
        <v>3.3783783783783798</v>
      </c>
      <c r="M12" s="5">
        <f t="shared" si="5"/>
        <v>2.2999999999999998</v>
      </c>
      <c r="N12" s="5">
        <f t="shared" si="8"/>
        <v>612.71999999999991</v>
      </c>
      <c r="O12" s="5">
        <f t="shared" si="9"/>
        <v>3.3783783783783798</v>
      </c>
      <c r="P12" s="11">
        <v>0</v>
      </c>
      <c r="Q12" s="11">
        <v>0</v>
      </c>
      <c r="R12" s="1"/>
      <c r="S12" s="1"/>
    </row>
    <row r="13" spans="1:24" x14ac:dyDescent="0.35">
      <c r="A13" s="5">
        <v>0.15</v>
      </c>
      <c r="B13" s="5">
        <v>3.14</v>
      </c>
      <c r="C13" s="5">
        <f t="shared" si="6"/>
        <v>6.6066066066066131</v>
      </c>
      <c r="D13" s="5">
        <f t="shared" si="0"/>
        <v>3.14</v>
      </c>
      <c r="E13" s="5">
        <f t="shared" si="1"/>
        <v>0</v>
      </c>
      <c r="F13" s="5">
        <f>LBV_model!H14*1000</f>
        <v>6.6066066066066131</v>
      </c>
      <c r="G13" s="5">
        <f t="shared" si="2"/>
        <v>2.92</v>
      </c>
      <c r="H13" s="5">
        <f t="shared" si="3"/>
        <v>97.23599999999999</v>
      </c>
      <c r="I13" s="5">
        <f>LBV_model!I14*1000</f>
        <v>4.9549549549549567</v>
      </c>
      <c r="J13" s="5">
        <f t="shared" si="4"/>
        <v>2.48</v>
      </c>
      <c r="K13" s="5">
        <f t="shared" si="7"/>
        <v>330.33599999999996</v>
      </c>
      <c r="L13" s="5">
        <f>LBV_model!J14*1000</f>
        <v>5.0300300300300309</v>
      </c>
      <c r="M13" s="5">
        <f t="shared" si="5"/>
        <v>1.8</v>
      </c>
      <c r="N13" s="5">
        <f t="shared" si="8"/>
        <v>479.52</v>
      </c>
      <c r="O13" s="5">
        <f t="shared" si="9"/>
        <v>5.0300300300300309</v>
      </c>
      <c r="P13" s="11">
        <v>0</v>
      </c>
      <c r="Q13" s="11">
        <v>0</v>
      </c>
      <c r="R13" s="1"/>
      <c r="S13" s="1"/>
    </row>
    <row r="14" spans="1:24" x14ac:dyDescent="0.35">
      <c r="A14" s="5">
        <v>0.1</v>
      </c>
      <c r="B14" s="5">
        <v>3.08</v>
      </c>
      <c r="C14" s="5">
        <f t="shared" si="6"/>
        <v>9.3093093093093131</v>
      </c>
      <c r="D14" s="5">
        <f t="shared" si="0"/>
        <v>3.08</v>
      </c>
      <c r="E14" s="5">
        <f t="shared" si="1"/>
        <v>0</v>
      </c>
      <c r="F14" s="5">
        <f>LBV_model!H15*1000</f>
        <v>9.3093093093093131</v>
      </c>
      <c r="G14" s="5">
        <f t="shared" si="2"/>
        <v>2.77</v>
      </c>
      <c r="H14" s="5">
        <f t="shared" si="3"/>
        <v>92.241</v>
      </c>
      <c r="I14" s="5">
        <f>LBV_model!I15*1000</f>
        <v>8.1081081081081088</v>
      </c>
      <c r="J14" s="5">
        <f t="shared" si="4"/>
        <v>2</v>
      </c>
      <c r="K14" s="5">
        <f t="shared" si="7"/>
        <v>266.39999999999998</v>
      </c>
      <c r="L14" s="5">
        <f>LBV_model!J15*1000</f>
        <v>8.5585585585585591</v>
      </c>
      <c r="M14" s="5">
        <f t="shared" si="5"/>
        <v>0.79999999999999982</v>
      </c>
      <c r="N14" s="5">
        <f t="shared" si="8"/>
        <v>213.11999999999995</v>
      </c>
      <c r="O14" s="5">
        <f t="shared" si="9"/>
        <v>8.5585585585585591</v>
      </c>
      <c r="P14" s="11">
        <v>0</v>
      </c>
      <c r="Q14" s="11">
        <v>0</v>
      </c>
      <c r="R14" s="1"/>
      <c r="S14" s="1"/>
    </row>
    <row r="15" spans="1:24" x14ac:dyDescent="0.35">
      <c r="A15" s="5">
        <v>0.05</v>
      </c>
      <c r="B15" s="5">
        <v>3.01</v>
      </c>
      <c r="C15" s="5">
        <f t="shared" si="6"/>
        <v>15.615615615615605</v>
      </c>
      <c r="D15" s="5">
        <f t="shared" si="0"/>
        <v>3.01</v>
      </c>
      <c r="E15" s="5">
        <f t="shared" si="1"/>
        <v>0</v>
      </c>
      <c r="F15" s="5">
        <f>LBV_model!H16*1000</f>
        <v>15.615615615615605</v>
      </c>
      <c r="G15" s="5">
        <f t="shared" si="2"/>
        <v>2.4900000000000002</v>
      </c>
      <c r="H15" s="5">
        <f t="shared" si="3"/>
        <v>82.917000000000002</v>
      </c>
      <c r="I15" s="5">
        <f>LBV_model!I16*1000</f>
        <v>15.09009009009009</v>
      </c>
      <c r="J15" s="5">
        <f t="shared" si="4"/>
        <v>1</v>
      </c>
      <c r="K15" s="5">
        <f t="shared" si="7"/>
        <v>133.19999999999999</v>
      </c>
      <c r="L15" s="5">
        <f>LBV_model!J16*1000</f>
        <v>11.298798798798799</v>
      </c>
      <c r="M15" s="5">
        <f t="shared" si="5"/>
        <v>0</v>
      </c>
      <c r="N15" s="5">
        <f t="shared" si="8"/>
        <v>0</v>
      </c>
      <c r="O15" s="5">
        <f t="shared" si="9"/>
        <v>11.298798798798799</v>
      </c>
      <c r="P15" s="11">
        <v>0</v>
      </c>
      <c r="Q15" s="11">
        <v>0</v>
      </c>
      <c r="R15" s="1"/>
      <c r="S15" s="1"/>
    </row>
    <row r="16" spans="1:24" x14ac:dyDescent="0.35">
      <c r="A16" s="5">
        <v>0</v>
      </c>
      <c r="B16" s="5">
        <f>(B15-B14)+B15</f>
        <v>2.9399999999999995</v>
      </c>
      <c r="C16" s="5">
        <f t="shared" ref="C16:Q16" si="10">(C15-C14)+C15</f>
        <v>21.921921921921896</v>
      </c>
      <c r="D16" s="5">
        <f t="shared" si="0"/>
        <v>2.9399999999999995</v>
      </c>
      <c r="E16" s="5">
        <f t="shared" si="1"/>
        <v>0</v>
      </c>
      <c r="F16" s="5">
        <f t="shared" si="10"/>
        <v>21.921921921921896</v>
      </c>
      <c r="G16" s="5">
        <f t="shared" si="2"/>
        <v>2.2100000000000004</v>
      </c>
      <c r="H16" s="5">
        <f t="shared" si="3"/>
        <v>73.593000000000004</v>
      </c>
      <c r="I16" s="5">
        <f t="shared" si="10"/>
        <v>22.072072072072071</v>
      </c>
      <c r="J16" s="5">
        <f t="shared" si="4"/>
        <v>0</v>
      </c>
      <c r="K16" s="5">
        <f t="shared" si="7"/>
        <v>0</v>
      </c>
      <c r="L16" s="5">
        <f t="shared" si="10"/>
        <v>14.039039039039039</v>
      </c>
      <c r="M16" s="5">
        <f t="shared" si="5"/>
        <v>-0.80000000000000027</v>
      </c>
      <c r="N16" s="5">
        <f t="shared" si="8"/>
        <v>-213.12000000000006</v>
      </c>
      <c r="O16" s="5">
        <f t="shared" si="9"/>
        <v>14.039039039039039</v>
      </c>
      <c r="P16" s="11">
        <f t="shared" si="10"/>
        <v>0</v>
      </c>
      <c r="Q16" s="11">
        <f t="shared" si="10"/>
        <v>0</v>
      </c>
    </row>
    <row r="17" spans="8:11" x14ac:dyDescent="0.35">
      <c r="H17" s="17">
        <f>(B2-SQRT(B2^2 - 4 * C2/1000*H2))/(2*D2/1000)</f>
        <v>38.369304556354948</v>
      </c>
      <c r="K17" s="15"/>
    </row>
    <row r="18" spans="8:11" x14ac:dyDescent="0.35">
      <c r="K18" s="16"/>
    </row>
    <row r="19" spans="8:11" x14ac:dyDescent="0.35">
      <c r="K19" s="16"/>
    </row>
    <row r="20" spans="8:11" x14ac:dyDescent="0.35">
      <c r="K20" s="16"/>
    </row>
    <row r="21" spans="8:11" x14ac:dyDescent="0.35">
      <c r="K21" s="16"/>
    </row>
    <row r="22" spans="8:11" x14ac:dyDescent="0.35">
      <c r="K22" s="16"/>
    </row>
    <row r="23" spans="8:11" x14ac:dyDescent="0.35">
      <c r="K23" s="16"/>
    </row>
  </sheetData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EEDC5-4C94-4B1B-9390-1BC522B836D7}">
  <dimension ref="A1:P16"/>
  <sheetViews>
    <sheetView workbookViewId="0">
      <selection activeCell="F12" sqref="F12"/>
    </sheetView>
  </sheetViews>
  <sheetFormatPr defaultRowHeight="14.5" x14ac:dyDescent="0.35"/>
  <cols>
    <col min="10" max="10" width="9.81640625" customWidth="1"/>
    <col min="11" max="11" width="11" customWidth="1"/>
    <col min="12" max="12" width="11.1796875" bestFit="1" customWidth="1"/>
    <col min="13" max="13" width="9.453125" bestFit="1" customWidth="1"/>
    <col min="15" max="15" width="9.453125" bestFit="1" customWidth="1"/>
    <col min="16" max="16" width="9.81640625" bestFit="1" customWidth="1"/>
  </cols>
  <sheetData>
    <row r="1" spans="1:16" x14ac:dyDescent="0.35">
      <c r="A1" s="2" t="s">
        <v>4</v>
      </c>
      <c r="B1" s="2" t="s">
        <v>3</v>
      </c>
      <c r="C1" s="2" t="s">
        <v>27</v>
      </c>
      <c r="D1" s="2" t="s">
        <v>22</v>
      </c>
      <c r="E1" s="2" t="s">
        <v>23</v>
      </c>
      <c r="F1" s="2" t="s">
        <v>24</v>
      </c>
      <c r="G1" s="2" t="s">
        <v>44</v>
      </c>
      <c r="H1" s="10" t="s">
        <v>7</v>
      </c>
      <c r="I1" s="10" t="s">
        <v>8</v>
      </c>
      <c r="J1" s="2" t="s">
        <v>25</v>
      </c>
      <c r="K1" s="2" t="s">
        <v>26</v>
      </c>
      <c r="L1" s="2" t="s">
        <v>13</v>
      </c>
      <c r="M1" s="4" t="s">
        <v>10</v>
      </c>
      <c r="N1" s="4" t="s">
        <v>9</v>
      </c>
      <c r="O1" s="4" t="s">
        <v>11</v>
      </c>
      <c r="P1" s="4" t="s">
        <v>12</v>
      </c>
    </row>
    <row r="2" spans="1:16" x14ac:dyDescent="0.35">
      <c r="A2" s="5">
        <v>1</v>
      </c>
      <c r="B2" s="5">
        <v>4.17</v>
      </c>
      <c r="C2" s="5">
        <f>D2</f>
        <v>4.8048048048048102</v>
      </c>
      <c r="D2" s="5">
        <f>LBV_model!H3*1000</f>
        <v>4.8048048048048102</v>
      </c>
      <c r="E2" s="5">
        <f>LBV_model!I3*1000</f>
        <v>2.9279279279279291</v>
      </c>
      <c r="F2" s="5">
        <f>LBV_model!J3*1000</f>
        <v>2.2897897897897894</v>
      </c>
      <c r="G2" s="5">
        <f>F2</f>
        <v>2.2897897897897894</v>
      </c>
      <c r="H2" s="11">
        <v>0</v>
      </c>
      <c r="I2" s="11">
        <v>0</v>
      </c>
      <c r="J2" s="3" t="s">
        <v>27</v>
      </c>
      <c r="K2" s="3">
        <v>0</v>
      </c>
      <c r="L2" s="9">
        <f>33.3</f>
        <v>33.299999999999997</v>
      </c>
      <c r="M2" s="3">
        <v>0.34599999999999997</v>
      </c>
      <c r="N2" s="3">
        <v>900</v>
      </c>
      <c r="O2" s="3">
        <v>15</v>
      </c>
      <c r="P2" s="3">
        <v>55</v>
      </c>
    </row>
    <row r="3" spans="1:16" x14ac:dyDescent="0.35">
      <c r="A3" s="5">
        <v>0.9</v>
      </c>
      <c r="B3" s="5">
        <v>3.98</v>
      </c>
      <c r="C3" s="5">
        <f t="shared" ref="C3:C15" si="0">D3</f>
        <v>3.0030030030030059</v>
      </c>
      <c r="D3" s="5">
        <f>LBV_model!H4*1000</f>
        <v>3.0030030030030059</v>
      </c>
      <c r="E3" s="5">
        <f>LBV_model!I4*1000</f>
        <v>2.1021021021021009</v>
      </c>
      <c r="F3" s="5">
        <f>LBV_model!J4*1000</f>
        <v>1.8768768768768771</v>
      </c>
      <c r="G3" s="5">
        <f t="shared" ref="G3:G16" si="1">F3</f>
        <v>1.8768768768768771</v>
      </c>
      <c r="H3" s="11">
        <v>0</v>
      </c>
      <c r="I3" s="11">
        <v>0</v>
      </c>
      <c r="J3" s="3" t="str">
        <f>D1</f>
        <v>IR_1C</v>
      </c>
      <c r="K3" s="3">
        <v>33.299999999999997</v>
      </c>
    </row>
    <row r="4" spans="1:16" x14ac:dyDescent="0.35">
      <c r="A4" s="5">
        <v>0.8</v>
      </c>
      <c r="B4" s="5">
        <v>3.88</v>
      </c>
      <c r="C4" s="5">
        <f t="shared" si="0"/>
        <v>3.6036036036036072</v>
      </c>
      <c r="D4" s="5">
        <f>LBV_model!H5*1000</f>
        <v>3.6036036036036072</v>
      </c>
      <c r="E4" s="5">
        <f>LBV_model!I5*1000</f>
        <v>2.252252252252251</v>
      </c>
      <c r="F4" s="5">
        <f>LBV_model!J5*1000</f>
        <v>1.9519519519519521</v>
      </c>
      <c r="G4" s="5">
        <f t="shared" si="1"/>
        <v>1.9519519519519521</v>
      </c>
      <c r="H4" s="11">
        <v>0</v>
      </c>
      <c r="I4" s="11">
        <v>0</v>
      </c>
      <c r="J4" s="3" t="str">
        <f>E1</f>
        <v>IR_4C</v>
      </c>
      <c r="K4" s="3">
        <f>K3*4</f>
        <v>133.19999999999999</v>
      </c>
    </row>
    <row r="5" spans="1:16" x14ac:dyDescent="0.35">
      <c r="A5" s="5">
        <v>0.7</v>
      </c>
      <c r="B5" s="5">
        <v>3.75</v>
      </c>
      <c r="C5" s="5">
        <f t="shared" si="0"/>
        <v>3.3033033033032999</v>
      </c>
      <c r="D5" s="5">
        <f>LBV_model!H6*1000</f>
        <v>3.3033033033032999</v>
      </c>
      <c r="E5" s="5">
        <f>LBV_model!I6*1000</f>
        <v>2.1771771771771777</v>
      </c>
      <c r="F5" s="5">
        <f>LBV_model!J6*1000</f>
        <v>1.9144144144144137</v>
      </c>
      <c r="G5" s="5">
        <f t="shared" si="1"/>
        <v>1.9144144144144137</v>
      </c>
      <c r="H5" s="11">
        <v>0</v>
      </c>
      <c r="I5" s="11">
        <v>0</v>
      </c>
      <c r="J5" s="3" t="str">
        <f>F1</f>
        <v>IR_8C</v>
      </c>
      <c r="K5" s="3">
        <f>K3*8</f>
        <v>266.39999999999998</v>
      </c>
    </row>
    <row r="6" spans="1:16" x14ac:dyDescent="0.35">
      <c r="A6" s="5">
        <v>0.6</v>
      </c>
      <c r="B6" s="5">
        <v>3.63</v>
      </c>
      <c r="C6" s="5">
        <f t="shared" si="0"/>
        <v>3.6036036036036072</v>
      </c>
      <c r="D6" s="5">
        <f>LBV_model!H7*1000</f>
        <v>3.6036036036036072</v>
      </c>
      <c r="E6" s="5">
        <f>LBV_model!I7*1000</f>
        <v>2.3273273273273283</v>
      </c>
      <c r="F6" s="5">
        <f>LBV_model!J7*1000</f>
        <v>1.989489489489489</v>
      </c>
      <c r="G6" s="5">
        <f t="shared" si="1"/>
        <v>1.989489489489489</v>
      </c>
      <c r="H6" s="11">
        <v>0</v>
      </c>
      <c r="I6" s="11">
        <v>0</v>
      </c>
      <c r="J6" s="3" t="str">
        <f>G1</f>
        <v>IR_12C</v>
      </c>
      <c r="K6" s="3">
        <f>K3*12</f>
        <v>399.59999999999997</v>
      </c>
    </row>
    <row r="7" spans="1:16" x14ac:dyDescent="0.35">
      <c r="A7" s="5">
        <v>0.5</v>
      </c>
      <c r="B7" s="5">
        <v>3.49</v>
      </c>
      <c r="C7" s="5">
        <f t="shared" si="0"/>
        <v>3.6036036036036072</v>
      </c>
      <c r="D7" s="5">
        <f>LBV_model!H8*1000</f>
        <v>3.6036036036036072</v>
      </c>
      <c r="E7" s="5">
        <f>LBV_model!I8*1000</f>
        <v>2.3273273273273283</v>
      </c>
      <c r="F7" s="5">
        <f>LBV_model!J8*1000</f>
        <v>1.9519519519519521</v>
      </c>
      <c r="G7" s="5">
        <f t="shared" si="1"/>
        <v>1.9519519519519521</v>
      </c>
      <c r="H7" s="11">
        <v>0</v>
      </c>
      <c r="I7" s="11">
        <v>0</v>
      </c>
      <c r="J7" s="1"/>
      <c r="K7" s="1"/>
    </row>
    <row r="8" spans="1:16" x14ac:dyDescent="0.35">
      <c r="A8" s="5">
        <v>0.4</v>
      </c>
      <c r="B8" s="5">
        <v>3.38</v>
      </c>
      <c r="C8" s="5">
        <f t="shared" si="0"/>
        <v>3.9039039039039012</v>
      </c>
      <c r="D8" s="5">
        <f>LBV_model!H9*1000</f>
        <v>3.9039039039039012</v>
      </c>
      <c r="E8" s="5">
        <f>LBV_model!I9*1000</f>
        <v>2.3273273273273283</v>
      </c>
      <c r="F8" s="5">
        <f>LBV_model!J9*1000</f>
        <v>2.0270270270270272</v>
      </c>
      <c r="G8" s="5">
        <f t="shared" si="1"/>
        <v>2.0270270270270272</v>
      </c>
      <c r="H8" s="11">
        <v>0</v>
      </c>
      <c r="I8" s="11">
        <v>0</v>
      </c>
      <c r="J8" s="1"/>
      <c r="K8" s="1"/>
    </row>
    <row r="9" spans="1:16" x14ac:dyDescent="0.35">
      <c r="A9" s="5">
        <v>0.35</v>
      </c>
      <c r="B9" s="5">
        <v>3.33</v>
      </c>
      <c r="C9" s="5">
        <f t="shared" si="0"/>
        <v>3.9039039039039012</v>
      </c>
      <c r="D9" s="5">
        <f>LBV_model!H10*1000</f>
        <v>3.9039039039039012</v>
      </c>
      <c r="E9" s="5">
        <f>LBV_model!I10*1000</f>
        <v>2.4774774774774784</v>
      </c>
      <c r="F9" s="5">
        <f>LBV_model!J10*1000</f>
        <v>2.1396396396396407</v>
      </c>
      <c r="G9" s="5">
        <f t="shared" si="1"/>
        <v>2.1396396396396407</v>
      </c>
      <c r="H9" s="11">
        <v>0</v>
      </c>
      <c r="I9" s="11">
        <v>0</v>
      </c>
      <c r="J9" s="1"/>
      <c r="K9" s="1"/>
    </row>
    <row r="10" spans="1:16" x14ac:dyDescent="0.35">
      <c r="A10" s="5">
        <v>0.3</v>
      </c>
      <c r="B10" s="5">
        <v>3.29</v>
      </c>
      <c r="C10" s="5">
        <f t="shared" si="0"/>
        <v>4.504504504504502</v>
      </c>
      <c r="D10" s="5">
        <f>LBV_model!H11*1000</f>
        <v>4.504504504504502</v>
      </c>
      <c r="E10" s="5">
        <f>LBV_model!I11*1000</f>
        <v>2.7027027027027022</v>
      </c>
      <c r="F10" s="5">
        <f>LBV_model!J11*1000</f>
        <v>2.3648648648648645</v>
      </c>
      <c r="G10" s="5">
        <f t="shared" si="1"/>
        <v>2.3648648648648645</v>
      </c>
      <c r="H10" s="11">
        <v>0</v>
      </c>
      <c r="I10" s="11">
        <v>0</v>
      </c>
      <c r="J10" s="1"/>
      <c r="K10" s="1"/>
    </row>
    <row r="11" spans="1:16" x14ac:dyDescent="0.35">
      <c r="A11" s="5">
        <v>0.25</v>
      </c>
      <c r="B11" s="5">
        <v>3.25</v>
      </c>
      <c r="C11" s="5">
        <f t="shared" si="0"/>
        <v>4.8048048048048102</v>
      </c>
      <c r="D11" s="5">
        <f>LBV_model!H12*1000</f>
        <v>4.8048048048048102</v>
      </c>
      <c r="E11" s="5">
        <f>LBV_model!I12*1000</f>
        <v>3.0780780780780792</v>
      </c>
      <c r="F11" s="5">
        <f>LBV_model!J12*1000</f>
        <v>2.8153153153153156</v>
      </c>
      <c r="G11" s="5">
        <f t="shared" si="1"/>
        <v>2.8153153153153156</v>
      </c>
      <c r="H11" s="11">
        <v>0</v>
      </c>
      <c r="I11" s="11">
        <v>0</v>
      </c>
      <c r="J11" s="1"/>
      <c r="K11" s="1"/>
    </row>
    <row r="12" spans="1:16" x14ac:dyDescent="0.35">
      <c r="A12" s="5">
        <v>0.2</v>
      </c>
      <c r="B12" s="5">
        <v>3.2</v>
      </c>
      <c r="C12" s="5">
        <f t="shared" si="0"/>
        <v>5.4054054054054106</v>
      </c>
      <c r="D12" s="5">
        <f>LBV_model!H13*1000</f>
        <v>5.4054054054054106</v>
      </c>
      <c r="E12" s="5">
        <f>LBV_model!I13*1000</f>
        <v>3.6786786786786805</v>
      </c>
      <c r="F12" s="5">
        <f>LBV_model!J13*1000</f>
        <v>3.3783783783783798</v>
      </c>
      <c r="G12" s="5">
        <f t="shared" si="1"/>
        <v>3.3783783783783798</v>
      </c>
      <c r="H12" s="11">
        <v>0</v>
      </c>
      <c r="I12" s="11">
        <v>0</v>
      </c>
      <c r="J12" s="1"/>
      <c r="K12" s="1"/>
    </row>
    <row r="13" spans="1:16" x14ac:dyDescent="0.35">
      <c r="A13" s="5">
        <v>0.15</v>
      </c>
      <c r="B13" s="5">
        <v>3.14</v>
      </c>
      <c r="C13" s="5">
        <f t="shared" si="0"/>
        <v>6.6066066066066131</v>
      </c>
      <c r="D13" s="5">
        <f>LBV_model!H14*1000</f>
        <v>6.6066066066066131</v>
      </c>
      <c r="E13" s="5">
        <f>LBV_model!I14*1000</f>
        <v>4.9549549549549567</v>
      </c>
      <c r="F13" s="5">
        <f>LBV_model!J14*1000</f>
        <v>5.0300300300300309</v>
      </c>
      <c r="G13" s="5">
        <f t="shared" si="1"/>
        <v>5.0300300300300309</v>
      </c>
      <c r="H13" s="11">
        <v>0</v>
      </c>
      <c r="I13" s="11">
        <v>0</v>
      </c>
      <c r="J13" s="1"/>
      <c r="K13" s="1"/>
    </row>
    <row r="14" spans="1:16" x14ac:dyDescent="0.35">
      <c r="A14" s="5">
        <v>0.1</v>
      </c>
      <c r="B14" s="5">
        <v>3.08</v>
      </c>
      <c r="C14" s="5">
        <f t="shared" si="0"/>
        <v>9.3093093093093131</v>
      </c>
      <c r="D14" s="5">
        <f>LBV_model!H15*1000</f>
        <v>9.3093093093093131</v>
      </c>
      <c r="E14" s="5">
        <f>LBV_model!I15*1000</f>
        <v>8.1081081081081088</v>
      </c>
      <c r="F14" s="5">
        <f>LBV_model!J15*1000</f>
        <v>8.5585585585585591</v>
      </c>
      <c r="G14" s="5">
        <f t="shared" si="1"/>
        <v>8.5585585585585591</v>
      </c>
      <c r="H14" s="11">
        <v>0</v>
      </c>
      <c r="I14" s="11">
        <v>0</v>
      </c>
      <c r="J14" s="1"/>
      <c r="K14" s="1"/>
    </row>
    <row r="15" spans="1:16" x14ac:dyDescent="0.35">
      <c r="A15" s="5">
        <v>0.05</v>
      </c>
      <c r="B15" s="5">
        <v>3.01</v>
      </c>
      <c r="C15" s="5">
        <f t="shared" si="0"/>
        <v>15.615615615615605</v>
      </c>
      <c r="D15" s="5">
        <f>LBV_model!H16*1000</f>
        <v>15.615615615615605</v>
      </c>
      <c r="E15" s="5">
        <f>LBV_model!I16*1000</f>
        <v>15.09009009009009</v>
      </c>
      <c r="F15" s="5">
        <f>LBV_model!J16*1000</f>
        <v>11.298798798798799</v>
      </c>
      <c r="G15" s="5">
        <f t="shared" si="1"/>
        <v>11.298798798798799</v>
      </c>
      <c r="H15" s="11">
        <v>0</v>
      </c>
      <c r="I15" s="11">
        <v>0</v>
      </c>
      <c r="J15" s="1"/>
      <c r="K15" s="1"/>
    </row>
    <row r="16" spans="1:16" x14ac:dyDescent="0.35">
      <c r="A16" s="5">
        <v>0</v>
      </c>
      <c r="B16" s="5">
        <f>(B15-B14)+B15</f>
        <v>2.9399999999999995</v>
      </c>
      <c r="C16" s="5">
        <f t="shared" ref="C16:I16" si="2">(C15-C14)+C15</f>
        <v>21.921921921921896</v>
      </c>
      <c r="D16" s="5">
        <f t="shared" si="2"/>
        <v>21.921921921921896</v>
      </c>
      <c r="E16" s="5">
        <f t="shared" si="2"/>
        <v>22.072072072072071</v>
      </c>
      <c r="F16" s="5">
        <f t="shared" si="2"/>
        <v>14.039039039039039</v>
      </c>
      <c r="G16" s="5">
        <f t="shared" si="1"/>
        <v>14.039039039039039</v>
      </c>
      <c r="H16" s="11">
        <f t="shared" si="2"/>
        <v>0</v>
      </c>
      <c r="I16" s="11">
        <f t="shared" si="2"/>
        <v>0</v>
      </c>
    </row>
  </sheetData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FFB67-468E-4554-B70D-60006C6C8D80}">
  <dimension ref="A1:O41"/>
  <sheetViews>
    <sheetView topLeftCell="A22" workbookViewId="0">
      <selection activeCell="B27" sqref="B27:B41"/>
    </sheetView>
  </sheetViews>
  <sheetFormatPr defaultRowHeight="14.5" x14ac:dyDescent="0.35"/>
  <cols>
    <col min="11" max="11" width="11.1796875" bestFit="1" customWidth="1"/>
    <col min="12" max="12" width="9.453125" bestFit="1" customWidth="1"/>
    <col min="14" max="14" width="9.453125" bestFit="1" customWidth="1"/>
    <col min="15" max="15" width="9.81640625" bestFit="1" customWidth="1"/>
  </cols>
  <sheetData>
    <row r="1" spans="1:15" x14ac:dyDescent="0.35">
      <c r="A1" s="2" t="s">
        <v>4</v>
      </c>
      <c r="B1" s="2" t="s">
        <v>3</v>
      </c>
      <c r="C1" s="3">
        <v>0</v>
      </c>
      <c r="D1" s="3">
        <v>33.299999999999997</v>
      </c>
      <c r="E1" s="3">
        <f>D1*4</f>
        <v>133.19999999999999</v>
      </c>
      <c r="F1" s="3">
        <f>D1*8</f>
        <v>266.39999999999998</v>
      </c>
      <c r="G1" s="10" t="s">
        <v>7</v>
      </c>
      <c r="H1" s="10" t="s">
        <v>8</v>
      </c>
      <c r="I1" s="2" t="s">
        <v>25</v>
      </c>
      <c r="J1" s="2" t="s">
        <v>26</v>
      </c>
      <c r="K1" s="2" t="s">
        <v>13</v>
      </c>
      <c r="L1" s="4" t="s">
        <v>10</v>
      </c>
      <c r="M1" s="4" t="s">
        <v>9</v>
      </c>
      <c r="N1" s="4" t="s">
        <v>11</v>
      </c>
      <c r="O1" s="4" t="s">
        <v>12</v>
      </c>
    </row>
    <row r="2" spans="1:15" x14ac:dyDescent="0.35">
      <c r="A2" s="5">
        <v>1</v>
      </c>
      <c r="B2" s="5">
        <v>4.17</v>
      </c>
      <c r="C2" s="5">
        <f>D2</f>
        <v>4.8048048048048102</v>
      </c>
      <c r="D2" s="5">
        <f>LBV_model!H3*1000</f>
        <v>4.8048048048048102</v>
      </c>
      <c r="E2" s="5">
        <f>LBV_model!I3*1000</f>
        <v>2.9279279279279291</v>
      </c>
      <c r="F2" s="5">
        <f>LBV_model!J3*1000</f>
        <v>2.2897897897897894</v>
      </c>
      <c r="G2" s="11">
        <v>0</v>
      </c>
      <c r="H2" s="11">
        <v>0</v>
      </c>
      <c r="I2" s="3" t="s">
        <v>27</v>
      </c>
      <c r="J2" s="3">
        <v>0</v>
      </c>
      <c r="K2" s="9">
        <f>33.3*0.9</f>
        <v>29.97</v>
      </c>
      <c r="L2" s="3">
        <v>0.34599999999999997</v>
      </c>
      <c r="M2" s="3">
        <v>900</v>
      </c>
      <c r="N2" s="3">
        <v>15</v>
      </c>
      <c r="O2" s="3">
        <v>55</v>
      </c>
    </row>
    <row r="3" spans="1:15" x14ac:dyDescent="0.35">
      <c r="A3" s="5">
        <v>0.9</v>
      </c>
      <c r="B3" s="5">
        <v>3.98</v>
      </c>
      <c r="C3" s="5">
        <f t="shared" ref="C3:C15" si="0">D3</f>
        <v>3.0030030030030059</v>
      </c>
      <c r="D3" s="5">
        <f>LBV_model!H4*1000</f>
        <v>3.0030030030030059</v>
      </c>
      <c r="E3" s="5">
        <f>LBV_model!I4*1000</f>
        <v>2.1021021021021009</v>
      </c>
      <c r="F3" s="5">
        <f>LBV_model!J4*1000</f>
        <v>1.8768768768768771</v>
      </c>
      <c r="G3" s="11">
        <v>0</v>
      </c>
      <c r="H3" s="11">
        <v>0</v>
      </c>
      <c r="I3" s="3" t="s">
        <v>22</v>
      </c>
      <c r="J3" s="3">
        <v>33.299999999999997</v>
      </c>
    </row>
    <row r="4" spans="1:15" x14ac:dyDescent="0.35">
      <c r="A4" s="5">
        <v>0.8</v>
      </c>
      <c r="B4" s="5">
        <v>3.88</v>
      </c>
      <c r="C4" s="5">
        <f t="shared" si="0"/>
        <v>3.6036036036036072</v>
      </c>
      <c r="D4" s="5">
        <f>LBV_model!H5*1000</f>
        <v>3.6036036036036072</v>
      </c>
      <c r="E4" s="5">
        <f>LBV_model!I5*1000</f>
        <v>2.252252252252251</v>
      </c>
      <c r="F4" s="5">
        <f>LBV_model!J5*1000</f>
        <v>1.9519519519519521</v>
      </c>
      <c r="G4" s="11">
        <v>0</v>
      </c>
      <c r="H4" s="11">
        <v>0</v>
      </c>
      <c r="I4" s="3" t="s">
        <v>23</v>
      </c>
      <c r="J4" s="3">
        <f>J3*4</f>
        <v>133.19999999999999</v>
      </c>
    </row>
    <row r="5" spans="1:15" x14ac:dyDescent="0.35">
      <c r="A5" s="5">
        <v>0.7</v>
      </c>
      <c r="B5" s="5">
        <v>3.75</v>
      </c>
      <c r="C5" s="5">
        <f t="shared" si="0"/>
        <v>3.3033033033032999</v>
      </c>
      <c r="D5" s="5">
        <f>LBV_model!H6*1000</f>
        <v>3.3033033033032999</v>
      </c>
      <c r="E5" s="5">
        <f>LBV_model!I6*1000</f>
        <v>2.1771771771771777</v>
      </c>
      <c r="F5" s="5">
        <f>LBV_model!J6*1000</f>
        <v>1.9144144144144137</v>
      </c>
      <c r="G5" s="11">
        <v>0</v>
      </c>
      <c r="H5" s="11">
        <v>0</v>
      </c>
      <c r="I5" s="3" t="s">
        <v>24</v>
      </c>
      <c r="J5" s="3">
        <f>J3*8</f>
        <v>266.39999999999998</v>
      </c>
    </row>
    <row r="6" spans="1:15" x14ac:dyDescent="0.35">
      <c r="A6" s="5">
        <v>0.6</v>
      </c>
      <c r="B6" s="5">
        <v>3.63</v>
      </c>
      <c r="C6" s="5">
        <f t="shared" si="0"/>
        <v>3.6036036036036072</v>
      </c>
      <c r="D6" s="5">
        <f>LBV_model!H7*1000</f>
        <v>3.6036036036036072</v>
      </c>
      <c r="E6" s="5">
        <f>LBV_model!I7*1000</f>
        <v>2.3273273273273283</v>
      </c>
      <c r="F6" s="5">
        <f>LBV_model!J7*1000</f>
        <v>1.989489489489489</v>
      </c>
      <c r="G6" s="11">
        <v>0</v>
      </c>
      <c r="H6" s="11">
        <v>0</v>
      </c>
      <c r="I6" s="1"/>
      <c r="J6" s="1"/>
    </row>
    <row r="7" spans="1:15" x14ac:dyDescent="0.35">
      <c r="A7" s="5">
        <v>0.5</v>
      </c>
      <c r="B7" s="5">
        <v>3.49</v>
      </c>
      <c r="C7" s="5">
        <f t="shared" si="0"/>
        <v>3.6036036036036072</v>
      </c>
      <c r="D7" s="5">
        <f>LBV_model!H8*1000</f>
        <v>3.6036036036036072</v>
      </c>
      <c r="E7" s="5">
        <f>LBV_model!I8*1000</f>
        <v>2.3273273273273283</v>
      </c>
      <c r="F7" s="5">
        <f>LBV_model!J8*1000</f>
        <v>1.9519519519519521</v>
      </c>
      <c r="G7" s="11">
        <v>0</v>
      </c>
      <c r="H7" s="11">
        <v>0</v>
      </c>
      <c r="I7" s="1"/>
      <c r="J7" s="1"/>
    </row>
    <row r="8" spans="1:15" x14ac:dyDescent="0.35">
      <c r="A8" s="5">
        <v>0.4</v>
      </c>
      <c r="B8" s="5">
        <v>3.38</v>
      </c>
      <c r="C8" s="5">
        <f t="shared" si="0"/>
        <v>3.9039039039039012</v>
      </c>
      <c r="D8" s="5">
        <f>LBV_model!H9*1000</f>
        <v>3.9039039039039012</v>
      </c>
      <c r="E8" s="5">
        <f>LBV_model!I9*1000</f>
        <v>2.3273273273273283</v>
      </c>
      <c r="F8" s="5">
        <f>LBV_model!J9*1000</f>
        <v>2.0270270270270272</v>
      </c>
      <c r="G8" s="11">
        <v>0</v>
      </c>
      <c r="H8" s="11">
        <v>0</v>
      </c>
      <c r="I8" s="1"/>
      <c r="J8" s="1"/>
    </row>
    <row r="9" spans="1:15" x14ac:dyDescent="0.35">
      <c r="A9" s="5">
        <v>0.35</v>
      </c>
      <c r="B9" s="5">
        <v>3.33</v>
      </c>
      <c r="C9" s="5">
        <f t="shared" si="0"/>
        <v>3.9039039039039012</v>
      </c>
      <c r="D9" s="5">
        <f>LBV_model!H10*1000</f>
        <v>3.9039039039039012</v>
      </c>
      <c r="E9" s="5">
        <f>LBV_model!I10*1000</f>
        <v>2.4774774774774784</v>
      </c>
      <c r="F9" s="5">
        <f>LBV_model!J10*1000</f>
        <v>2.1396396396396407</v>
      </c>
      <c r="G9" s="11">
        <v>0</v>
      </c>
      <c r="H9" s="11">
        <v>0</v>
      </c>
      <c r="I9" s="1"/>
      <c r="J9" s="1"/>
    </row>
    <row r="10" spans="1:15" x14ac:dyDescent="0.35">
      <c r="A10" s="5">
        <v>0.3</v>
      </c>
      <c r="B10" s="5">
        <v>3.29</v>
      </c>
      <c r="C10" s="5">
        <f t="shared" si="0"/>
        <v>4.504504504504502</v>
      </c>
      <c r="D10" s="5">
        <f>LBV_model!H11*1000</f>
        <v>4.504504504504502</v>
      </c>
      <c r="E10" s="5">
        <f>LBV_model!I11*1000</f>
        <v>2.7027027027027022</v>
      </c>
      <c r="F10" s="5">
        <f>LBV_model!J11*1000</f>
        <v>2.3648648648648645</v>
      </c>
      <c r="G10" s="11">
        <v>0</v>
      </c>
      <c r="H10" s="11">
        <v>0</v>
      </c>
      <c r="I10" s="1"/>
      <c r="J10" s="1"/>
    </row>
    <row r="11" spans="1:15" x14ac:dyDescent="0.35">
      <c r="A11" s="5">
        <v>0.25</v>
      </c>
      <c r="B11" s="5">
        <v>3.25</v>
      </c>
      <c r="C11" s="5">
        <f t="shared" si="0"/>
        <v>4.8048048048048102</v>
      </c>
      <c r="D11" s="5">
        <f>LBV_model!H12*1000</f>
        <v>4.8048048048048102</v>
      </c>
      <c r="E11" s="5">
        <f>LBV_model!I12*1000</f>
        <v>3.0780780780780792</v>
      </c>
      <c r="F11" s="5">
        <f>LBV_model!J12*1000</f>
        <v>2.8153153153153156</v>
      </c>
      <c r="G11" s="11">
        <v>0</v>
      </c>
      <c r="H11" s="11">
        <v>0</v>
      </c>
      <c r="I11" s="1"/>
      <c r="J11" s="1"/>
    </row>
    <row r="12" spans="1:15" x14ac:dyDescent="0.35">
      <c r="A12" s="5">
        <v>0.2</v>
      </c>
      <c r="B12" s="5">
        <v>3.2</v>
      </c>
      <c r="C12" s="5">
        <f t="shared" si="0"/>
        <v>5.4054054054054106</v>
      </c>
      <c r="D12" s="5">
        <f>LBV_model!H13*1000</f>
        <v>5.4054054054054106</v>
      </c>
      <c r="E12" s="5">
        <f>LBV_model!I13*1000</f>
        <v>3.6786786786786805</v>
      </c>
      <c r="F12" s="5">
        <f>LBV_model!J13*1000</f>
        <v>3.3783783783783798</v>
      </c>
      <c r="G12" s="11">
        <v>0</v>
      </c>
      <c r="H12" s="11">
        <v>0</v>
      </c>
      <c r="I12" s="1"/>
      <c r="J12" s="1"/>
    </row>
    <row r="13" spans="1:15" x14ac:dyDescent="0.35">
      <c r="A13" s="5">
        <v>0.15</v>
      </c>
      <c r="B13" s="5">
        <v>3.14</v>
      </c>
      <c r="C13" s="5">
        <f t="shared" si="0"/>
        <v>6.6066066066066131</v>
      </c>
      <c r="D13" s="5">
        <f>LBV_model!H14*1000</f>
        <v>6.6066066066066131</v>
      </c>
      <c r="E13" s="5">
        <f>LBV_model!I14*1000</f>
        <v>4.9549549549549567</v>
      </c>
      <c r="F13" s="5">
        <f>LBV_model!J14*1000</f>
        <v>5.0300300300300309</v>
      </c>
      <c r="G13" s="11">
        <v>0</v>
      </c>
      <c r="H13" s="11">
        <v>0</v>
      </c>
      <c r="I13" s="1"/>
      <c r="J13" s="1"/>
    </row>
    <row r="14" spans="1:15" x14ac:dyDescent="0.35">
      <c r="A14" s="5">
        <v>0.1</v>
      </c>
      <c r="B14" s="5">
        <v>3.08</v>
      </c>
      <c r="C14" s="5">
        <f t="shared" si="0"/>
        <v>9.3093093093093131</v>
      </c>
      <c r="D14" s="5">
        <f>LBV_model!H15*1000</f>
        <v>9.3093093093093131</v>
      </c>
      <c r="E14" s="5">
        <f>LBV_model!I15*1000</f>
        <v>8.1081081081081088</v>
      </c>
      <c r="F14" s="5">
        <f>LBV_model!J15*1000</f>
        <v>8.5585585585585591</v>
      </c>
      <c r="G14" s="11">
        <v>0</v>
      </c>
      <c r="H14" s="11">
        <v>0</v>
      </c>
      <c r="I14" s="1"/>
      <c r="J14" s="1"/>
    </row>
    <row r="15" spans="1:15" x14ac:dyDescent="0.35">
      <c r="A15" s="5">
        <v>0.05</v>
      </c>
      <c r="B15" s="5">
        <v>3.01</v>
      </c>
      <c r="C15" s="5">
        <f t="shared" si="0"/>
        <v>15.615615615615605</v>
      </c>
      <c r="D15" s="5">
        <f>LBV_model!H16*1000</f>
        <v>15.615615615615605</v>
      </c>
      <c r="E15" s="5">
        <f>LBV_model!I16*1000</f>
        <v>15.09009009009009</v>
      </c>
      <c r="F15" s="5">
        <f>LBV_model!J16*1000</f>
        <v>11.298798798798799</v>
      </c>
      <c r="G15" s="11">
        <v>0</v>
      </c>
      <c r="H15" s="11">
        <v>0</v>
      </c>
      <c r="I15" s="1"/>
      <c r="J15" s="1"/>
    </row>
    <row r="16" spans="1:15" x14ac:dyDescent="0.35">
      <c r="A16" s="5">
        <v>0</v>
      </c>
      <c r="B16" s="5">
        <f>(B15-B14)+B15</f>
        <v>2.9399999999999995</v>
      </c>
      <c r="C16" s="5">
        <f t="shared" ref="C16:H16" si="1">(C15-C14)+C15</f>
        <v>21.921921921921896</v>
      </c>
      <c r="D16" s="5">
        <f t="shared" si="1"/>
        <v>21.921921921921896</v>
      </c>
      <c r="E16" s="5">
        <f t="shared" si="1"/>
        <v>22.072072072072071</v>
      </c>
      <c r="F16" s="5">
        <f t="shared" si="1"/>
        <v>14.039039039039039</v>
      </c>
      <c r="G16" s="11">
        <f t="shared" si="1"/>
        <v>0</v>
      </c>
      <c r="H16" s="11">
        <f t="shared" si="1"/>
        <v>0</v>
      </c>
    </row>
    <row r="26" spans="1:15" x14ac:dyDescent="0.35">
      <c r="A26" s="2" t="s">
        <v>4</v>
      </c>
      <c r="B26" s="2" t="s">
        <v>3</v>
      </c>
      <c r="L26" t="s">
        <v>41</v>
      </c>
    </row>
    <row r="27" spans="1:15" x14ac:dyDescent="0.35">
      <c r="A27" s="5">
        <v>1</v>
      </c>
      <c r="B27" s="5">
        <v>4.17</v>
      </c>
      <c r="C27">
        <f>$B27-C2*C$1/1000</f>
        <v>4.17</v>
      </c>
      <c r="D27">
        <f t="shared" ref="D27:F27" si="2">$B27-D2*D$1/1000</f>
        <v>4.01</v>
      </c>
      <c r="E27">
        <f t="shared" si="2"/>
        <v>3.78</v>
      </c>
      <c r="F27">
        <f t="shared" si="2"/>
        <v>3.56</v>
      </c>
      <c r="L27" s="3" t="s">
        <v>27</v>
      </c>
      <c r="M27" s="3" t="s">
        <v>22</v>
      </c>
      <c r="N27" s="3" t="s">
        <v>23</v>
      </c>
      <c r="O27" s="3" t="s">
        <v>24</v>
      </c>
    </row>
    <row r="28" spans="1:15" x14ac:dyDescent="0.35">
      <c r="A28" s="5">
        <v>0.9</v>
      </c>
      <c r="B28" s="5">
        <v>3.98</v>
      </c>
      <c r="C28">
        <f t="shared" ref="C28:F41" si="3">$B28-C3*C$1/1000</f>
        <v>3.98</v>
      </c>
      <c r="D28">
        <f t="shared" si="3"/>
        <v>3.88</v>
      </c>
      <c r="E28">
        <f t="shared" si="3"/>
        <v>3.7</v>
      </c>
      <c r="F28">
        <f t="shared" si="3"/>
        <v>3.48</v>
      </c>
      <c r="L28" t="e">
        <f>C28*C$1/(C28*C$1 +C3*C$1^2/1000)</f>
        <v>#DIV/0!</v>
      </c>
      <c r="M28">
        <f t="shared" ref="M28:O32" si="4">D28*D$1/(D28*D$1 +D3*D$1^2/1000)</f>
        <v>0.97487437185929637</v>
      </c>
      <c r="N28">
        <f t="shared" si="4"/>
        <v>0.92964824120603018</v>
      </c>
      <c r="O28">
        <f t="shared" si="4"/>
        <v>0.87437185929648231</v>
      </c>
    </row>
    <row r="29" spans="1:15" x14ac:dyDescent="0.35">
      <c r="A29" s="5">
        <v>0.8</v>
      </c>
      <c r="B29" s="5">
        <v>3.88</v>
      </c>
      <c r="C29">
        <f t="shared" si="3"/>
        <v>3.88</v>
      </c>
      <c r="D29">
        <f t="shared" si="3"/>
        <v>3.76</v>
      </c>
      <c r="E29">
        <f t="shared" si="3"/>
        <v>3.58</v>
      </c>
      <c r="F29">
        <f t="shared" si="3"/>
        <v>3.36</v>
      </c>
      <c r="L29" t="e">
        <f t="shared" ref="L29:L32" si="5">C29*C$1/(C29*C$1 +C4*C$1^2/1000)</f>
        <v>#DIV/0!</v>
      </c>
      <c r="M29">
        <f t="shared" si="4"/>
        <v>0.96907216494845361</v>
      </c>
      <c r="N29">
        <f t="shared" si="4"/>
        <v>0.92268041237113418</v>
      </c>
      <c r="O29">
        <f t="shared" si="4"/>
        <v>0.865979381443299</v>
      </c>
    </row>
    <row r="30" spans="1:15" x14ac:dyDescent="0.35">
      <c r="A30" s="5">
        <v>0.7</v>
      </c>
      <c r="B30" s="5">
        <v>3.75</v>
      </c>
      <c r="C30">
        <f t="shared" si="3"/>
        <v>3.75</v>
      </c>
      <c r="D30">
        <f t="shared" si="3"/>
        <v>3.64</v>
      </c>
      <c r="E30">
        <f t="shared" si="3"/>
        <v>3.46</v>
      </c>
      <c r="F30">
        <f t="shared" si="3"/>
        <v>3.24</v>
      </c>
      <c r="L30" t="e">
        <f t="shared" si="5"/>
        <v>#DIV/0!</v>
      </c>
      <c r="M30">
        <f t="shared" si="4"/>
        <v>0.97066666666666668</v>
      </c>
      <c r="N30">
        <f t="shared" si="4"/>
        <v>0.92266666666666663</v>
      </c>
      <c r="O30">
        <f t="shared" si="4"/>
        <v>0.8640000000000001</v>
      </c>
    </row>
    <row r="31" spans="1:15" x14ac:dyDescent="0.35">
      <c r="A31" s="5">
        <v>0.6</v>
      </c>
      <c r="B31" s="5">
        <v>3.63</v>
      </c>
      <c r="C31">
        <f t="shared" si="3"/>
        <v>3.63</v>
      </c>
      <c r="D31">
        <f t="shared" si="3"/>
        <v>3.51</v>
      </c>
      <c r="E31">
        <f t="shared" si="3"/>
        <v>3.32</v>
      </c>
      <c r="F31">
        <f t="shared" si="3"/>
        <v>3.1</v>
      </c>
      <c r="L31" t="e">
        <f t="shared" si="5"/>
        <v>#DIV/0!</v>
      </c>
      <c r="M31">
        <f t="shared" si="4"/>
        <v>0.96694214876033047</v>
      </c>
      <c r="N31">
        <f t="shared" si="4"/>
        <v>0.91460055096418724</v>
      </c>
      <c r="O31">
        <f t="shared" si="4"/>
        <v>0.85399449035812669</v>
      </c>
    </row>
    <row r="32" spans="1:15" x14ac:dyDescent="0.35">
      <c r="A32" s="5">
        <v>0.5</v>
      </c>
      <c r="B32" s="5">
        <v>3.49</v>
      </c>
      <c r="C32">
        <f t="shared" si="3"/>
        <v>3.49</v>
      </c>
      <c r="D32">
        <f t="shared" si="3"/>
        <v>3.37</v>
      </c>
      <c r="E32">
        <f t="shared" si="3"/>
        <v>3.18</v>
      </c>
      <c r="F32">
        <f t="shared" si="3"/>
        <v>2.97</v>
      </c>
      <c r="L32" t="e">
        <f t="shared" si="5"/>
        <v>#DIV/0!</v>
      </c>
      <c r="M32">
        <f t="shared" si="4"/>
        <v>0.96561604584527216</v>
      </c>
      <c r="N32">
        <f t="shared" si="4"/>
        <v>0.91117478510028649</v>
      </c>
      <c r="O32">
        <f t="shared" si="4"/>
        <v>0.85100286532951286</v>
      </c>
    </row>
    <row r="33" spans="1:15" x14ac:dyDescent="0.35">
      <c r="A33" s="5">
        <v>0.4</v>
      </c>
      <c r="B33" s="5">
        <v>3.38</v>
      </c>
      <c r="C33">
        <f t="shared" si="3"/>
        <v>3.38</v>
      </c>
      <c r="D33">
        <f t="shared" si="3"/>
        <v>3.25</v>
      </c>
      <c r="E33">
        <f t="shared" si="3"/>
        <v>3.07</v>
      </c>
      <c r="F33">
        <f t="shared" si="3"/>
        <v>2.84</v>
      </c>
      <c r="L33" t="e">
        <f t="shared" ref="L33:L41" si="6">C33*C$1/(C33*C$1 +C8*C$1^2/1000)</f>
        <v>#DIV/0!</v>
      </c>
      <c r="M33">
        <f t="shared" ref="M33:M41" si="7">D33*D$1/(D33*D$1 +D8*D$1^2/1000)</f>
        <v>0.96153846153846156</v>
      </c>
      <c r="N33">
        <f t="shared" ref="N33:N41" si="8">E33*E$1/(E33*E$1 +E8*E$1^2/1000)</f>
        <v>0.90828402366863903</v>
      </c>
      <c r="O33">
        <f t="shared" ref="O33:O41" si="9">F33*F$1/(F33*F$1 +F8*F$1^2/1000)</f>
        <v>0.84023668639053251</v>
      </c>
    </row>
    <row r="34" spans="1:15" x14ac:dyDescent="0.35">
      <c r="A34" s="5">
        <v>0.35</v>
      </c>
      <c r="B34" s="5">
        <v>3.33</v>
      </c>
      <c r="C34">
        <f t="shared" si="3"/>
        <v>3.33</v>
      </c>
      <c r="D34">
        <f t="shared" si="3"/>
        <v>3.2</v>
      </c>
      <c r="E34">
        <f t="shared" si="3"/>
        <v>3</v>
      </c>
      <c r="F34">
        <f t="shared" si="3"/>
        <v>2.76</v>
      </c>
      <c r="L34" t="e">
        <f t="shared" si="6"/>
        <v>#DIV/0!</v>
      </c>
      <c r="M34">
        <f t="shared" si="7"/>
        <v>0.96096096096096106</v>
      </c>
      <c r="N34">
        <f t="shared" si="8"/>
        <v>0.9009009009009008</v>
      </c>
      <c r="O34">
        <f t="shared" si="9"/>
        <v>0.82882882882882869</v>
      </c>
    </row>
    <row r="35" spans="1:15" x14ac:dyDescent="0.35">
      <c r="A35" s="5">
        <v>0.3</v>
      </c>
      <c r="B35" s="5">
        <v>3.29</v>
      </c>
      <c r="C35">
        <f t="shared" si="3"/>
        <v>3.29</v>
      </c>
      <c r="D35">
        <f t="shared" si="3"/>
        <v>3.14</v>
      </c>
      <c r="E35">
        <f t="shared" si="3"/>
        <v>2.93</v>
      </c>
      <c r="F35">
        <f t="shared" si="3"/>
        <v>2.66</v>
      </c>
      <c r="L35" t="e">
        <f t="shared" si="6"/>
        <v>#DIV/0!</v>
      </c>
      <c r="M35">
        <f t="shared" si="7"/>
        <v>0.95440729483282682</v>
      </c>
      <c r="N35">
        <f t="shared" si="8"/>
        <v>0.89057750759878418</v>
      </c>
      <c r="O35">
        <f t="shared" si="9"/>
        <v>0.80851063829787251</v>
      </c>
    </row>
    <row r="36" spans="1:15" x14ac:dyDescent="0.35">
      <c r="A36" s="5">
        <v>0.25</v>
      </c>
      <c r="B36" s="5">
        <v>3.25</v>
      </c>
      <c r="C36">
        <f t="shared" si="3"/>
        <v>3.25</v>
      </c>
      <c r="D36">
        <f t="shared" si="3"/>
        <v>3.09</v>
      </c>
      <c r="E36">
        <f t="shared" si="3"/>
        <v>2.84</v>
      </c>
      <c r="F36">
        <f t="shared" si="3"/>
        <v>2.5</v>
      </c>
      <c r="L36" t="e">
        <f t="shared" si="6"/>
        <v>#DIV/0!</v>
      </c>
      <c r="M36">
        <f t="shared" si="7"/>
        <v>0.9507692307692307</v>
      </c>
      <c r="N36">
        <f t="shared" si="8"/>
        <v>0.87384615384615383</v>
      </c>
      <c r="O36">
        <f t="shared" si="9"/>
        <v>0.76923076923076927</v>
      </c>
    </row>
    <row r="37" spans="1:15" x14ac:dyDescent="0.35">
      <c r="A37" s="5">
        <v>0.2</v>
      </c>
      <c r="B37" s="5">
        <v>3.2</v>
      </c>
      <c r="C37">
        <f t="shared" si="3"/>
        <v>3.2</v>
      </c>
      <c r="D37">
        <f t="shared" si="3"/>
        <v>3.02</v>
      </c>
      <c r="E37">
        <f t="shared" si="3"/>
        <v>2.71</v>
      </c>
      <c r="F37">
        <f t="shared" si="3"/>
        <v>2.2999999999999998</v>
      </c>
      <c r="L37" t="e">
        <f t="shared" si="6"/>
        <v>#DIV/0!</v>
      </c>
      <c r="M37">
        <f t="shared" si="7"/>
        <v>0.94374999999999998</v>
      </c>
      <c r="N37">
        <f t="shared" si="8"/>
        <v>0.84687499999999993</v>
      </c>
      <c r="O37">
        <f t="shared" si="9"/>
        <v>0.71874999999999989</v>
      </c>
    </row>
    <row r="38" spans="1:15" x14ac:dyDescent="0.35">
      <c r="A38" s="5">
        <v>0.15</v>
      </c>
      <c r="B38" s="5">
        <v>3.14</v>
      </c>
      <c r="C38">
        <f t="shared" si="3"/>
        <v>3.14</v>
      </c>
      <c r="D38">
        <f t="shared" si="3"/>
        <v>2.92</v>
      </c>
      <c r="E38">
        <f t="shared" si="3"/>
        <v>2.48</v>
      </c>
      <c r="F38">
        <f t="shared" si="3"/>
        <v>1.7999999999999998</v>
      </c>
      <c r="L38" t="e">
        <f t="shared" si="6"/>
        <v>#DIV/0!</v>
      </c>
      <c r="M38">
        <f t="shared" si="7"/>
        <v>0.92993630573248398</v>
      </c>
      <c r="N38">
        <f t="shared" si="8"/>
        <v>0.78980891719745216</v>
      </c>
      <c r="O38">
        <f t="shared" si="9"/>
        <v>0.57324840764331209</v>
      </c>
    </row>
    <row r="39" spans="1:15" x14ac:dyDescent="0.35">
      <c r="A39" s="5">
        <v>0.1</v>
      </c>
      <c r="B39" s="5">
        <v>3.08</v>
      </c>
      <c r="C39">
        <f t="shared" si="3"/>
        <v>3.08</v>
      </c>
      <c r="D39">
        <f t="shared" si="3"/>
        <v>2.77</v>
      </c>
      <c r="E39">
        <f t="shared" si="3"/>
        <v>2</v>
      </c>
      <c r="F39">
        <f t="shared" si="3"/>
        <v>0.80000000000000027</v>
      </c>
      <c r="L39" t="e">
        <f t="shared" si="6"/>
        <v>#DIV/0!</v>
      </c>
      <c r="M39">
        <f t="shared" si="7"/>
        <v>0.89935064935064923</v>
      </c>
      <c r="N39">
        <f t="shared" si="8"/>
        <v>0.64935064935064934</v>
      </c>
      <c r="O39">
        <f t="shared" si="9"/>
        <v>0.25974025974025977</v>
      </c>
    </row>
    <row r="40" spans="1:15" x14ac:dyDescent="0.35">
      <c r="A40" s="5">
        <v>0.05</v>
      </c>
      <c r="B40" s="5">
        <v>3.01</v>
      </c>
      <c r="C40">
        <f t="shared" si="3"/>
        <v>3.01</v>
      </c>
      <c r="D40">
        <f t="shared" si="3"/>
        <v>2.4900000000000002</v>
      </c>
      <c r="E40">
        <f t="shared" si="3"/>
        <v>1</v>
      </c>
      <c r="F40">
        <f t="shared" si="3"/>
        <v>0</v>
      </c>
      <c r="L40" t="e">
        <f t="shared" si="6"/>
        <v>#DIV/0!</v>
      </c>
      <c r="M40">
        <f t="shared" si="7"/>
        <v>0.82724252491694361</v>
      </c>
      <c r="N40">
        <f t="shared" si="8"/>
        <v>0.33222591362126253</v>
      </c>
      <c r="O40">
        <f t="shared" si="9"/>
        <v>0</v>
      </c>
    </row>
    <row r="41" spans="1:15" x14ac:dyDescent="0.35">
      <c r="A41" s="5">
        <v>0</v>
      </c>
      <c r="B41" s="5">
        <f>(B40-B39)+B40</f>
        <v>2.9399999999999995</v>
      </c>
      <c r="C41">
        <f t="shared" si="3"/>
        <v>2.9399999999999995</v>
      </c>
      <c r="D41">
        <f t="shared" si="3"/>
        <v>2.2100000000000004</v>
      </c>
      <c r="E41">
        <f t="shared" si="3"/>
        <v>0</v>
      </c>
      <c r="F41">
        <f t="shared" si="3"/>
        <v>-0.79999999999999982</v>
      </c>
      <c r="L41" t="e">
        <f t="shared" si="6"/>
        <v>#DIV/0!</v>
      </c>
      <c r="M41">
        <f t="shared" si="7"/>
        <v>0.75170068027210912</v>
      </c>
      <c r="N41">
        <f t="shared" si="8"/>
        <v>0</v>
      </c>
      <c r="O41">
        <f t="shared" si="9"/>
        <v>-0.27210884353741494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A9A1-7010-4B8C-8AEF-6C161398D097}">
  <sheetPr codeName="Sheet4"/>
  <dimension ref="A1:S20"/>
  <sheetViews>
    <sheetView zoomScale="85" zoomScaleNormal="85" workbookViewId="0">
      <selection activeCell="R21" sqref="R21"/>
    </sheetView>
  </sheetViews>
  <sheetFormatPr defaultRowHeight="14.5" x14ac:dyDescent="0.35"/>
  <cols>
    <col min="8" max="8" width="12" bestFit="1" customWidth="1"/>
    <col min="10" max="10" width="12" bestFit="1" customWidth="1"/>
    <col min="18" max="18" width="12.26953125" bestFit="1" customWidth="1"/>
  </cols>
  <sheetData>
    <row r="1" spans="1:19" x14ac:dyDescent="0.35">
      <c r="A1" t="s">
        <v>20</v>
      </c>
      <c r="B1">
        <v>33.299999999999997</v>
      </c>
      <c r="Q1" t="s">
        <v>21</v>
      </c>
    </row>
    <row r="2" spans="1:19" x14ac:dyDescent="0.35">
      <c r="B2" s="1">
        <v>0</v>
      </c>
      <c r="C2" s="1">
        <v>1</v>
      </c>
      <c r="D2" s="1">
        <v>2</v>
      </c>
      <c r="E2" s="1">
        <v>3</v>
      </c>
      <c r="H2" s="1">
        <v>1</v>
      </c>
      <c r="I2" s="1">
        <v>4</v>
      </c>
      <c r="J2" s="1">
        <v>8</v>
      </c>
      <c r="K2" s="1" t="s">
        <v>19</v>
      </c>
      <c r="M2" s="1">
        <v>1</v>
      </c>
      <c r="N2" s="1">
        <v>4</v>
      </c>
      <c r="O2" s="1">
        <v>8</v>
      </c>
      <c r="Q2" s="1">
        <v>1</v>
      </c>
      <c r="R2" s="1">
        <v>4</v>
      </c>
      <c r="S2" s="1">
        <v>8</v>
      </c>
    </row>
    <row r="3" spans="1:19" x14ac:dyDescent="0.35">
      <c r="A3">
        <v>1</v>
      </c>
      <c r="B3">
        <v>4.17</v>
      </c>
      <c r="C3">
        <v>4.01</v>
      </c>
      <c r="D3">
        <v>3.78</v>
      </c>
      <c r="E3">
        <v>3.56</v>
      </c>
      <c r="G3">
        <f>A3</f>
        <v>1</v>
      </c>
      <c r="H3">
        <f>($B3-C3)/($B$1*H$2)</f>
        <v>4.8048048048048098E-3</v>
      </c>
      <c r="I3">
        <f t="shared" ref="I3:J16" si="0">($B3-D3)/($B$1*I$2)</f>
        <v>2.9279279279279292E-3</v>
      </c>
      <c r="J3">
        <f t="shared" si="0"/>
        <v>2.2897897897897895E-3</v>
      </c>
      <c r="K3">
        <f>AVERAGE(H3:J3)</f>
        <v>3.3408408408408426E-3</v>
      </c>
      <c r="M3">
        <f>$B3-$B$1*M$2*$K3</f>
        <v>4.0587499999999999</v>
      </c>
      <c r="N3">
        <f t="shared" ref="N3:O3" si="1">$B3-$B$1*N$2*$K3</f>
        <v>3.7249999999999996</v>
      </c>
      <c r="O3">
        <f t="shared" si="1"/>
        <v>3.2799999999999994</v>
      </c>
      <c r="Q3">
        <f>(M3-C3)*200</f>
        <v>9.7500000000000142</v>
      </c>
      <c r="R3">
        <f t="shared" ref="R3:S16" si="2">(N3-D3)*200</f>
        <v>-11.000000000000032</v>
      </c>
      <c r="S3">
        <f t="shared" si="2"/>
        <v>-56.000000000000142</v>
      </c>
    </row>
    <row r="4" spans="1:19" x14ac:dyDescent="0.35">
      <c r="A4">
        <v>0.9</v>
      </c>
      <c r="B4">
        <v>3.98</v>
      </c>
      <c r="C4">
        <v>3.88</v>
      </c>
      <c r="D4">
        <v>3.7</v>
      </c>
      <c r="E4">
        <v>3.48</v>
      </c>
      <c r="G4">
        <f t="shared" ref="G4:G16" si="3">A4</f>
        <v>0.9</v>
      </c>
      <c r="H4">
        <f t="shared" ref="H4:H16" si="4">($B4-C4)/($B$1*H$2)</f>
        <v>3.003003003003006E-3</v>
      </c>
      <c r="I4">
        <f t="shared" si="0"/>
        <v>2.1021021021021009E-3</v>
      </c>
      <c r="J4">
        <f t="shared" si="0"/>
        <v>1.8768768768768771E-3</v>
      </c>
      <c r="K4">
        <f t="shared" ref="K4:K16" si="5">AVERAGE(H4:J4)</f>
        <v>2.3273273273273281E-3</v>
      </c>
      <c r="M4">
        <f t="shared" ref="M4:O16" si="6">$B4-$B$1*M$2*$K4</f>
        <v>3.9024999999999999</v>
      </c>
      <c r="N4">
        <f t="shared" si="6"/>
        <v>3.67</v>
      </c>
      <c r="O4">
        <f t="shared" si="6"/>
        <v>3.36</v>
      </c>
      <c r="Q4">
        <f t="shared" ref="Q4:Q16" si="7">(M4-C4)*200</f>
        <v>4.4999999999999929</v>
      </c>
      <c r="R4">
        <f t="shared" si="2"/>
        <v>-6.0000000000000497</v>
      </c>
      <c r="S4">
        <f t="shared" si="2"/>
        <v>-24.000000000000021</v>
      </c>
    </row>
    <row r="5" spans="1:19" x14ac:dyDescent="0.35">
      <c r="A5">
        <v>0.8</v>
      </c>
      <c r="B5">
        <v>3.88</v>
      </c>
      <c r="C5">
        <v>3.76</v>
      </c>
      <c r="D5">
        <v>3.58</v>
      </c>
      <c r="E5">
        <v>3.36</v>
      </c>
      <c r="G5">
        <f t="shared" si="3"/>
        <v>0.8</v>
      </c>
      <c r="H5">
        <f t="shared" si="4"/>
        <v>3.6036036036036071E-3</v>
      </c>
      <c r="I5">
        <f t="shared" si="0"/>
        <v>2.2522522522522509E-3</v>
      </c>
      <c r="J5">
        <f t="shared" si="0"/>
        <v>1.9519519519519521E-3</v>
      </c>
      <c r="K5">
        <f t="shared" si="5"/>
        <v>2.6026026026026035E-3</v>
      </c>
      <c r="M5">
        <f t="shared" si="6"/>
        <v>3.793333333333333</v>
      </c>
      <c r="N5">
        <f t="shared" si="6"/>
        <v>3.5333333333333332</v>
      </c>
      <c r="O5">
        <f t="shared" si="6"/>
        <v>3.1866666666666665</v>
      </c>
      <c r="Q5">
        <f t="shared" si="7"/>
        <v>6.666666666666643</v>
      </c>
      <c r="R5">
        <f t="shared" si="2"/>
        <v>-9.3333333333333712</v>
      </c>
      <c r="S5">
        <f t="shared" si="2"/>
        <v>-34.666666666666671</v>
      </c>
    </row>
    <row r="6" spans="1:19" x14ac:dyDescent="0.35">
      <c r="A6">
        <v>0.7</v>
      </c>
      <c r="B6">
        <v>3.75</v>
      </c>
      <c r="C6">
        <v>3.64</v>
      </c>
      <c r="D6">
        <v>3.46</v>
      </c>
      <c r="E6">
        <v>3.24</v>
      </c>
      <c r="G6">
        <f t="shared" si="3"/>
        <v>0.7</v>
      </c>
      <c r="H6">
        <f t="shared" si="4"/>
        <v>3.3033033033033001E-3</v>
      </c>
      <c r="I6">
        <f t="shared" si="0"/>
        <v>2.1771771771771776E-3</v>
      </c>
      <c r="J6">
        <f t="shared" si="0"/>
        <v>1.9144144144144137E-3</v>
      </c>
      <c r="K6">
        <f t="shared" si="5"/>
        <v>2.4649649649649639E-3</v>
      </c>
      <c r="M6">
        <f t="shared" si="6"/>
        <v>3.6679166666666667</v>
      </c>
      <c r="N6">
        <f t="shared" si="6"/>
        <v>3.4216666666666669</v>
      </c>
      <c r="O6">
        <f t="shared" si="6"/>
        <v>3.0933333333333337</v>
      </c>
      <c r="Q6">
        <f t="shared" si="7"/>
        <v>5.5833333333333179</v>
      </c>
      <c r="R6">
        <f t="shared" si="2"/>
        <v>-7.6666666666666217</v>
      </c>
      <c r="S6">
        <f t="shared" si="2"/>
        <v>-29.3333333333333</v>
      </c>
    </row>
    <row r="7" spans="1:19" x14ac:dyDescent="0.35">
      <c r="A7">
        <v>0.6</v>
      </c>
      <c r="B7">
        <v>3.63</v>
      </c>
      <c r="C7">
        <v>3.51</v>
      </c>
      <c r="D7">
        <v>3.32</v>
      </c>
      <c r="E7">
        <v>3.1</v>
      </c>
      <c r="G7">
        <f t="shared" si="3"/>
        <v>0.6</v>
      </c>
      <c r="H7">
        <f t="shared" si="4"/>
        <v>3.6036036036036071E-3</v>
      </c>
      <c r="I7">
        <f t="shared" si="0"/>
        <v>2.3273273273273281E-3</v>
      </c>
      <c r="J7">
        <f t="shared" si="0"/>
        <v>1.989489489489489E-3</v>
      </c>
      <c r="K7">
        <f t="shared" si="5"/>
        <v>2.6401401401401417E-3</v>
      </c>
      <c r="M7">
        <f t="shared" si="6"/>
        <v>3.5420833333333333</v>
      </c>
      <c r="N7">
        <f t="shared" si="6"/>
        <v>3.2783333333333329</v>
      </c>
      <c r="O7">
        <f t="shared" si="6"/>
        <v>2.9266666666666663</v>
      </c>
      <c r="Q7">
        <f t="shared" si="7"/>
        <v>6.4166666666666927</v>
      </c>
      <c r="R7">
        <f t="shared" si="2"/>
        <v>-8.3333333333333925</v>
      </c>
      <c r="S7">
        <f t="shared" si="2"/>
        <v>-34.666666666666757</v>
      </c>
    </row>
    <row r="8" spans="1:19" x14ac:dyDescent="0.35">
      <c r="A8">
        <v>0.5</v>
      </c>
      <c r="B8">
        <v>3.49</v>
      </c>
      <c r="C8">
        <v>3.37</v>
      </c>
      <c r="D8">
        <v>3.18</v>
      </c>
      <c r="E8">
        <v>2.97</v>
      </c>
      <c r="G8">
        <f t="shared" si="3"/>
        <v>0.5</v>
      </c>
      <c r="H8">
        <f t="shared" si="4"/>
        <v>3.6036036036036071E-3</v>
      </c>
      <c r="I8">
        <f t="shared" si="0"/>
        <v>2.3273273273273281E-3</v>
      </c>
      <c r="J8">
        <f t="shared" si="0"/>
        <v>1.9519519519519521E-3</v>
      </c>
      <c r="K8">
        <f t="shared" si="5"/>
        <v>2.6276276276276291E-3</v>
      </c>
      <c r="M8">
        <f t="shared" si="6"/>
        <v>3.4025000000000003</v>
      </c>
      <c r="N8">
        <f t="shared" si="6"/>
        <v>3.14</v>
      </c>
      <c r="O8">
        <f t="shared" si="6"/>
        <v>2.79</v>
      </c>
      <c r="Q8">
        <f t="shared" si="7"/>
        <v>6.5000000000000391</v>
      </c>
      <c r="R8">
        <f t="shared" si="2"/>
        <v>-8.0000000000000071</v>
      </c>
      <c r="S8">
        <f t="shared" si="2"/>
        <v>-36.000000000000028</v>
      </c>
    </row>
    <row r="9" spans="1:19" x14ac:dyDescent="0.35">
      <c r="A9">
        <v>0.4</v>
      </c>
      <c r="B9">
        <v>3.38</v>
      </c>
      <c r="C9">
        <v>3.25</v>
      </c>
      <c r="D9">
        <v>3.07</v>
      </c>
      <c r="E9">
        <v>2.84</v>
      </c>
      <c r="G9">
        <f t="shared" si="3"/>
        <v>0.4</v>
      </c>
      <c r="H9">
        <f t="shared" si="4"/>
        <v>3.9039039039039012E-3</v>
      </c>
      <c r="I9">
        <f t="shared" si="0"/>
        <v>2.3273273273273281E-3</v>
      </c>
      <c r="J9">
        <f t="shared" si="0"/>
        <v>2.0270270270270271E-3</v>
      </c>
      <c r="K9">
        <f t="shared" si="5"/>
        <v>2.7527527527527519E-3</v>
      </c>
      <c r="M9">
        <f t="shared" si="6"/>
        <v>3.2883333333333331</v>
      </c>
      <c r="N9">
        <f t="shared" si="6"/>
        <v>3.0133333333333332</v>
      </c>
      <c r="O9">
        <f t="shared" si="6"/>
        <v>2.6466666666666669</v>
      </c>
      <c r="Q9">
        <f t="shared" si="7"/>
        <v>7.6666666666666217</v>
      </c>
      <c r="R9">
        <f t="shared" si="2"/>
        <v>-11.333333333333329</v>
      </c>
      <c r="S9">
        <f t="shared" si="2"/>
        <v>-38.666666666666586</v>
      </c>
    </row>
    <row r="10" spans="1:19" x14ac:dyDescent="0.35">
      <c r="A10">
        <v>0.35</v>
      </c>
      <c r="B10">
        <v>3.33</v>
      </c>
      <c r="C10">
        <v>3.2</v>
      </c>
      <c r="D10">
        <v>3</v>
      </c>
      <c r="E10">
        <v>2.76</v>
      </c>
      <c r="G10">
        <f t="shared" si="3"/>
        <v>0.35</v>
      </c>
      <c r="H10">
        <f t="shared" si="4"/>
        <v>3.9039039039039012E-3</v>
      </c>
      <c r="I10">
        <f t="shared" si="0"/>
        <v>2.4774774774774782E-3</v>
      </c>
      <c r="J10">
        <f t="shared" si="0"/>
        <v>2.1396396396396408E-3</v>
      </c>
      <c r="K10">
        <f t="shared" si="5"/>
        <v>2.8403403403403399E-3</v>
      </c>
      <c r="M10">
        <f t="shared" si="6"/>
        <v>3.2354166666666666</v>
      </c>
      <c r="N10">
        <f t="shared" si="6"/>
        <v>2.9516666666666667</v>
      </c>
      <c r="O10">
        <f t="shared" si="6"/>
        <v>2.5733333333333337</v>
      </c>
      <c r="Q10">
        <f t="shared" si="7"/>
        <v>7.083333333333286</v>
      </c>
      <c r="R10">
        <f t="shared" si="2"/>
        <v>-9.6666666666666679</v>
      </c>
      <c r="S10">
        <f t="shared" si="2"/>
        <v>-37.333333333333215</v>
      </c>
    </row>
    <row r="11" spans="1:19" x14ac:dyDescent="0.35">
      <c r="A11">
        <v>0.3</v>
      </c>
      <c r="B11">
        <v>3.29</v>
      </c>
      <c r="C11">
        <v>3.14</v>
      </c>
      <c r="D11">
        <v>2.93</v>
      </c>
      <c r="E11">
        <v>2.66</v>
      </c>
      <c r="G11">
        <f t="shared" si="3"/>
        <v>0.3</v>
      </c>
      <c r="H11">
        <f t="shared" si="4"/>
        <v>4.5045045045045019E-3</v>
      </c>
      <c r="I11">
        <f t="shared" si="0"/>
        <v>2.702702702702702E-3</v>
      </c>
      <c r="J11">
        <f t="shared" si="0"/>
        <v>2.3648648648648646E-3</v>
      </c>
      <c r="K11">
        <f t="shared" si="5"/>
        <v>3.1906906906906895E-3</v>
      </c>
      <c r="M11">
        <f t="shared" si="6"/>
        <v>3.1837499999999999</v>
      </c>
      <c r="N11">
        <f t="shared" si="6"/>
        <v>2.8650000000000002</v>
      </c>
      <c r="O11">
        <f t="shared" si="6"/>
        <v>2.4400000000000004</v>
      </c>
      <c r="Q11">
        <f t="shared" si="7"/>
        <v>8.7499999999999467</v>
      </c>
      <c r="R11">
        <f t="shared" si="2"/>
        <v>-12.999999999999989</v>
      </c>
      <c r="S11">
        <f t="shared" si="2"/>
        <v>-43.99999999999995</v>
      </c>
    </row>
    <row r="12" spans="1:19" x14ac:dyDescent="0.35">
      <c r="A12">
        <v>0.25</v>
      </c>
      <c r="B12">
        <v>3.25</v>
      </c>
      <c r="C12">
        <v>3.09</v>
      </c>
      <c r="D12">
        <v>2.84</v>
      </c>
      <c r="E12">
        <v>2.5</v>
      </c>
      <c r="G12">
        <f t="shared" si="3"/>
        <v>0.25</v>
      </c>
      <c r="H12">
        <f t="shared" si="4"/>
        <v>4.8048048048048098E-3</v>
      </c>
      <c r="I12">
        <f t="shared" si="0"/>
        <v>3.0780780780780793E-3</v>
      </c>
      <c r="J12">
        <f t="shared" si="0"/>
        <v>2.8153153153153156E-3</v>
      </c>
      <c r="K12">
        <f t="shared" si="5"/>
        <v>3.5660660660660685E-3</v>
      </c>
      <c r="M12">
        <f t="shared" si="6"/>
        <v>3.1312500000000001</v>
      </c>
      <c r="N12">
        <f t="shared" si="6"/>
        <v>2.7749999999999995</v>
      </c>
      <c r="O12">
        <f t="shared" si="6"/>
        <v>2.2999999999999994</v>
      </c>
      <c r="Q12">
        <f t="shared" si="7"/>
        <v>8.2500000000000462</v>
      </c>
      <c r="R12">
        <f t="shared" si="2"/>
        <v>-13.000000000000078</v>
      </c>
      <c r="S12">
        <f t="shared" si="2"/>
        <v>-40.000000000000128</v>
      </c>
    </row>
    <row r="13" spans="1:19" x14ac:dyDescent="0.35">
      <c r="A13">
        <v>0.2</v>
      </c>
      <c r="B13">
        <v>3.2</v>
      </c>
      <c r="C13">
        <v>3.02</v>
      </c>
      <c r="D13">
        <v>2.71</v>
      </c>
      <c r="E13">
        <v>2.2999999999999998</v>
      </c>
      <c r="G13">
        <f t="shared" si="3"/>
        <v>0.2</v>
      </c>
      <c r="H13">
        <f>($B13-C13)/($B$1*H$2)</f>
        <v>5.4054054054054109E-3</v>
      </c>
      <c r="I13">
        <f t="shared" si="0"/>
        <v>3.6786786786786804E-3</v>
      </c>
      <c r="J13">
        <f>($B13-E13)/($B$1*J$2)</f>
        <v>3.3783783783783799E-3</v>
      </c>
      <c r="K13">
        <f t="shared" si="5"/>
        <v>4.1541541541541575E-3</v>
      </c>
      <c r="M13">
        <f t="shared" si="6"/>
        <v>3.0616666666666665</v>
      </c>
      <c r="N13">
        <f t="shared" si="6"/>
        <v>2.6466666666666665</v>
      </c>
      <c r="O13">
        <f t="shared" si="6"/>
        <v>2.0933333333333328</v>
      </c>
      <c r="Q13">
        <f t="shared" si="7"/>
        <v>8.3333333333333037</v>
      </c>
      <c r="R13">
        <f t="shared" si="2"/>
        <v>-12.666666666666693</v>
      </c>
      <c r="S13">
        <f t="shared" si="2"/>
        <v>-41.3333333333334</v>
      </c>
    </row>
    <row r="14" spans="1:19" x14ac:dyDescent="0.35">
      <c r="A14">
        <v>0.15</v>
      </c>
      <c r="B14">
        <v>3.14</v>
      </c>
      <c r="C14">
        <v>2.92</v>
      </c>
      <c r="D14">
        <v>2.48</v>
      </c>
      <c r="E14">
        <v>1.8</v>
      </c>
      <c r="G14">
        <f t="shared" si="3"/>
        <v>0.15</v>
      </c>
      <c r="H14">
        <f t="shared" si="4"/>
        <v>6.6066066066066131E-3</v>
      </c>
      <c r="I14">
        <f t="shared" si="0"/>
        <v>4.9549549549549564E-3</v>
      </c>
      <c r="J14">
        <f t="shared" si="0"/>
        <v>5.030030030030031E-3</v>
      </c>
      <c r="K14">
        <f t="shared" si="5"/>
        <v>5.5305305305305341E-3</v>
      </c>
      <c r="M14">
        <f t="shared" si="6"/>
        <v>2.9558333333333335</v>
      </c>
      <c r="N14">
        <f t="shared" si="6"/>
        <v>2.4033333333333333</v>
      </c>
      <c r="O14">
        <f t="shared" si="6"/>
        <v>1.6666666666666661</v>
      </c>
      <c r="Q14">
        <f t="shared" si="7"/>
        <v>7.1666666666667211</v>
      </c>
      <c r="R14">
        <f t="shared" si="2"/>
        <v>-15.333333333333332</v>
      </c>
      <c r="S14">
        <f t="shared" si="2"/>
        <v>-26.666666666666792</v>
      </c>
    </row>
    <row r="15" spans="1:19" x14ac:dyDescent="0.35">
      <c r="A15">
        <v>0.1</v>
      </c>
      <c r="B15">
        <v>3.08</v>
      </c>
      <c r="C15">
        <v>2.77</v>
      </c>
      <c r="D15">
        <v>2</v>
      </c>
      <c r="E15">
        <v>0.8</v>
      </c>
      <c r="G15">
        <f t="shared" si="3"/>
        <v>0.1</v>
      </c>
      <c r="H15">
        <f t="shared" si="4"/>
        <v>9.3093093093093125E-3</v>
      </c>
      <c r="I15">
        <f t="shared" si="0"/>
        <v>8.1081081081081086E-3</v>
      </c>
      <c r="J15">
        <f t="shared" si="0"/>
        <v>8.5585585585585596E-3</v>
      </c>
      <c r="K15">
        <f t="shared" si="5"/>
        <v>8.6586586586586602E-3</v>
      </c>
      <c r="M15">
        <f t="shared" si="6"/>
        <v>2.7916666666666665</v>
      </c>
      <c r="N15">
        <f t="shared" si="6"/>
        <v>1.9266666666666665</v>
      </c>
      <c r="O15">
        <f t="shared" si="6"/>
        <v>0.77333333333333298</v>
      </c>
      <c r="Q15">
        <f t="shared" si="7"/>
        <v>4.3333333333333002</v>
      </c>
      <c r="R15">
        <f t="shared" si="2"/>
        <v>-14.666666666666694</v>
      </c>
      <c r="S15">
        <f t="shared" si="2"/>
        <v>-5.3333333333334121</v>
      </c>
    </row>
    <row r="16" spans="1:19" x14ac:dyDescent="0.35">
      <c r="A16">
        <v>0.05</v>
      </c>
      <c r="B16">
        <v>3.01</v>
      </c>
      <c r="C16">
        <v>2.4900000000000002</v>
      </c>
      <c r="D16">
        <v>1</v>
      </c>
      <c r="E16">
        <v>0</v>
      </c>
      <c r="G16">
        <f t="shared" si="3"/>
        <v>0.05</v>
      </c>
      <c r="H16">
        <f t="shared" si="4"/>
        <v>1.5615615615615605E-2</v>
      </c>
      <c r="I16">
        <f t="shared" si="0"/>
        <v>1.509009009009009E-2</v>
      </c>
      <c r="J16">
        <f t="shared" si="0"/>
        <v>1.1298798798798798E-2</v>
      </c>
      <c r="K16">
        <f t="shared" si="5"/>
        <v>1.4001501501501498E-2</v>
      </c>
      <c r="M16">
        <f t="shared" si="6"/>
        <v>2.5437500000000002</v>
      </c>
      <c r="N16">
        <f t="shared" si="6"/>
        <v>1.1450000000000005</v>
      </c>
      <c r="O16">
        <f>$B16-$B$1*O$2*$K16</f>
        <v>-0.71999999999999886</v>
      </c>
      <c r="Q16">
        <f t="shared" si="7"/>
        <v>10.749999999999993</v>
      </c>
      <c r="R16">
        <f t="shared" si="2"/>
        <v>29.000000000000092</v>
      </c>
      <c r="S16">
        <f t="shared" si="2"/>
        <v>-143.99999999999977</v>
      </c>
    </row>
    <row r="20" spans="18:18" x14ac:dyDescent="0.35">
      <c r="R20">
        <f>H3/1000</f>
        <v>4.8048048048048094E-6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8B148-61DD-4BC4-BAB2-26979A5C3D8F}">
  <sheetPr codeName="Sheet6"/>
  <dimension ref="A1:S27"/>
  <sheetViews>
    <sheetView workbookViewId="0">
      <selection activeCell="B21" sqref="B21"/>
    </sheetView>
  </sheetViews>
  <sheetFormatPr defaultRowHeight="14.5" x14ac:dyDescent="0.35"/>
  <cols>
    <col min="2" max="2" width="10" bestFit="1" customWidth="1"/>
    <col min="3" max="3" width="12" bestFit="1" customWidth="1"/>
    <col min="4" max="7" width="14.81640625" bestFit="1" customWidth="1"/>
    <col min="10" max="10" width="10" bestFit="1" customWidth="1"/>
    <col min="12" max="12" width="10" bestFit="1" customWidth="1"/>
  </cols>
  <sheetData>
    <row r="1" spans="2:19" x14ac:dyDescent="0.35">
      <c r="B1" t="s">
        <v>20</v>
      </c>
      <c r="D1">
        <v>33.299999999999997</v>
      </c>
      <c r="K1" s="1"/>
      <c r="L1" s="1">
        <v>0</v>
      </c>
      <c r="M1" s="1">
        <v>1</v>
      </c>
      <c r="N1" s="1">
        <v>4</v>
      </c>
      <c r="O1" s="1">
        <v>8</v>
      </c>
      <c r="R1" t="s">
        <v>32</v>
      </c>
      <c r="S1" t="s">
        <v>33</v>
      </c>
    </row>
    <row r="2" spans="2:19" x14ac:dyDescent="0.35">
      <c r="B2" t="s">
        <v>4</v>
      </c>
      <c r="C2" t="s">
        <v>3</v>
      </c>
      <c r="D2" s="1">
        <f>L2</f>
        <v>0</v>
      </c>
      <c r="E2" s="1">
        <f t="shared" ref="E2:G2" si="0">M2</f>
        <v>33.299999999999997</v>
      </c>
      <c r="F2" s="1">
        <f t="shared" si="0"/>
        <v>133.19999999999999</v>
      </c>
      <c r="G2" s="1">
        <f t="shared" si="0"/>
        <v>266.39999999999998</v>
      </c>
      <c r="K2" s="1" t="s">
        <v>4</v>
      </c>
      <c r="L2" s="1">
        <f>L1*$D$1</f>
        <v>0</v>
      </c>
      <c r="M2" s="1">
        <f>M1*$D$1</f>
        <v>33.299999999999997</v>
      </c>
      <c r="N2" s="1">
        <f>N1*$D$1</f>
        <v>133.19999999999999</v>
      </c>
      <c r="O2" s="1">
        <f>O1*$D$1</f>
        <v>266.39999999999998</v>
      </c>
      <c r="R2">
        <v>200</v>
      </c>
      <c r="S2">
        <v>28</v>
      </c>
    </row>
    <row r="3" spans="2:19" x14ac:dyDescent="0.35">
      <c r="B3">
        <v>1</v>
      </c>
      <c r="C3">
        <v>4.17</v>
      </c>
      <c r="D3" s="13">
        <v>4.8048048048048102</v>
      </c>
      <c r="E3" s="13">
        <v>4.8048048048048102</v>
      </c>
      <c r="F3" s="13">
        <v>2.9279279279279291</v>
      </c>
      <c r="G3" s="13">
        <v>2.2897897897897894</v>
      </c>
      <c r="K3" s="1">
        <v>1</v>
      </c>
      <c r="L3" s="1">
        <f>M3</f>
        <v>0</v>
      </c>
      <c r="M3" s="1">
        <f t="shared" ref="M3:M16" si="1">($D3-E3)/($D$1*M$1)</f>
        <v>0</v>
      </c>
      <c r="N3" s="1">
        <f t="shared" ref="N3:N16" si="2">($D3-F3)/($D$1*N$1)</f>
        <v>1.409066724382043E-2</v>
      </c>
      <c r="O3" s="1">
        <f t="shared" ref="O3:O16" si="3">($D3-G3)/($D$1*O$1)</f>
        <v>9.4407470533596893E-3</v>
      </c>
    </row>
    <row r="4" spans="2:19" x14ac:dyDescent="0.35">
      <c r="B4">
        <v>0.9</v>
      </c>
      <c r="C4">
        <v>3.98</v>
      </c>
      <c r="D4" s="13">
        <v>3.0030030030030059</v>
      </c>
      <c r="E4" s="13">
        <v>3.0030030030030059</v>
      </c>
      <c r="F4" s="13">
        <v>2.1021021021021009</v>
      </c>
      <c r="G4" s="13">
        <v>1.8768768768768771</v>
      </c>
      <c r="K4" s="1">
        <v>0.9</v>
      </c>
      <c r="L4" s="1">
        <f t="shared" ref="L4:L16" si="4">M4</f>
        <v>0</v>
      </c>
      <c r="M4" s="1">
        <f t="shared" si="1"/>
        <v>0</v>
      </c>
      <c r="N4" s="1">
        <f t="shared" si="2"/>
        <v>6.7635202770338224E-3</v>
      </c>
      <c r="O4" s="1">
        <f t="shared" si="3"/>
        <v>4.2272001731461298E-3</v>
      </c>
    </row>
    <row r="5" spans="2:19" x14ac:dyDescent="0.35">
      <c r="B5">
        <v>0.8</v>
      </c>
      <c r="C5">
        <v>3.88</v>
      </c>
      <c r="D5" s="13">
        <v>3.6036036036036072</v>
      </c>
      <c r="E5" s="13">
        <v>3.6036036036036072</v>
      </c>
      <c r="F5" s="13">
        <v>2.252252252252251</v>
      </c>
      <c r="G5" s="13">
        <v>1.9519519519519521</v>
      </c>
      <c r="K5" s="1">
        <v>0.8</v>
      </c>
      <c r="L5" s="1">
        <f t="shared" si="4"/>
        <v>0</v>
      </c>
      <c r="M5" s="1">
        <f t="shared" si="1"/>
        <v>0</v>
      </c>
      <c r="N5" s="1">
        <f t="shared" si="2"/>
        <v>1.0145280415550724E-2</v>
      </c>
      <c r="O5" s="1">
        <f t="shared" si="3"/>
        <v>6.1998935872809883E-3</v>
      </c>
    </row>
    <row r="6" spans="2:19" x14ac:dyDescent="0.35">
      <c r="B6">
        <v>0.7</v>
      </c>
      <c r="C6">
        <v>3.75</v>
      </c>
      <c r="D6" s="13">
        <v>3.3033033033032999</v>
      </c>
      <c r="E6" s="13">
        <v>3.3033033033032999</v>
      </c>
      <c r="F6" s="13">
        <v>2.1771771771771777</v>
      </c>
      <c r="G6" s="13">
        <v>1.9144144144144137</v>
      </c>
      <c r="K6" s="1">
        <v>0.7</v>
      </c>
      <c r="L6" s="1">
        <f t="shared" si="4"/>
        <v>0</v>
      </c>
      <c r="M6" s="1">
        <f t="shared" si="1"/>
        <v>0</v>
      </c>
      <c r="N6" s="1">
        <f t="shared" si="2"/>
        <v>8.4544003462922093E-3</v>
      </c>
      <c r="O6" s="1">
        <f t="shared" si="3"/>
        <v>5.2135468802135369E-3</v>
      </c>
    </row>
    <row r="7" spans="2:19" x14ac:dyDescent="0.35">
      <c r="B7">
        <v>0.6</v>
      </c>
      <c r="C7">
        <v>3.63</v>
      </c>
      <c r="D7" s="13">
        <v>3.6036036036036072</v>
      </c>
      <c r="E7" s="13">
        <v>3.6036036036036072</v>
      </c>
      <c r="F7" s="13">
        <v>2.3273273273273283</v>
      </c>
      <c r="G7" s="13">
        <v>1.989489489489489</v>
      </c>
      <c r="K7" s="1">
        <v>0.6</v>
      </c>
      <c r="L7" s="1">
        <f t="shared" si="4"/>
        <v>0</v>
      </c>
      <c r="M7" s="1">
        <f t="shared" si="1"/>
        <v>0</v>
      </c>
      <c r="N7" s="1">
        <f t="shared" si="2"/>
        <v>9.5816537257978913E-3</v>
      </c>
      <c r="O7" s="1">
        <f t="shared" si="3"/>
        <v>6.0589869148427863E-3</v>
      </c>
    </row>
    <row r="8" spans="2:19" x14ac:dyDescent="0.35">
      <c r="B8">
        <v>0.5</v>
      </c>
      <c r="C8">
        <v>3.49</v>
      </c>
      <c r="D8" s="13">
        <v>3.6036036036036072</v>
      </c>
      <c r="E8" s="13">
        <v>3.6036036036036072</v>
      </c>
      <c r="F8" s="13">
        <v>2.3273273273273283</v>
      </c>
      <c r="G8" s="13">
        <v>1.9519519519519521</v>
      </c>
      <c r="K8" s="1">
        <v>0.5</v>
      </c>
      <c r="L8" s="1">
        <f t="shared" si="4"/>
        <v>0</v>
      </c>
      <c r="M8" s="1">
        <f t="shared" si="1"/>
        <v>0</v>
      </c>
      <c r="N8" s="1">
        <f t="shared" si="2"/>
        <v>9.5816537257978913E-3</v>
      </c>
      <c r="O8" s="1">
        <f t="shared" si="3"/>
        <v>6.1998935872809883E-3</v>
      </c>
    </row>
    <row r="9" spans="2:19" x14ac:dyDescent="0.35">
      <c r="B9">
        <v>0.4</v>
      </c>
      <c r="C9">
        <v>3.38</v>
      </c>
      <c r="D9" s="13">
        <v>3.9039039039039012</v>
      </c>
      <c r="E9" s="13">
        <v>3.9039039039039012</v>
      </c>
      <c r="F9" s="13">
        <v>2.3273273273273283</v>
      </c>
      <c r="G9" s="13">
        <v>2.0270270270270272</v>
      </c>
      <c r="K9" s="1">
        <v>0.4</v>
      </c>
      <c r="L9" s="1">
        <f t="shared" si="4"/>
        <v>0</v>
      </c>
      <c r="M9" s="1">
        <f t="shared" si="1"/>
        <v>0</v>
      </c>
      <c r="N9" s="1">
        <f t="shared" si="2"/>
        <v>1.1836160484809106E-2</v>
      </c>
      <c r="O9" s="1">
        <f t="shared" si="3"/>
        <v>7.0453336219101883E-3</v>
      </c>
    </row>
    <row r="10" spans="2:19" x14ac:dyDescent="0.35">
      <c r="B10">
        <v>0.35</v>
      </c>
      <c r="C10">
        <v>3.33</v>
      </c>
      <c r="D10" s="13">
        <v>3.9039039039039012</v>
      </c>
      <c r="E10" s="13">
        <v>3.9039039039039012</v>
      </c>
      <c r="F10" s="13">
        <v>2.4774774774774784</v>
      </c>
      <c r="G10" s="13">
        <v>2.1396396396396407</v>
      </c>
      <c r="K10" s="1">
        <v>0.35</v>
      </c>
      <c r="L10" s="1">
        <f t="shared" si="4"/>
        <v>0</v>
      </c>
      <c r="M10" s="1">
        <f t="shared" si="1"/>
        <v>0</v>
      </c>
      <c r="N10" s="1">
        <f t="shared" si="2"/>
        <v>1.0708907105303476E-2</v>
      </c>
      <c r="O10" s="1">
        <f t="shared" si="3"/>
        <v>6.6226136045955735E-3</v>
      </c>
    </row>
    <row r="11" spans="2:19" x14ac:dyDescent="0.35">
      <c r="B11">
        <v>0.3</v>
      </c>
      <c r="C11">
        <v>3.29</v>
      </c>
      <c r="D11" s="13">
        <v>4.504504504504502</v>
      </c>
      <c r="E11" s="13">
        <v>4.504504504504502</v>
      </c>
      <c r="F11" s="13">
        <v>2.7027027027027022</v>
      </c>
      <c r="G11" s="13">
        <v>2.3648648648648645</v>
      </c>
      <c r="K11" s="1">
        <v>0.3</v>
      </c>
      <c r="L11" s="1">
        <f t="shared" si="4"/>
        <v>0</v>
      </c>
      <c r="M11" s="1">
        <f t="shared" si="1"/>
        <v>0</v>
      </c>
      <c r="N11" s="1">
        <f t="shared" si="2"/>
        <v>1.3527040554067567E-2</v>
      </c>
      <c r="O11" s="1">
        <f t="shared" si="3"/>
        <v>8.0316803289776188E-3</v>
      </c>
    </row>
    <row r="12" spans="2:19" x14ac:dyDescent="0.35">
      <c r="B12">
        <v>0.25</v>
      </c>
      <c r="C12">
        <v>3.25</v>
      </c>
      <c r="D12" s="13">
        <v>4.8048048048048102</v>
      </c>
      <c r="E12" s="13">
        <v>4.8048048048048102</v>
      </c>
      <c r="F12" s="13">
        <v>3.0780780780780792</v>
      </c>
      <c r="G12" s="13">
        <v>2.8153153153153156</v>
      </c>
      <c r="K12" s="1">
        <v>0.25</v>
      </c>
      <c r="L12" s="1">
        <f t="shared" si="4"/>
        <v>0</v>
      </c>
      <c r="M12" s="1">
        <f t="shared" si="1"/>
        <v>0</v>
      </c>
      <c r="N12" s="1">
        <f t="shared" si="2"/>
        <v>1.2963413864314799E-2</v>
      </c>
      <c r="O12" s="1">
        <f t="shared" si="3"/>
        <v>7.4680536392248299E-3</v>
      </c>
    </row>
    <row r="13" spans="2:19" x14ac:dyDescent="0.35">
      <c r="B13">
        <v>0.2</v>
      </c>
      <c r="C13">
        <v>3.2</v>
      </c>
      <c r="D13" s="13">
        <v>5.4054054054054106</v>
      </c>
      <c r="E13" s="13">
        <v>5.4054054054054106</v>
      </c>
      <c r="F13" s="13">
        <v>3.6786786786786805</v>
      </c>
      <c r="G13" s="13">
        <v>3.3783783783783798</v>
      </c>
      <c r="K13" s="1">
        <v>0.2</v>
      </c>
      <c r="L13" s="1">
        <f t="shared" si="4"/>
        <v>0</v>
      </c>
      <c r="M13" s="1">
        <f t="shared" si="1"/>
        <v>0</v>
      </c>
      <c r="N13" s="1">
        <f t="shared" si="2"/>
        <v>1.2963413864314792E-2</v>
      </c>
      <c r="O13" s="1">
        <f t="shared" si="3"/>
        <v>7.6089603116630293E-3</v>
      </c>
    </row>
    <row r="14" spans="2:19" x14ac:dyDescent="0.35">
      <c r="B14">
        <v>0.15</v>
      </c>
      <c r="C14">
        <v>3.14</v>
      </c>
      <c r="D14" s="13">
        <v>6.6066066066066131</v>
      </c>
      <c r="E14" s="13">
        <v>6.6066066066066131</v>
      </c>
      <c r="F14" s="13">
        <v>4.9549549549549567</v>
      </c>
      <c r="G14" s="13">
        <v>5.0300300300300309</v>
      </c>
      <c r="K14" s="1">
        <v>0.15</v>
      </c>
      <c r="L14" s="1">
        <f t="shared" si="4"/>
        <v>0</v>
      </c>
      <c r="M14" s="1">
        <f t="shared" si="1"/>
        <v>0</v>
      </c>
      <c r="N14" s="1">
        <f t="shared" si="2"/>
        <v>1.2399787174561985E-2</v>
      </c>
      <c r="O14" s="1">
        <f t="shared" si="3"/>
        <v>5.9180802424045886E-3</v>
      </c>
    </row>
    <row r="15" spans="2:19" x14ac:dyDescent="0.35">
      <c r="B15">
        <v>0.1</v>
      </c>
      <c r="C15">
        <v>3.08</v>
      </c>
      <c r="D15" s="13">
        <v>9.3093093093093131</v>
      </c>
      <c r="E15" s="13">
        <v>9.3093093093093131</v>
      </c>
      <c r="F15" s="13">
        <v>8.1081081081081088</v>
      </c>
      <c r="G15" s="13">
        <v>8.5585585585585591</v>
      </c>
      <c r="K15" s="1">
        <v>0.1</v>
      </c>
      <c r="L15" s="1">
        <f t="shared" si="4"/>
        <v>0</v>
      </c>
      <c r="M15" s="1">
        <f t="shared" si="1"/>
        <v>0</v>
      </c>
      <c r="N15" s="1">
        <f t="shared" si="2"/>
        <v>9.018027036045078E-3</v>
      </c>
      <c r="O15" s="1">
        <f t="shared" si="3"/>
        <v>2.8181334487640919E-3</v>
      </c>
    </row>
    <row r="16" spans="2:19" x14ac:dyDescent="0.35">
      <c r="B16">
        <v>0.05</v>
      </c>
      <c r="C16">
        <v>3.01</v>
      </c>
      <c r="D16" s="13">
        <v>15.615615615615605</v>
      </c>
      <c r="E16" s="13">
        <v>15.615615615615605</v>
      </c>
      <c r="F16" s="13">
        <v>15.09009009009009</v>
      </c>
      <c r="G16" s="13">
        <v>11.298798798798799</v>
      </c>
      <c r="K16" s="1">
        <v>0.05</v>
      </c>
      <c r="L16" s="1">
        <f t="shared" si="4"/>
        <v>0</v>
      </c>
      <c r="M16" s="1">
        <f t="shared" si="1"/>
        <v>0</v>
      </c>
      <c r="N16" s="1">
        <f t="shared" si="2"/>
        <v>3.9453868282696303E-3</v>
      </c>
      <c r="O16" s="1">
        <f t="shared" si="3"/>
        <v>1.6204267330393415E-2</v>
      </c>
    </row>
    <row r="17" spans="1:15" x14ac:dyDescent="0.35">
      <c r="C17">
        <v>2.9399999999999995</v>
      </c>
      <c r="D17" s="13">
        <v>21.921921921921896</v>
      </c>
      <c r="E17" s="13">
        <v>21.921921921921896</v>
      </c>
      <c r="F17" s="13">
        <v>22.072072072072071</v>
      </c>
      <c r="G17" s="13">
        <v>14.039039039039039</v>
      </c>
    </row>
    <row r="18" spans="1:15" x14ac:dyDescent="0.35">
      <c r="A18" t="s">
        <v>28</v>
      </c>
      <c r="B18" s="12">
        <v>0.2</v>
      </c>
      <c r="C18" s="1"/>
      <c r="D18" s="1" t="e" cm="1">
        <f t="array" aca="1" ref="D18" ca="1">[1]!Interp1D($B18,$K$3:$K$16,D$3:D$16)</f>
        <v>#NAME?</v>
      </c>
      <c r="E18" s="1" t="e" cm="1">
        <f t="array" aca="1" ref="E18" ca="1">[1]!Interp1D($B18,$K$3:$K$16,E$3:E$16)</f>
        <v>#NAME?</v>
      </c>
      <c r="F18" s="1" t="e" cm="1">
        <f t="array" aca="1" ref="F18" ca="1">[1]!Interp1D($B18,$K$3:$K$16,F$3:F$16)</f>
        <v>#NAME?</v>
      </c>
      <c r="G18" s="1" t="e" cm="1">
        <f t="array" aca="1" ref="G18" ca="1">[1]!Interp1D($B18,$K$3:$K$16,G$3:G$16)</f>
        <v>#NAME?</v>
      </c>
      <c r="I18" t="s">
        <v>28</v>
      </c>
      <c r="J18" s="1">
        <v>0.29599999999999999</v>
      </c>
      <c r="K18" s="1" t="e" cm="1">
        <f t="array" aca="1" ref="K18" ca="1">[1]!Interp1D($J18,$K$3:$K$16,L$3:L$16)</f>
        <v>#NAME?</v>
      </c>
      <c r="L18" s="1" t="e" cm="1">
        <f t="array" aca="1" ref="L18" ca="1">[1]!Interp1D($J18,$K$3:$K$16,M$3:M$16)</f>
        <v>#NAME?</v>
      </c>
      <c r="M18" s="1" t="e" cm="1">
        <f t="array" aca="1" ref="M18" ca="1">[1]!Interp1D($J18,$K$3:$K$16,N$3:N$16)</f>
        <v>#NAME?</v>
      </c>
      <c r="N18" s="1" t="e" cm="1">
        <f t="array" aca="1" ref="N18" ca="1">[1]!Interp1D($J18,$K$3:$K$16,O$3:O$16)</f>
        <v>#NAME?</v>
      </c>
    </row>
    <row r="19" spans="1:15" x14ac:dyDescent="0.35">
      <c r="A19" t="s">
        <v>3</v>
      </c>
      <c r="B19" s="1">
        <f>B18</f>
        <v>0.2</v>
      </c>
      <c r="C19" t="e" cm="1">
        <f t="array" aca="1" ref="C19" ca="1">[1]!Interp1D(B19,B3:B16,C3:C16)</f>
        <v>#NAME?</v>
      </c>
      <c r="I19" t="s">
        <v>3</v>
      </c>
      <c r="J19" s="1">
        <f>J18</f>
        <v>0.29599999999999999</v>
      </c>
      <c r="K19" t="e" cm="1">
        <f t="array" aca="1" ref="K19" ca="1">[1]!Interp1D(J19,B3:B16,D3:D16)</f>
        <v>#NAME?</v>
      </c>
      <c r="L19" t="e">
        <f ca="1">$K19-L18*M2</f>
        <v>#NAME?</v>
      </c>
      <c r="M19" t="e">
        <f ca="1">$K19-M18*N2</f>
        <v>#NAME?</v>
      </c>
      <c r="N19" t="e">
        <f ca="1">$K19-N18*O2</f>
        <v>#NAME?</v>
      </c>
    </row>
    <row r="20" spans="1:15" x14ac:dyDescent="0.35">
      <c r="A20" t="s">
        <v>29</v>
      </c>
      <c r="B20" s="14">
        <v>130</v>
      </c>
      <c r="C20" t="e" cm="1">
        <f t="array" aca="1" ref="C20" ca="1">[1]!Interp1D(B20,D2:G2,D18:G18)</f>
        <v>#NAME?</v>
      </c>
      <c r="D20" t="e">
        <f ca="1">C20*R2</f>
        <v>#NAME?</v>
      </c>
      <c r="I20" t="s">
        <v>37</v>
      </c>
      <c r="L20" t="e">
        <f ca="1">L19*M2</f>
        <v>#NAME?</v>
      </c>
      <c r="M20" t="e">
        <f ca="1">M19*N2</f>
        <v>#NAME?</v>
      </c>
      <c r="N20" t="e">
        <f ca="1">N19*O2</f>
        <v>#NAME?</v>
      </c>
    </row>
    <row r="21" spans="1:15" x14ac:dyDescent="0.35">
      <c r="A21" t="s">
        <v>43</v>
      </c>
      <c r="B21">
        <f>B20/33</f>
        <v>3.9393939393939394</v>
      </c>
      <c r="I21" t="s">
        <v>38</v>
      </c>
      <c r="J21" t="e" cm="1">
        <f t="array" aca="1" ref="J21" ca="1">[1]!Interp1D(163.5658,L20:N20,M2:O2)</f>
        <v>#NAME?</v>
      </c>
    </row>
    <row r="22" spans="1:15" x14ac:dyDescent="0.35">
      <c r="A22" t="s">
        <v>42</v>
      </c>
      <c r="C22" t="e">
        <f ca="1">(C19-C20/1000*B20)*B20</f>
        <v>#NAME?</v>
      </c>
      <c r="I22" t="s">
        <v>29</v>
      </c>
      <c r="J22" s="1">
        <v>53.375</v>
      </c>
      <c r="K22" t="e" cm="1">
        <f t="array" aca="1" ref="K22" ca="1">[1]!Interp1D(J22,L2:O2,K18:N18)</f>
        <v>#NAME?</v>
      </c>
      <c r="N22" t="s">
        <v>36</v>
      </c>
      <c r="O22">
        <f>J22*S2</f>
        <v>1494.5</v>
      </c>
    </row>
    <row r="23" spans="1:15" x14ac:dyDescent="0.35">
      <c r="I23" t="s">
        <v>30</v>
      </c>
      <c r="K23" t="e">
        <f ca="1">K19-K22*J22</f>
        <v>#NAME?</v>
      </c>
      <c r="L23" t="e">
        <f ca="1">K23*R2</f>
        <v>#NAME?</v>
      </c>
    </row>
    <row r="24" spans="1:15" x14ac:dyDescent="0.35">
      <c r="A24" t="s">
        <v>42</v>
      </c>
      <c r="C24">
        <f>C25/(28*200*4)*1000</f>
        <v>370.03968253968253</v>
      </c>
      <c r="I24" t="s">
        <v>31</v>
      </c>
      <c r="K24" t="e">
        <f ca="1">K23*J22</f>
        <v>#NAME?</v>
      </c>
    </row>
    <row r="25" spans="1:15" x14ac:dyDescent="0.35">
      <c r="A25" t="s">
        <v>35</v>
      </c>
      <c r="C25">
        <f>2500*0.746/0.9*4</f>
        <v>8288.8888888888887</v>
      </c>
      <c r="D25">
        <v>618</v>
      </c>
    </row>
    <row r="26" spans="1:15" x14ac:dyDescent="0.35">
      <c r="I26" t="s">
        <v>34</v>
      </c>
      <c r="K26" t="e">
        <f ca="1">K24*R2*S2/1000</f>
        <v>#NAME?</v>
      </c>
    </row>
    <row r="27" spans="1:15" x14ac:dyDescent="0.35">
      <c r="I27" t="s">
        <v>35</v>
      </c>
      <c r="K27">
        <v>915.96</v>
      </c>
      <c r="L27">
        <v>623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04AC4-CA4C-471F-967E-B0AB1BB616AB}">
  <sheetPr codeName="Sheet5"/>
  <dimension ref="A1:E17"/>
  <sheetViews>
    <sheetView workbookViewId="0">
      <selection activeCell="D8" sqref="D8"/>
    </sheetView>
  </sheetViews>
  <sheetFormatPr defaultRowHeight="14.5" x14ac:dyDescent="0.35"/>
  <cols>
    <col min="1" max="1" width="15.1796875" customWidth="1"/>
    <col min="4" max="4" width="10" bestFit="1" customWidth="1"/>
    <col min="5" max="5" width="30.453125" customWidth="1"/>
  </cols>
  <sheetData>
    <row r="1" spans="1:5" ht="20.5" customHeight="1" x14ac:dyDescent="0.35">
      <c r="A1" s="6" t="s">
        <v>16</v>
      </c>
      <c r="B1" s="6" t="s">
        <v>14</v>
      </c>
      <c r="C1" s="6" t="s">
        <v>15</v>
      </c>
      <c r="D1" s="6" t="s">
        <v>17</v>
      </c>
      <c r="E1" s="6" t="s">
        <v>18</v>
      </c>
    </row>
    <row r="2" spans="1:5" ht="20.5" customHeight="1" x14ac:dyDescent="0.35">
      <c r="A2" s="7" t="str">
        <f>_xlfn.CONCAT("grp",TEXT(B2,"#"),"_to_mot",TEXT(C2,"#"))</f>
        <v>grp1_to_mot1</v>
      </c>
      <c r="B2" s="7">
        <v>1</v>
      </c>
      <c r="C2" s="7">
        <v>1</v>
      </c>
      <c r="D2" s="8">
        <f>1260/16/3.281</f>
        <v>24.001828710758915</v>
      </c>
      <c r="E2" s="7">
        <f>0.053*3.281</f>
        <v>0.17389299999999999</v>
      </c>
    </row>
    <row r="3" spans="1:5" ht="20.5" customHeight="1" x14ac:dyDescent="0.35">
      <c r="A3" s="7" t="str">
        <f t="shared" ref="A3:A17" si="0">_xlfn.CONCAT("grp",TEXT(B3,"#"),"_to_mot",TEXT(C3,"#"))</f>
        <v>grp1_to_mot2</v>
      </c>
      <c r="B3" s="7">
        <v>1</v>
      </c>
      <c r="C3" s="7">
        <v>2</v>
      </c>
      <c r="D3" s="8">
        <f t="shared" ref="D3:D17" si="1">1260/16/3.281</f>
        <v>24.001828710758915</v>
      </c>
      <c r="E3" s="7">
        <f t="shared" ref="E3:E17" si="2">0.053*3.281</f>
        <v>0.17389299999999999</v>
      </c>
    </row>
    <row r="4" spans="1:5" ht="20.5" customHeight="1" x14ac:dyDescent="0.35">
      <c r="A4" s="7" t="str">
        <f t="shared" si="0"/>
        <v>grp1_to_mot3</v>
      </c>
      <c r="B4" s="7">
        <v>1</v>
      </c>
      <c r="C4" s="7">
        <v>3</v>
      </c>
      <c r="D4" s="8">
        <f t="shared" si="1"/>
        <v>24.001828710758915</v>
      </c>
      <c r="E4" s="7">
        <f t="shared" si="2"/>
        <v>0.17389299999999999</v>
      </c>
    </row>
    <row r="5" spans="1:5" ht="20.5" customHeight="1" x14ac:dyDescent="0.35">
      <c r="A5" s="7" t="str">
        <f t="shared" si="0"/>
        <v>grp1_to_mot4</v>
      </c>
      <c r="B5" s="7">
        <v>1</v>
      </c>
      <c r="C5" s="7">
        <v>4</v>
      </c>
      <c r="D5" s="8">
        <f t="shared" si="1"/>
        <v>24.001828710758915</v>
      </c>
      <c r="E5" s="7">
        <f t="shared" si="2"/>
        <v>0.17389299999999999</v>
      </c>
    </row>
    <row r="6" spans="1:5" ht="20.5" customHeight="1" x14ac:dyDescent="0.35">
      <c r="A6" s="7" t="str">
        <f t="shared" si="0"/>
        <v>grp2_to_mot1</v>
      </c>
      <c r="B6" s="7">
        <v>2</v>
      </c>
      <c r="C6" s="7">
        <v>1</v>
      </c>
      <c r="D6" s="8">
        <f t="shared" si="1"/>
        <v>24.001828710758915</v>
      </c>
      <c r="E6" s="7">
        <f t="shared" si="2"/>
        <v>0.17389299999999999</v>
      </c>
    </row>
    <row r="7" spans="1:5" ht="20.5" customHeight="1" x14ac:dyDescent="0.35">
      <c r="A7" s="7" t="str">
        <f t="shared" si="0"/>
        <v>grp2_to_mot2</v>
      </c>
      <c r="B7" s="7">
        <v>2</v>
      </c>
      <c r="C7" s="7">
        <v>2</v>
      </c>
      <c r="D7" s="8">
        <f t="shared" si="1"/>
        <v>24.001828710758915</v>
      </c>
      <c r="E7" s="7">
        <f t="shared" si="2"/>
        <v>0.17389299999999999</v>
      </c>
    </row>
    <row r="8" spans="1:5" ht="20.5" customHeight="1" x14ac:dyDescent="0.35">
      <c r="A8" s="7" t="str">
        <f t="shared" si="0"/>
        <v>grp2_to_mot3</v>
      </c>
      <c r="B8" s="7">
        <v>2</v>
      </c>
      <c r="C8" s="7">
        <v>3</v>
      </c>
      <c r="D8" s="8">
        <f t="shared" si="1"/>
        <v>24.001828710758915</v>
      </c>
      <c r="E8" s="7">
        <f t="shared" si="2"/>
        <v>0.17389299999999999</v>
      </c>
    </row>
    <row r="9" spans="1:5" ht="20.5" customHeight="1" x14ac:dyDescent="0.35">
      <c r="A9" s="7" t="str">
        <f t="shared" si="0"/>
        <v>grp2_to_mot4</v>
      </c>
      <c r="B9" s="7">
        <v>2</v>
      </c>
      <c r="C9" s="7">
        <v>4</v>
      </c>
      <c r="D9" s="8">
        <f t="shared" si="1"/>
        <v>24.001828710758915</v>
      </c>
      <c r="E9" s="7">
        <f t="shared" si="2"/>
        <v>0.17389299999999999</v>
      </c>
    </row>
    <row r="10" spans="1:5" ht="20.5" customHeight="1" x14ac:dyDescent="0.35">
      <c r="A10" s="7" t="str">
        <f t="shared" si="0"/>
        <v>grp3_to_mot1</v>
      </c>
      <c r="B10" s="7">
        <v>3</v>
      </c>
      <c r="C10" s="7">
        <v>1</v>
      </c>
      <c r="D10" s="8">
        <f t="shared" si="1"/>
        <v>24.001828710758915</v>
      </c>
      <c r="E10" s="7">
        <f t="shared" si="2"/>
        <v>0.17389299999999999</v>
      </c>
    </row>
    <row r="11" spans="1:5" ht="20.5" customHeight="1" x14ac:dyDescent="0.35">
      <c r="A11" s="7" t="str">
        <f t="shared" si="0"/>
        <v>grp3_to_mot2</v>
      </c>
      <c r="B11" s="7">
        <v>3</v>
      </c>
      <c r="C11" s="7">
        <v>2</v>
      </c>
      <c r="D11" s="8">
        <f t="shared" si="1"/>
        <v>24.001828710758915</v>
      </c>
      <c r="E11" s="7">
        <f t="shared" si="2"/>
        <v>0.17389299999999999</v>
      </c>
    </row>
    <row r="12" spans="1:5" ht="20.5" customHeight="1" x14ac:dyDescent="0.35">
      <c r="A12" s="7" t="str">
        <f t="shared" si="0"/>
        <v>grp3_to_mot3</v>
      </c>
      <c r="B12" s="7">
        <v>3</v>
      </c>
      <c r="C12" s="7">
        <v>3</v>
      </c>
      <c r="D12" s="8">
        <f t="shared" si="1"/>
        <v>24.001828710758915</v>
      </c>
      <c r="E12" s="7">
        <f t="shared" si="2"/>
        <v>0.17389299999999999</v>
      </c>
    </row>
    <row r="13" spans="1:5" ht="20.5" customHeight="1" x14ac:dyDescent="0.35">
      <c r="A13" s="7" t="str">
        <f t="shared" si="0"/>
        <v>grp3_to_mot4</v>
      </c>
      <c r="B13" s="7">
        <v>3</v>
      </c>
      <c r="C13" s="7">
        <v>4</v>
      </c>
      <c r="D13" s="8">
        <f t="shared" si="1"/>
        <v>24.001828710758915</v>
      </c>
      <c r="E13" s="7">
        <f t="shared" si="2"/>
        <v>0.17389299999999999</v>
      </c>
    </row>
    <row r="14" spans="1:5" ht="20.5" customHeight="1" x14ac:dyDescent="0.35">
      <c r="A14" s="7" t="str">
        <f t="shared" si="0"/>
        <v>grp4_to_mot1</v>
      </c>
      <c r="B14" s="7">
        <v>4</v>
      </c>
      <c r="C14" s="7">
        <v>1</v>
      </c>
      <c r="D14" s="8">
        <f t="shared" si="1"/>
        <v>24.001828710758915</v>
      </c>
      <c r="E14" s="7">
        <f t="shared" si="2"/>
        <v>0.17389299999999999</v>
      </c>
    </row>
    <row r="15" spans="1:5" ht="20.5" customHeight="1" x14ac:dyDescent="0.35">
      <c r="A15" s="7" t="str">
        <f t="shared" si="0"/>
        <v>grp4_to_mot2</v>
      </c>
      <c r="B15" s="7">
        <v>4</v>
      </c>
      <c r="C15" s="7">
        <v>2</v>
      </c>
      <c r="D15" s="8">
        <f t="shared" si="1"/>
        <v>24.001828710758915</v>
      </c>
      <c r="E15" s="7">
        <f t="shared" si="2"/>
        <v>0.17389299999999999</v>
      </c>
    </row>
    <row r="16" spans="1:5" ht="20.5" customHeight="1" x14ac:dyDescent="0.35">
      <c r="A16" s="7" t="str">
        <f t="shared" si="0"/>
        <v>grp4_to_mot3</v>
      </c>
      <c r="B16" s="7">
        <v>4</v>
      </c>
      <c r="C16" s="7">
        <v>3</v>
      </c>
      <c r="D16" s="8">
        <f t="shared" si="1"/>
        <v>24.001828710758915</v>
      </c>
      <c r="E16" s="7">
        <f t="shared" si="2"/>
        <v>0.17389299999999999</v>
      </c>
    </row>
    <row r="17" spans="1:5" ht="20.5" customHeight="1" x14ac:dyDescent="0.35">
      <c r="A17" s="7" t="str">
        <f t="shared" si="0"/>
        <v>grp4_to_mot4</v>
      </c>
      <c r="B17" s="7">
        <v>4</v>
      </c>
      <c r="C17" s="7">
        <v>4</v>
      </c>
      <c r="D17" s="8">
        <f t="shared" si="1"/>
        <v>24.001828710758915</v>
      </c>
      <c r="E17" s="7">
        <f t="shared" si="2"/>
        <v>0.17389299999999999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battery_config</vt:lpstr>
      <vt:lpstr>Sheet1</vt:lpstr>
      <vt:lpstr>EOL_cell_fct_CRate</vt:lpstr>
      <vt:lpstr>BOL_cell_fct_CRate</vt:lpstr>
      <vt:lpstr>EOL_quickChk</vt:lpstr>
      <vt:lpstr>LBV_model</vt:lpstr>
      <vt:lpstr>Debug</vt:lpstr>
      <vt:lpstr>cables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 St. Michel</dc:creator>
  <cp:lastModifiedBy>Alexander Amos</cp:lastModifiedBy>
  <dcterms:created xsi:type="dcterms:W3CDTF">2024-09-16T17:15:46Z</dcterms:created>
  <dcterms:modified xsi:type="dcterms:W3CDTF">2025-07-28T21:36:23Z</dcterms:modified>
</cp:coreProperties>
</file>