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87" documentId="13_ncr:1_{8D0638C4-E789-43A9-907A-D9843DEFF9AE}" xr6:coauthVersionLast="47" xr6:coauthVersionMax="47" xr10:uidLastSave="{3DD80736-9F42-4218-B231-6BD699C92270}"/>
  <bookViews>
    <workbookView xWindow="-120" yWindow="-120" windowWidth="29040" windowHeight="17520" activeTab="1" xr2:uid="{00000000-000D-0000-FFFF-FFFF00000000}"/>
  </bookViews>
  <sheets>
    <sheet name="INFO" sheetId="2" r:id="rId1"/>
    <sheet name="data" sheetId="1" r:id="rId2"/>
    <sheet name="RPM_schedule" sheetId="3" r:id="rId3"/>
  </sheets>
  <definedNames>
    <definedName name="_xlnm._FilterDatabase" localSheetId="1" hidden="1">data!$A$1:$O$3529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8" i="1" l="1"/>
  <c r="N670" i="1"/>
  <c r="N980" i="1"/>
  <c r="N1242" i="1"/>
  <c r="N1526" i="1"/>
  <c r="N1873" i="1"/>
  <c r="N2097" i="1"/>
  <c r="N2304" i="1"/>
  <c r="N2503" i="1"/>
  <c r="N2672" i="1"/>
  <c r="N2812" i="1"/>
  <c r="N128" i="1"/>
  <c r="N253" i="1"/>
  <c r="N671" i="1"/>
  <c r="N981" i="1"/>
  <c r="N1247" i="1"/>
  <c r="N1522" i="1"/>
  <c r="N1876" i="1"/>
  <c r="N2098" i="1"/>
  <c r="N2292" i="1"/>
  <c r="N2504" i="1"/>
  <c r="N2673" i="1"/>
  <c r="N2811" i="1"/>
  <c r="N129" i="1"/>
  <c r="N254" i="1"/>
  <c r="N680" i="1"/>
  <c r="N982" i="1"/>
  <c r="N1255" i="1"/>
  <c r="N1527" i="1"/>
  <c r="N1872" i="1"/>
  <c r="N2109" i="1"/>
  <c r="N2293" i="1"/>
  <c r="N2502" i="1"/>
  <c r="N2674" i="1"/>
  <c r="N2813" i="1"/>
  <c r="N130" i="1"/>
  <c r="N269" i="1"/>
  <c r="N681" i="1"/>
  <c r="N983" i="1"/>
  <c r="N1248" i="1"/>
  <c r="N1535" i="1"/>
  <c r="N1877" i="1"/>
  <c r="N2099" i="1"/>
  <c r="N2294" i="1"/>
  <c r="N2505" i="1"/>
  <c r="N2670" i="1"/>
  <c r="N2814" i="1"/>
  <c r="N131" i="1"/>
  <c r="N255" i="1"/>
  <c r="N672" i="1"/>
  <c r="N984" i="1"/>
  <c r="N1249" i="1"/>
  <c r="N1528" i="1"/>
  <c r="N1874" i="1"/>
  <c r="N2100" i="1"/>
  <c r="N2305" i="1"/>
  <c r="N2515" i="1"/>
  <c r="N2675" i="1"/>
  <c r="N2815" i="1"/>
  <c r="N132" i="1"/>
  <c r="N256" i="1"/>
  <c r="N673" i="1"/>
  <c r="N989" i="1"/>
  <c r="N1250" i="1"/>
  <c r="N1529" i="1"/>
  <c r="N1875" i="1"/>
  <c r="N2096" i="1"/>
  <c r="N2295" i="1"/>
  <c r="N2514" i="1"/>
  <c r="N2671" i="1"/>
  <c r="N2816" i="1"/>
  <c r="N133" i="1"/>
  <c r="N257" i="1"/>
  <c r="N674" i="1"/>
  <c r="N985" i="1"/>
  <c r="N1251" i="1"/>
  <c r="N1523" i="1"/>
  <c r="N1878" i="1"/>
  <c r="N2101" i="1"/>
  <c r="N2296" i="1"/>
  <c r="N2506" i="1"/>
  <c r="N2676" i="1"/>
  <c r="N2817" i="1"/>
  <c r="N134" i="1"/>
  <c r="N258" i="1"/>
  <c r="N675" i="1"/>
  <c r="N986" i="1"/>
  <c r="N1252" i="1"/>
  <c r="N1524" i="1"/>
  <c r="N1879" i="1"/>
  <c r="N2102" i="1"/>
  <c r="N2297" i="1"/>
  <c r="N2507" i="1"/>
  <c r="N2677" i="1"/>
  <c r="N2823" i="1"/>
  <c r="N135" i="1"/>
  <c r="N259" i="1"/>
  <c r="N676" i="1"/>
  <c r="N987" i="1"/>
  <c r="N1243" i="1"/>
  <c r="N1530" i="1"/>
  <c r="N1880" i="1"/>
  <c r="N2103" i="1"/>
  <c r="N2298" i="1"/>
  <c r="N2508" i="1"/>
  <c r="N2678" i="1"/>
  <c r="N2810" i="1"/>
  <c r="N136" i="1"/>
  <c r="N260" i="1"/>
  <c r="N677" i="1"/>
  <c r="N976" i="1"/>
  <c r="N1253" i="1"/>
  <c r="N1531" i="1"/>
  <c r="N1881" i="1"/>
  <c r="N2104" i="1"/>
  <c r="N2299" i="1"/>
  <c r="N2509" i="1"/>
  <c r="N2679" i="1"/>
  <c r="N2818" i="1"/>
  <c r="N124" i="1"/>
  <c r="N261" i="1"/>
  <c r="N668" i="1"/>
  <c r="N977" i="1"/>
  <c r="N1244" i="1"/>
  <c r="N1532" i="1"/>
  <c r="N1882" i="1"/>
  <c r="N2105" i="1"/>
  <c r="N2300" i="1"/>
  <c r="N2510" i="1"/>
  <c r="N2680" i="1"/>
  <c r="N2819" i="1"/>
  <c r="N125" i="1"/>
  <c r="N262" i="1"/>
  <c r="N678" i="1"/>
  <c r="N978" i="1"/>
  <c r="N1245" i="1"/>
  <c r="N1525" i="1"/>
  <c r="N1883" i="1"/>
  <c r="N2106" i="1"/>
  <c r="N2301" i="1"/>
  <c r="N2511" i="1"/>
  <c r="N2681" i="1"/>
  <c r="N2820" i="1"/>
  <c r="N126" i="1"/>
  <c r="N263" i="1"/>
  <c r="N669" i="1"/>
  <c r="N979" i="1"/>
  <c r="N1246" i="1"/>
  <c r="N1533" i="1"/>
  <c r="N1884" i="1"/>
  <c r="N2107" i="1"/>
  <c r="N2302" i="1"/>
  <c r="N2512" i="1"/>
  <c r="N2682" i="1"/>
  <c r="N2821" i="1"/>
  <c r="N137" i="1"/>
  <c r="N252" i="1"/>
  <c r="N679" i="1"/>
  <c r="N988" i="1"/>
  <c r="N1254" i="1"/>
  <c r="N1534" i="1"/>
  <c r="N1885" i="1"/>
  <c r="N2108" i="1"/>
  <c r="N2303" i="1"/>
  <c r="N2513" i="1"/>
  <c r="N2683" i="1"/>
  <c r="N2822" i="1"/>
  <c r="N203" i="1"/>
  <c r="N369" i="1"/>
  <c r="N781" i="1"/>
  <c r="N1121" i="1"/>
  <c r="N1438" i="1"/>
  <c r="N1761" i="1"/>
  <c r="N2084" i="1"/>
  <c r="N2388" i="1"/>
  <c r="N2545" i="1"/>
  <c r="N2744" i="1"/>
  <c r="N2923" i="1"/>
  <c r="N3451" i="1"/>
  <c r="N204" i="1"/>
  <c r="N370" i="1"/>
  <c r="N782" i="1"/>
  <c r="N1122" i="1"/>
  <c r="N1445" i="1"/>
  <c r="N1762" i="1"/>
  <c r="N2085" i="1"/>
  <c r="N2365" i="1"/>
  <c r="N2546" i="1"/>
  <c r="N2745" i="1"/>
  <c r="N2924" i="1"/>
  <c r="N3023" i="1"/>
  <c r="N205" i="1"/>
  <c r="N371" i="1"/>
  <c r="N790" i="1"/>
  <c r="N1123" i="1"/>
  <c r="N1439" i="1"/>
  <c r="N1764" i="1"/>
  <c r="N2086" i="1"/>
  <c r="N2366" i="1"/>
  <c r="N2547" i="1"/>
  <c r="N2746" i="1"/>
  <c r="N2925" i="1"/>
  <c r="N3029" i="1"/>
  <c r="N221" i="1"/>
  <c r="N359" i="1"/>
  <c r="N791" i="1"/>
  <c r="N1129" i="1"/>
  <c r="N1446" i="1"/>
  <c r="N1765" i="1"/>
  <c r="N2082" i="1"/>
  <c r="N2367" i="1"/>
  <c r="N2552" i="1"/>
  <c r="N2741" i="1"/>
  <c r="N2926" i="1"/>
  <c r="N3021" i="1"/>
  <c r="N206" i="1"/>
  <c r="N360" i="1"/>
  <c r="N783" i="1"/>
  <c r="N1124" i="1"/>
  <c r="N1451" i="1"/>
  <c r="N1760" i="1"/>
  <c r="N2095" i="1"/>
  <c r="N2387" i="1"/>
  <c r="N2557" i="1"/>
  <c r="N2742" i="1"/>
  <c r="N2927" i="1"/>
  <c r="N3022" i="1"/>
  <c r="N207" i="1"/>
  <c r="N372" i="1"/>
  <c r="N784" i="1"/>
  <c r="N1125" i="1"/>
  <c r="N1447" i="1"/>
  <c r="N1763" i="1"/>
  <c r="N2087" i="1"/>
  <c r="N2362" i="1"/>
  <c r="N2553" i="1"/>
  <c r="N2743" i="1"/>
  <c r="N2928" i="1"/>
  <c r="N3030" i="1"/>
  <c r="N208" i="1"/>
  <c r="N361" i="1"/>
  <c r="N792" i="1"/>
  <c r="N1126" i="1"/>
  <c r="N1448" i="1"/>
  <c r="N1766" i="1"/>
  <c r="N2088" i="1"/>
  <c r="N2368" i="1"/>
  <c r="N2554" i="1"/>
  <c r="N2747" i="1"/>
  <c r="N2929" i="1"/>
  <c r="N3020" i="1"/>
  <c r="N209" i="1"/>
  <c r="N362" i="1"/>
  <c r="N785" i="1"/>
  <c r="N1127" i="1"/>
  <c r="N1440" i="1"/>
  <c r="N1767" i="1"/>
  <c r="N2089" i="1"/>
  <c r="N2369" i="1"/>
  <c r="N2548" i="1"/>
  <c r="N2748" i="1"/>
  <c r="N2935" i="1"/>
  <c r="N3024" i="1"/>
  <c r="N210" i="1"/>
  <c r="N363" i="1"/>
  <c r="N793" i="1"/>
  <c r="N1116" i="1"/>
  <c r="N1441" i="1"/>
  <c r="N1768" i="1"/>
  <c r="N2090" i="1"/>
  <c r="N2370" i="1"/>
  <c r="N2549" i="1"/>
  <c r="N2749" i="1"/>
  <c r="N2922" i="1"/>
  <c r="N3031" i="1"/>
  <c r="N211" i="1"/>
  <c r="N364" i="1"/>
  <c r="N786" i="1"/>
  <c r="N1117" i="1"/>
  <c r="N1442" i="1"/>
  <c r="N1769" i="1"/>
  <c r="N2091" i="1"/>
  <c r="N2371" i="1"/>
  <c r="N2550" i="1"/>
  <c r="N2750" i="1"/>
  <c r="N2930" i="1"/>
  <c r="N3019" i="1"/>
  <c r="N212" i="1"/>
  <c r="N365" i="1"/>
  <c r="N787" i="1"/>
  <c r="N1118" i="1"/>
  <c r="N1443" i="1"/>
  <c r="N1770" i="1"/>
  <c r="N2092" i="1"/>
  <c r="N2372" i="1"/>
  <c r="N2551" i="1"/>
  <c r="N2751" i="1"/>
  <c r="N2931" i="1"/>
  <c r="N3025" i="1"/>
  <c r="N202" i="1"/>
  <c r="N366" i="1"/>
  <c r="N780" i="1"/>
  <c r="N1119" i="1"/>
  <c r="N1444" i="1"/>
  <c r="N1771" i="1"/>
  <c r="N2093" i="1"/>
  <c r="N2373" i="1"/>
  <c r="N2555" i="1"/>
  <c r="N2752" i="1"/>
  <c r="N2932" i="1"/>
  <c r="N3026" i="1"/>
  <c r="N213" i="1"/>
  <c r="N367" i="1"/>
  <c r="N788" i="1"/>
  <c r="N1120" i="1"/>
  <c r="N1449" i="1"/>
  <c r="N1772" i="1"/>
  <c r="N2094" i="1"/>
  <c r="N2374" i="1"/>
  <c r="N2556" i="1"/>
  <c r="N2753" i="1"/>
  <c r="N2933" i="1"/>
  <c r="N3027" i="1"/>
  <c r="N214" i="1"/>
  <c r="N368" i="1"/>
  <c r="N789" i="1"/>
  <c r="N1128" i="1"/>
  <c r="N1450" i="1"/>
  <c r="N1775" i="1"/>
  <c r="N2081" i="1"/>
  <c r="N2364" i="1"/>
  <c r="N2544" i="1"/>
  <c r="N2740" i="1"/>
  <c r="N2934" i="1"/>
  <c r="N3028" i="1"/>
  <c r="N326" i="1"/>
  <c r="N453" i="1"/>
  <c r="N909" i="1"/>
  <c r="N1284" i="1"/>
  <c r="N1676" i="1"/>
  <c r="N2025" i="1"/>
  <c r="N2389" i="1"/>
  <c r="N2600" i="1"/>
  <c r="N2796" i="1"/>
  <c r="N2989" i="1"/>
  <c r="N3452" i="1"/>
  <c r="N3453" i="1"/>
  <c r="N327" i="1"/>
  <c r="N454" i="1"/>
  <c r="N910" i="1"/>
  <c r="N1289" i="1"/>
  <c r="N1677" i="1"/>
  <c r="N2016" i="1"/>
  <c r="N2375" i="1"/>
  <c r="N2602" i="1"/>
  <c r="N2798" i="1"/>
  <c r="N2990" i="1"/>
  <c r="N3454" i="1"/>
  <c r="N3185" i="1"/>
  <c r="N328" i="1"/>
  <c r="N455" i="1"/>
  <c r="N911" i="1"/>
  <c r="N1290" i="1"/>
  <c r="N1684" i="1"/>
  <c r="N2017" i="1"/>
  <c r="N2377" i="1"/>
  <c r="N2601" i="1"/>
  <c r="N2799" i="1"/>
  <c r="N2979" i="1"/>
  <c r="N3133" i="1"/>
  <c r="N3455" i="1"/>
  <c r="N317" i="1"/>
  <c r="N456" i="1"/>
  <c r="N912" i="1"/>
  <c r="N1291" i="1"/>
  <c r="N1678" i="1"/>
  <c r="N2018" i="1"/>
  <c r="N2376" i="1"/>
  <c r="N2603" i="1"/>
  <c r="N2797" i="1"/>
  <c r="N2980" i="1"/>
  <c r="N3129" i="1"/>
  <c r="N3188" i="1"/>
  <c r="N318" i="1"/>
  <c r="N470" i="1"/>
  <c r="N913" i="1"/>
  <c r="N1292" i="1"/>
  <c r="N1685" i="1"/>
  <c r="N2019" i="1"/>
  <c r="N2378" i="1"/>
  <c r="N2613" i="1"/>
  <c r="N2801" i="1"/>
  <c r="N2981" i="1"/>
  <c r="N3131" i="1"/>
  <c r="N3183" i="1"/>
  <c r="N319" i="1"/>
  <c r="N457" i="1"/>
  <c r="N914" i="1"/>
  <c r="N1293" i="1"/>
  <c r="N1679" i="1"/>
  <c r="N2012" i="1"/>
  <c r="N2379" i="1"/>
  <c r="N2612" i="1"/>
  <c r="N2802" i="1"/>
  <c r="N2982" i="1"/>
  <c r="N3138" i="1"/>
  <c r="N3189" i="1"/>
  <c r="N320" i="1"/>
  <c r="N458" i="1"/>
  <c r="N906" i="1"/>
  <c r="N1294" i="1"/>
  <c r="N1686" i="1"/>
  <c r="N2013" i="1"/>
  <c r="N2380" i="1"/>
  <c r="N2604" i="1"/>
  <c r="N2800" i="1"/>
  <c r="N2988" i="1"/>
  <c r="N3130" i="1"/>
  <c r="N3182" i="1"/>
  <c r="N329" i="1"/>
  <c r="N459" i="1"/>
  <c r="N915" i="1"/>
  <c r="N1297" i="1"/>
  <c r="N1687" i="1"/>
  <c r="N2014" i="1"/>
  <c r="N2381" i="1"/>
  <c r="N2605" i="1"/>
  <c r="N2803" i="1"/>
  <c r="N2991" i="1"/>
  <c r="N3137" i="1"/>
  <c r="N3181" i="1"/>
  <c r="N321" i="1"/>
  <c r="N460" i="1"/>
  <c r="N916" i="1"/>
  <c r="N1285" i="1"/>
  <c r="N1680" i="1"/>
  <c r="N2020" i="1"/>
  <c r="N2382" i="1"/>
  <c r="N2606" i="1"/>
  <c r="N2804" i="1"/>
  <c r="N2978" i="1"/>
  <c r="N3132" i="1"/>
  <c r="N3190" i="1"/>
  <c r="N316" i="1"/>
  <c r="N461" i="1"/>
  <c r="N907" i="1"/>
  <c r="N1286" i="1"/>
  <c r="N1681" i="1"/>
  <c r="N2021" i="1"/>
  <c r="N2383" i="1"/>
  <c r="N2607" i="1"/>
  <c r="N2805" i="1"/>
  <c r="N2983" i="1"/>
  <c r="N3127" i="1"/>
  <c r="N3184" i="1"/>
  <c r="N322" i="1"/>
  <c r="N462" i="1"/>
  <c r="N908" i="1"/>
  <c r="N1287" i="1"/>
  <c r="N1682" i="1"/>
  <c r="N2022" i="1"/>
  <c r="N2384" i="1"/>
  <c r="N2608" i="1"/>
  <c r="N2806" i="1"/>
  <c r="N2984" i="1"/>
  <c r="N3134" i="1"/>
  <c r="N3179" i="1"/>
  <c r="N323" i="1"/>
  <c r="N443" i="1"/>
  <c r="N917" i="1"/>
  <c r="N1295" i="1"/>
  <c r="N1688" i="1"/>
  <c r="N2023" i="1"/>
  <c r="N2385" i="1"/>
  <c r="N2609" i="1"/>
  <c r="N2807" i="1"/>
  <c r="N2985" i="1"/>
  <c r="N3135" i="1"/>
  <c r="N3186" i="1"/>
  <c r="N324" i="1"/>
  <c r="N471" i="1"/>
  <c r="N918" i="1"/>
  <c r="N1296" i="1"/>
  <c r="N1689" i="1"/>
  <c r="N2015" i="1"/>
  <c r="N2363" i="1"/>
  <c r="N2610" i="1"/>
  <c r="N2808" i="1"/>
  <c r="N2986" i="1"/>
  <c r="N3136" i="1"/>
  <c r="N3187" i="1"/>
  <c r="N325" i="1"/>
  <c r="N463" i="1"/>
  <c r="N919" i="1"/>
  <c r="N1288" i="1"/>
  <c r="N1683" i="1"/>
  <c r="N2024" i="1"/>
  <c r="N2386" i="1"/>
  <c r="N2611" i="1"/>
  <c r="N2809" i="1"/>
  <c r="N2987" i="1"/>
  <c r="N3128" i="1"/>
  <c r="N3180" i="1"/>
  <c r="N431" i="1"/>
  <c r="N544" i="1"/>
  <c r="N1056" i="1"/>
  <c r="N1470" i="1"/>
  <c r="N1946" i="1"/>
  <c r="N2275" i="1"/>
  <c r="N2629" i="1"/>
  <c r="N2865" i="1"/>
  <c r="N3456" i="1"/>
  <c r="N3457" i="1"/>
  <c r="N3458" i="1"/>
  <c r="N3459" i="1"/>
  <c r="N432" i="1"/>
  <c r="N545" i="1"/>
  <c r="N1057" i="1"/>
  <c r="N1476" i="1"/>
  <c r="N1947" i="1"/>
  <c r="N2265" i="1"/>
  <c r="N2630" i="1"/>
  <c r="N2855" i="1"/>
  <c r="N3007" i="1"/>
  <c r="N3460" i="1"/>
  <c r="N3461" i="1"/>
  <c r="N3313" i="1"/>
  <c r="N433" i="1"/>
  <c r="N546" i="1"/>
  <c r="N1049" i="1"/>
  <c r="N1477" i="1"/>
  <c r="N1944" i="1"/>
  <c r="N2276" i="1"/>
  <c r="N2628" i="1"/>
  <c r="N2857" i="1"/>
  <c r="N3005" i="1"/>
  <c r="N3161" i="1"/>
  <c r="N3462" i="1"/>
  <c r="N3463" i="1"/>
  <c r="N434" i="1"/>
  <c r="N547" i="1"/>
  <c r="N1050" i="1"/>
  <c r="N1478" i="1"/>
  <c r="N1948" i="1"/>
  <c r="N2266" i="1"/>
  <c r="N2631" i="1"/>
  <c r="N2853" i="1"/>
  <c r="N3018" i="1"/>
  <c r="N3154" i="1"/>
  <c r="N3263" i="1"/>
  <c r="N3464" i="1"/>
  <c r="N435" i="1"/>
  <c r="N555" i="1"/>
  <c r="N1058" i="1"/>
  <c r="N1466" i="1"/>
  <c r="N1945" i="1"/>
  <c r="N2277" i="1"/>
  <c r="N2641" i="1"/>
  <c r="N2852" i="1"/>
  <c r="N3010" i="1"/>
  <c r="N3156" i="1"/>
  <c r="N3258" i="1"/>
  <c r="N3307" i="1"/>
  <c r="N436" i="1"/>
  <c r="N548" i="1"/>
  <c r="N1046" i="1"/>
  <c r="N1467" i="1"/>
  <c r="N1949" i="1"/>
  <c r="N2267" i="1"/>
  <c r="N2632" i="1"/>
  <c r="N2864" i="1"/>
  <c r="N3004" i="1"/>
  <c r="N3163" i="1"/>
  <c r="N3264" i="1"/>
  <c r="N3304" i="1"/>
  <c r="N437" i="1"/>
  <c r="N549" i="1"/>
  <c r="N1059" i="1"/>
  <c r="N1468" i="1"/>
  <c r="N1950" i="1"/>
  <c r="N2268" i="1"/>
  <c r="N2633" i="1"/>
  <c r="N2854" i="1"/>
  <c r="N3017" i="1"/>
  <c r="N3157" i="1"/>
  <c r="N3259" i="1"/>
  <c r="N3314" i="1"/>
  <c r="N438" i="1"/>
  <c r="N550" i="1"/>
  <c r="N1051" i="1"/>
  <c r="N1471" i="1"/>
  <c r="N1951" i="1"/>
  <c r="N2269" i="1"/>
  <c r="N2634" i="1"/>
  <c r="N2858" i="1"/>
  <c r="N3008" i="1"/>
  <c r="N3164" i="1"/>
  <c r="N3257" i="1"/>
  <c r="N3305" i="1"/>
  <c r="N429" i="1"/>
  <c r="N542" i="1"/>
  <c r="N1052" i="1"/>
  <c r="N1472" i="1"/>
  <c r="N1952" i="1"/>
  <c r="N2270" i="1"/>
  <c r="N2635" i="1"/>
  <c r="N2859" i="1"/>
  <c r="N3012" i="1"/>
  <c r="N3155" i="1"/>
  <c r="N3265" i="1"/>
  <c r="N3308" i="1"/>
  <c r="N439" i="1"/>
  <c r="N551" i="1"/>
  <c r="N1047" i="1"/>
  <c r="N1473" i="1"/>
  <c r="N1953" i="1"/>
  <c r="N2271" i="1"/>
  <c r="N2636" i="1"/>
  <c r="N2860" i="1"/>
  <c r="N3013" i="1"/>
  <c r="N3158" i="1"/>
  <c r="N3256" i="1"/>
  <c r="N3306" i="1"/>
  <c r="N430" i="1"/>
  <c r="N543" i="1"/>
  <c r="N1053" i="1"/>
  <c r="N1474" i="1"/>
  <c r="N1954" i="1"/>
  <c r="N2272" i="1"/>
  <c r="N2637" i="1"/>
  <c r="N2861" i="1"/>
  <c r="N3014" i="1"/>
  <c r="N3159" i="1"/>
  <c r="N3260" i="1"/>
  <c r="N3312" i="1"/>
  <c r="N440" i="1"/>
  <c r="N552" i="1"/>
  <c r="N1048" i="1"/>
  <c r="N1469" i="1"/>
  <c r="N1942" i="1"/>
  <c r="N2273" i="1"/>
  <c r="N2638" i="1"/>
  <c r="N2862" i="1"/>
  <c r="N3015" i="1"/>
  <c r="N3160" i="1"/>
  <c r="N3261" i="1"/>
  <c r="N3309" i="1"/>
  <c r="N441" i="1"/>
  <c r="N553" i="1"/>
  <c r="N1054" i="1"/>
  <c r="N1475" i="1"/>
  <c r="N1955" i="1"/>
  <c r="N2274" i="1"/>
  <c r="N2639" i="1"/>
  <c r="N2863" i="1"/>
  <c r="N3009" i="1"/>
  <c r="N3153" i="1"/>
  <c r="N3262" i="1"/>
  <c r="N3310" i="1"/>
  <c r="N442" i="1"/>
  <c r="N554" i="1"/>
  <c r="N1055" i="1"/>
  <c r="N1479" i="1"/>
  <c r="N1943" i="1"/>
  <c r="N2264" i="1"/>
  <c r="N2640" i="1"/>
  <c r="N2856" i="1"/>
  <c r="N3016" i="1"/>
  <c r="N3162" i="1"/>
  <c r="N3255" i="1"/>
  <c r="N3311" i="1"/>
  <c r="N531" i="1"/>
  <c r="N642" i="1"/>
  <c r="N1209" i="1"/>
  <c r="N1707" i="1"/>
  <c r="N2231" i="1"/>
  <c r="N2574" i="1"/>
  <c r="N2892" i="1"/>
  <c r="N3465" i="1"/>
  <c r="N3466" i="1"/>
  <c r="N3285" i="1"/>
  <c r="N3467" i="1"/>
  <c r="N3375" i="1"/>
  <c r="N532" i="1"/>
  <c r="N653" i="1"/>
  <c r="N1210" i="1"/>
  <c r="N1713" i="1"/>
  <c r="N2222" i="1"/>
  <c r="N2575" i="1"/>
  <c r="N2880" i="1"/>
  <c r="N3062" i="1"/>
  <c r="N3468" i="1"/>
  <c r="N3282" i="1"/>
  <c r="N3358" i="1"/>
  <c r="N3376" i="1"/>
  <c r="N533" i="1"/>
  <c r="N643" i="1"/>
  <c r="N1225" i="1"/>
  <c r="N1717" i="1"/>
  <c r="N2223" i="1"/>
  <c r="N2572" i="1"/>
  <c r="N2882" i="1"/>
  <c r="N3063" i="1"/>
  <c r="N3469" i="1"/>
  <c r="N3470" i="1"/>
  <c r="N3471" i="1"/>
  <c r="N3472" i="1"/>
  <c r="N534" i="1"/>
  <c r="N644" i="1"/>
  <c r="N1211" i="1"/>
  <c r="N1704" i="1"/>
  <c r="N2235" i="1"/>
  <c r="N2584" i="1"/>
  <c r="N2883" i="1"/>
  <c r="N3064" i="1"/>
  <c r="N3193" i="1"/>
  <c r="N3473" i="1"/>
  <c r="N3474" i="1"/>
  <c r="N3372" i="1"/>
  <c r="N535" i="1"/>
  <c r="N645" i="1"/>
  <c r="N1212" i="1"/>
  <c r="N1705" i="1"/>
  <c r="N2232" i="1"/>
  <c r="N2585" i="1"/>
  <c r="N2881" i="1"/>
  <c r="N3061" i="1"/>
  <c r="N3194" i="1"/>
  <c r="N3279" i="1"/>
  <c r="N3475" i="1"/>
  <c r="N3476" i="1"/>
  <c r="N536" i="1"/>
  <c r="N646" i="1"/>
  <c r="N1213" i="1"/>
  <c r="N1714" i="1"/>
  <c r="N2224" i="1"/>
  <c r="N2576" i="1"/>
  <c r="N2891" i="1"/>
  <c r="N3065" i="1"/>
  <c r="N3192" i="1"/>
  <c r="N3290" i="1"/>
  <c r="N3351" i="1"/>
  <c r="N3477" i="1"/>
  <c r="N537" i="1"/>
  <c r="N647" i="1"/>
  <c r="N1214" i="1"/>
  <c r="N1708" i="1"/>
  <c r="N2225" i="1"/>
  <c r="N2577" i="1"/>
  <c r="N2884" i="1"/>
  <c r="N3072" i="1"/>
  <c r="N3195" i="1"/>
  <c r="N3284" i="1"/>
  <c r="N3359" i="1"/>
  <c r="N3377" i="1"/>
  <c r="N538" i="1"/>
  <c r="N640" i="1"/>
  <c r="N1201" i="1"/>
  <c r="N1709" i="1"/>
  <c r="N2226" i="1"/>
  <c r="N2578" i="1"/>
  <c r="N2885" i="1"/>
  <c r="N3066" i="1"/>
  <c r="N3201" i="1"/>
  <c r="N3280" i="1"/>
  <c r="N3350" i="1"/>
  <c r="N3371" i="1"/>
  <c r="N539" i="1"/>
  <c r="N648" i="1"/>
  <c r="N1202" i="1"/>
  <c r="N1710" i="1"/>
  <c r="N2227" i="1"/>
  <c r="N2579" i="1"/>
  <c r="N2886" i="1"/>
  <c r="N3067" i="1"/>
  <c r="N3196" i="1"/>
  <c r="N3283" i="1"/>
  <c r="N3354" i="1"/>
  <c r="N3378" i="1"/>
  <c r="N528" i="1"/>
  <c r="N641" i="1"/>
  <c r="N1203" i="1"/>
  <c r="N1711" i="1"/>
  <c r="N2228" i="1"/>
  <c r="N2580" i="1"/>
  <c r="N2887" i="1"/>
  <c r="N3068" i="1"/>
  <c r="N3197" i="1"/>
  <c r="N3286" i="1"/>
  <c r="N3355" i="1"/>
  <c r="N3381" i="1"/>
  <c r="N529" i="1"/>
  <c r="N649" i="1"/>
  <c r="N1215" i="1"/>
  <c r="N1715" i="1"/>
  <c r="N2233" i="1"/>
  <c r="N2583" i="1"/>
  <c r="N2888" i="1"/>
  <c r="N3069" i="1"/>
  <c r="N3198" i="1"/>
  <c r="N3287" i="1"/>
  <c r="N3356" i="1"/>
  <c r="N3373" i="1"/>
  <c r="N540" i="1"/>
  <c r="N650" i="1"/>
  <c r="N1204" i="1"/>
  <c r="N1712" i="1"/>
  <c r="N2229" i="1"/>
  <c r="N2581" i="1"/>
  <c r="N2893" i="1"/>
  <c r="N3060" i="1"/>
  <c r="N3199" i="1"/>
  <c r="N3288" i="1"/>
  <c r="N3357" i="1"/>
  <c r="N3379" i="1"/>
  <c r="N530" i="1"/>
  <c r="N651" i="1"/>
  <c r="N1216" i="1"/>
  <c r="N1716" i="1"/>
  <c r="N2230" i="1"/>
  <c r="N2582" i="1"/>
  <c r="N2889" i="1"/>
  <c r="N3070" i="1"/>
  <c r="N3191" i="1"/>
  <c r="N3289" i="1"/>
  <c r="N3353" i="1"/>
  <c r="N3380" i="1"/>
  <c r="N541" i="1"/>
  <c r="N652" i="1"/>
  <c r="N1217" i="1"/>
  <c r="N1706" i="1"/>
  <c r="N2234" i="1"/>
  <c r="N2573" i="1"/>
  <c r="N2890" i="1"/>
  <c r="N3071" i="1"/>
  <c r="N3200" i="1"/>
  <c r="N3281" i="1"/>
  <c r="N3352" i="1"/>
  <c r="N3374" i="1"/>
  <c r="N625" i="1"/>
  <c r="N766" i="1"/>
  <c r="N1428" i="1"/>
  <c r="N1986" i="1"/>
  <c r="N2490" i="1"/>
  <c r="N2878" i="1"/>
  <c r="N3478" i="1"/>
  <c r="N3234" i="1"/>
  <c r="N3479" i="1"/>
  <c r="N3369" i="1"/>
  <c r="N3393" i="1"/>
  <c r="N3423" i="1"/>
  <c r="N612" i="1"/>
  <c r="N767" i="1"/>
  <c r="N1429" i="1"/>
  <c r="N1984" i="1"/>
  <c r="N2501" i="1"/>
  <c r="N2869" i="1"/>
  <c r="N3102" i="1"/>
  <c r="N3480" i="1"/>
  <c r="N3481" i="1"/>
  <c r="N3482" i="1"/>
  <c r="N3394" i="1"/>
  <c r="N3419" i="1"/>
  <c r="N613" i="1"/>
  <c r="N768" i="1"/>
  <c r="N1430" i="1"/>
  <c r="N1987" i="1"/>
  <c r="N2488" i="1"/>
  <c r="N2870" i="1"/>
  <c r="N3101" i="1"/>
  <c r="N3483" i="1"/>
  <c r="N3484" i="1"/>
  <c r="N3363" i="1"/>
  <c r="N3399" i="1"/>
  <c r="N3424" i="1"/>
  <c r="N614" i="1"/>
  <c r="N769" i="1"/>
  <c r="N1431" i="1"/>
  <c r="N1988" i="1"/>
  <c r="N2491" i="1"/>
  <c r="N2879" i="1"/>
  <c r="N3104" i="1"/>
  <c r="N3230" i="1"/>
  <c r="N3485" i="1"/>
  <c r="N3486" i="1"/>
  <c r="N3400" i="1"/>
  <c r="N3487" i="1"/>
  <c r="N615" i="1"/>
  <c r="N770" i="1"/>
  <c r="N1432" i="1"/>
  <c r="N1989" i="1"/>
  <c r="N2492" i="1"/>
  <c r="N2868" i="1"/>
  <c r="N3105" i="1"/>
  <c r="N3239" i="1"/>
  <c r="N3316" i="1"/>
  <c r="N3488" i="1"/>
  <c r="N3489" i="1"/>
  <c r="N3425" i="1"/>
  <c r="N616" i="1"/>
  <c r="N771" i="1"/>
  <c r="N1424" i="1"/>
  <c r="N1990" i="1"/>
  <c r="N2493" i="1"/>
  <c r="N2866" i="1"/>
  <c r="N3112" i="1"/>
  <c r="N3232" i="1"/>
  <c r="N3324" i="1"/>
  <c r="N3360" i="1"/>
  <c r="N3490" i="1"/>
  <c r="N3427" i="1"/>
  <c r="N617" i="1"/>
  <c r="N772" i="1"/>
  <c r="N1433" i="1"/>
  <c r="N1991" i="1"/>
  <c r="N2494" i="1"/>
  <c r="N2871" i="1"/>
  <c r="N3103" i="1"/>
  <c r="N3233" i="1"/>
  <c r="N3315" i="1"/>
  <c r="N3365" i="1"/>
  <c r="N3401" i="1"/>
  <c r="N3426" i="1"/>
  <c r="N618" i="1"/>
  <c r="N773" i="1"/>
  <c r="N1426" i="1"/>
  <c r="N1992" i="1"/>
  <c r="N2495" i="1"/>
  <c r="N2872" i="1"/>
  <c r="N3106" i="1"/>
  <c r="N3231" i="1"/>
  <c r="N3317" i="1"/>
  <c r="N3366" i="1"/>
  <c r="N3395" i="1"/>
  <c r="N3428" i="1"/>
  <c r="N619" i="1"/>
  <c r="N774" i="1"/>
  <c r="N1427" i="1"/>
  <c r="N1993" i="1"/>
  <c r="N2496" i="1"/>
  <c r="N2873" i="1"/>
  <c r="N3107" i="1"/>
  <c r="N3235" i="1"/>
  <c r="N3323" i="1"/>
  <c r="N3370" i="1"/>
  <c r="N3402" i="1"/>
  <c r="N3429" i="1"/>
  <c r="N620" i="1"/>
  <c r="N775" i="1"/>
  <c r="N1434" i="1"/>
  <c r="N1994" i="1"/>
  <c r="N2497" i="1"/>
  <c r="N2874" i="1"/>
  <c r="N3108" i="1"/>
  <c r="N3236" i="1"/>
  <c r="N3320" i="1"/>
  <c r="N3367" i="1"/>
  <c r="N3396" i="1"/>
  <c r="N3420" i="1"/>
  <c r="N621" i="1"/>
  <c r="N776" i="1"/>
  <c r="N1435" i="1"/>
  <c r="N1995" i="1"/>
  <c r="N2498" i="1"/>
  <c r="N2877" i="1"/>
  <c r="N3099" i="1"/>
  <c r="N3237" i="1"/>
  <c r="N3321" i="1"/>
  <c r="N3368" i="1"/>
  <c r="N3404" i="1"/>
  <c r="N3418" i="1"/>
  <c r="N622" i="1"/>
  <c r="N777" i="1"/>
  <c r="N1436" i="1"/>
  <c r="N1985" i="1"/>
  <c r="N2499" i="1"/>
  <c r="N2875" i="1"/>
  <c r="N3109" i="1"/>
  <c r="N3229" i="1"/>
  <c r="N3318" i="1"/>
  <c r="N3364" i="1"/>
  <c r="N3397" i="1"/>
  <c r="N3421" i="1"/>
  <c r="N623" i="1"/>
  <c r="N778" i="1"/>
  <c r="N1437" i="1"/>
  <c r="N1996" i="1"/>
  <c r="N2489" i="1"/>
  <c r="N2876" i="1"/>
  <c r="N3110" i="1"/>
  <c r="N3240" i="1"/>
  <c r="N3322" i="1"/>
  <c r="N3361" i="1"/>
  <c r="N3403" i="1"/>
  <c r="N3430" i="1"/>
  <c r="N624" i="1"/>
  <c r="N779" i="1"/>
  <c r="N1425" i="1"/>
  <c r="N1997" i="1"/>
  <c r="N2500" i="1"/>
  <c r="N2867" i="1"/>
  <c r="N3111" i="1"/>
  <c r="N3238" i="1"/>
  <c r="N3319" i="1"/>
  <c r="N3362" i="1"/>
  <c r="N3398" i="1"/>
  <c r="N3422" i="1"/>
  <c r="N716" i="1"/>
  <c r="N883" i="1"/>
  <c r="N1649" i="1"/>
  <c r="N2316" i="1"/>
  <c r="N2764" i="1"/>
  <c r="N3491" i="1"/>
  <c r="N3269" i="1"/>
  <c r="N3492" i="1"/>
  <c r="N3388" i="1"/>
  <c r="N3412" i="1"/>
  <c r="N3433" i="1"/>
  <c r="N3446" i="1"/>
  <c r="N717" i="1"/>
  <c r="N884" i="1"/>
  <c r="N1652" i="1"/>
  <c r="N2306" i="1"/>
  <c r="N2768" i="1"/>
  <c r="N3088" i="1"/>
  <c r="N3270" i="1"/>
  <c r="N3347" i="1"/>
  <c r="N3385" i="1"/>
  <c r="N3414" i="1"/>
  <c r="N3434" i="1"/>
  <c r="N3493" i="1"/>
  <c r="N718" i="1"/>
  <c r="N885" i="1"/>
  <c r="N1653" i="1"/>
  <c r="N2307" i="1"/>
  <c r="N2769" i="1"/>
  <c r="N3087" i="1"/>
  <c r="N3494" i="1"/>
  <c r="N3341" i="1"/>
  <c r="N3495" i="1"/>
  <c r="N3413" i="1"/>
  <c r="N3441" i="1"/>
  <c r="N3496" i="1"/>
  <c r="N719" i="1"/>
  <c r="N886" i="1"/>
  <c r="N1654" i="1"/>
  <c r="N2317" i="1"/>
  <c r="N2770" i="1"/>
  <c r="N3094" i="1"/>
  <c r="N3278" i="1"/>
  <c r="N3497" i="1"/>
  <c r="N3498" i="1"/>
  <c r="N3416" i="1"/>
  <c r="N3432" i="1"/>
  <c r="N3499" i="1"/>
  <c r="N720" i="1"/>
  <c r="N887" i="1"/>
  <c r="N1648" i="1"/>
  <c r="N2308" i="1"/>
  <c r="N2773" i="1"/>
  <c r="N3090" i="1"/>
  <c r="N3272" i="1"/>
  <c r="N3342" i="1"/>
  <c r="N3500" i="1"/>
  <c r="N3501" i="1"/>
  <c r="N3502" i="1"/>
  <c r="N3503" i="1"/>
  <c r="N721" i="1"/>
  <c r="N888" i="1"/>
  <c r="N1655" i="1"/>
  <c r="N2309" i="1"/>
  <c r="N2774" i="1"/>
  <c r="N3098" i="1"/>
  <c r="N3268" i="1"/>
  <c r="N3348" i="1"/>
  <c r="N3382" i="1"/>
  <c r="N3409" i="1"/>
  <c r="N3504" i="1"/>
  <c r="N3505" i="1"/>
  <c r="N710" i="1"/>
  <c r="N878" i="1"/>
  <c r="N1656" i="1"/>
  <c r="N2310" i="1"/>
  <c r="N2775" i="1"/>
  <c r="N3095" i="1"/>
  <c r="N3273" i="1"/>
  <c r="N3339" i="1"/>
  <c r="N3383" i="1"/>
  <c r="N3407" i="1"/>
  <c r="N3442" i="1"/>
  <c r="N3506" i="1"/>
  <c r="N711" i="1"/>
  <c r="N889" i="1"/>
  <c r="N1650" i="1"/>
  <c r="N2311" i="1"/>
  <c r="N2776" i="1"/>
  <c r="N3091" i="1"/>
  <c r="N3274" i="1"/>
  <c r="N3349" i="1"/>
  <c r="N3392" i="1"/>
  <c r="N3408" i="1"/>
  <c r="N3440" i="1"/>
  <c r="N3444" i="1"/>
  <c r="N712" i="1"/>
  <c r="N879" i="1"/>
  <c r="N1657" i="1"/>
  <c r="N2312" i="1"/>
  <c r="N2777" i="1"/>
  <c r="N3092" i="1"/>
  <c r="N3275" i="1"/>
  <c r="N3343" i="1"/>
  <c r="N3386" i="1"/>
  <c r="N3410" i="1"/>
  <c r="N3438" i="1"/>
  <c r="N3450" i="1"/>
  <c r="N713" i="1"/>
  <c r="N880" i="1"/>
  <c r="N1658" i="1"/>
  <c r="N2313" i="1"/>
  <c r="N2771" i="1"/>
  <c r="N3096" i="1"/>
  <c r="N3276" i="1"/>
  <c r="N3344" i="1"/>
  <c r="N3384" i="1"/>
  <c r="N3405" i="1"/>
  <c r="N3431" i="1"/>
  <c r="N3448" i="1"/>
  <c r="N722" i="1"/>
  <c r="N890" i="1"/>
  <c r="N1659" i="1"/>
  <c r="N2314" i="1"/>
  <c r="N2778" i="1"/>
  <c r="N3100" i="1"/>
  <c r="N3271" i="1"/>
  <c r="N3345" i="1"/>
  <c r="N3389" i="1"/>
  <c r="N3411" i="1"/>
  <c r="N3435" i="1"/>
  <c r="N3449" i="1"/>
  <c r="N714" i="1"/>
  <c r="N891" i="1"/>
  <c r="N1660" i="1"/>
  <c r="N2318" i="1"/>
  <c r="N2779" i="1"/>
  <c r="N3093" i="1"/>
  <c r="N3267" i="1"/>
  <c r="N3338" i="1"/>
  <c r="N3390" i="1"/>
  <c r="N3406" i="1"/>
  <c r="N3436" i="1"/>
  <c r="N3443" i="1"/>
  <c r="N723" i="1"/>
  <c r="N881" i="1"/>
  <c r="N1651" i="1"/>
  <c r="N2315" i="1"/>
  <c r="N2781" i="1"/>
  <c r="N3097" i="1"/>
  <c r="N3266" i="1"/>
  <c r="N3340" i="1"/>
  <c r="N3387" i="1"/>
  <c r="N3415" i="1"/>
  <c r="N3439" i="1"/>
  <c r="N3445" i="1"/>
  <c r="N715" i="1"/>
  <c r="N882" i="1"/>
  <c r="N1661" i="1"/>
  <c r="N2319" i="1"/>
  <c r="N2780" i="1"/>
  <c r="N3089" i="1"/>
  <c r="N3277" i="1"/>
  <c r="N3346" i="1"/>
  <c r="N3391" i="1"/>
  <c r="N3417" i="1"/>
  <c r="N3437" i="1"/>
  <c r="N3447" i="1"/>
  <c r="N417" i="1"/>
  <c r="N664" i="1"/>
  <c r="N836" i="1"/>
  <c r="N1032" i="1"/>
  <c r="N1232" i="1"/>
  <c r="N1414" i="1"/>
  <c r="N1564" i="1"/>
  <c r="N1735" i="1"/>
  <c r="N1929" i="1"/>
  <c r="N2068" i="1"/>
  <c r="N418" i="1"/>
  <c r="N665" i="1"/>
  <c r="N837" i="1"/>
  <c r="N1033" i="1"/>
  <c r="N1233" i="1"/>
  <c r="N1423" i="1"/>
  <c r="N1576" i="1"/>
  <c r="N1732" i="1"/>
  <c r="N1930" i="1"/>
  <c r="N2070" i="1"/>
  <c r="N419" i="1"/>
  <c r="N666" i="1"/>
  <c r="N838" i="1"/>
  <c r="N1045" i="1"/>
  <c r="N1234" i="1"/>
  <c r="N1415" i="1"/>
  <c r="N1567" i="1"/>
  <c r="N1733" i="1"/>
  <c r="N1939" i="1"/>
  <c r="N2071" i="1"/>
  <c r="N420" i="1"/>
  <c r="N655" i="1"/>
  <c r="N839" i="1"/>
  <c r="N1034" i="1"/>
  <c r="N1235" i="1"/>
  <c r="N1416" i="1"/>
  <c r="N1568" i="1"/>
  <c r="N1736" i="1"/>
  <c r="N1940" i="1"/>
  <c r="N2069" i="1"/>
  <c r="N3507" i="1"/>
  <c r="N65" i="1"/>
  <c r="N421" i="1"/>
  <c r="N656" i="1"/>
  <c r="N840" i="1"/>
  <c r="N1035" i="1"/>
  <c r="N1241" i="1"/>
  <c r="N1417" i="1"/>
  <c r="N1577" i="1"/>
  <c r="N1737" i="1"/>
  <c r="N1941" i="1"/>
  <c r="N2083" i="1"/>
  <c r="N19" i="1"/>
  <c r="N66" i="1"/>
  <c r="N422" i="1"/>
  <c r="N667" i="1"/>
  <c r="N841" i="1"/>
  <c r="N1036" i="1"/>
  <c r="N1236" i="1"/>
  <c r="N1418" i="1"/>
  <c r="N1569" i="1"/>
  <c r="N1744" i="1"/>
  <c r="N1928" i="1"/>
  <c r="N2072" i="1"/>
  <c r="N20" i="1"/>
  <c r="N67" i="1"/>
  <c r="N423" i="1"/>
  <c r="N657" i="1"/>
  <c r="N842" i="1"/>
  <c r="N1042" i="1"/>
  <c r="N1237" i="1"/>
  <c r="N1419" i="1"/>
  <c r="N1570" i="1"/>
  <c r="N1745" i="1"/>
  <c r="N1931" i="1"/>
  <c r="N2073" i="1"/>
  <c r="N26" i="1"/>
  <c r="N73" i="1"/>
  <c r="N424" i="1"/>
  <c r="N658" i="1"/>
  <c r="N849" i="1"/>
  <c r="N1037" i="1"/>
  <c r="N1238" i="1"/>
  <c r="N1420" i="1"/>
  <c r="N1571" i="1"/>
  <c r="N1734" i="1"/>
  <c r="N1932" i="1"/>
  <c r="N2074" i="1"/>
  <c r="N21" i="1"/>
  <c r="N68" i="1"/>
  <c r="N425" i="1"/>
  <c r="N659" i="1"/>
  <c r="N843" i="1"/>
  <c r="N1038" i="1"/>
  <c r="N1239" i="1"/>
  <c r="N1421" i="1"/>
  <c r="N1572" i="1"/>
  <c r="N1738" i="1"/>
  <c r="N1933" i="1"/>
  <c r="N2075" i="1"/>
  <c r="N27" i="1"/>
  <c r="N74" i="1"/>
  <c r="N426" i="1"/>
  <c r="N654" i="1"/>
  <c r="N844" i="1"/>
  <c r="N1043" i="1"/>
  <c r="N1240" i="1"/>
  <c r="N1410" i="1"/>
  <c r="N1573" i="1"/>
  <c r="N1739" i="1"/>
  <c r="N1934" i="1"/>
  <c r="N2076" i="1"/>
  <c r="N22" i="1"/>
  <c r="N69" i="1"/>
  <c r="N415" i="1"/>
  <c r="N660" i="1"/>
  <c r="N845" i="1"/>
  <c r="N1044" i="1"/>
  <c r="N1228" i="1"/>
  <c r="N1422" i="1"/>
  <c r="N1574" i="1"/>
  <c r="N1740" i="1"/>
  <c r="N1935" i="1"/>
  <c r="N2077" i="1"/>
  <c r="N23" i="1"/>
  <c r="N70" i="1"/>
  <c r="N416" i="1"/>
  <c r="N661" i="1"/>
  <c r="N846" i="1"/>
  <c r="N1039" i="1"/>
  <c r="N1231" i="1"/>
  <c r="N1411" i="1"/>
  <c r="N1575" i="1"/>
  <c r="N1741" i="1"/>
  <c r="N1936" i="1"/>
  <c r="N2078" i="1"/>
  <c r="N24" i="1"/>
  <c r="N71" i="1"/>
  <c r="N427" i="1"/>
  <c r="N662" i="1"/>
  <c r="N847" i="1"/>
  <c r="N1040" i="1"/>
  <c r="N1229" i="1"/>
  <c r="N1412" i="1"/>
  <c r="N1565" i="1"/>
  <c r="N1742" i="1"/>
  <c r="N1937" i="1"/>
  <c r="N2079" i="1"/>
  <c r="N25" i="1"/>
  <c r="N72" i="1"/>
  <c r="N428" i="1"/>
  <c r="N663" i="1"/>
  <c r="N848" i="1"/>
  <c r="N1041" i="1"/>
  <c r="N1230" i="1"/>
  <c r="N1413" i="1"/>
  <c r="N1566" i="1"/>
  <c r="N1743" i="1"/>
  <c r="N1938" i="1"/>
  <c r="N2080" i="1"/>
  <c r="N107" i="1"/>
  <c r="N514" i="1"/>
  <c r="N756" i="1"/>
  <c r="N963" i="1"/>
  <c r="N1175" i="1"/>
  <c r="N1400" i="1"/>
  <c r="N1621" i="1"/>
  <c r="N1788" i="1"/>
  <c r="N1971" i="1"/>
  <c r="N2211" i="1"/>
  <c r="N2360" i="1"/>
  <c r="N216" i="1"/>
  <c r="N108" i="1"/>
  <c r="N515" i="1"/>
  <c r="N757" i="1"/>
  <c r="N964" i="1"/>
  <c r="N1182" i="1"/>
  <c r="N1409" i="1"/>
  <c r="N1634" i="1"/>
  <c r="N1791" i="1"/>
  <c r="N1972" i="1"/>
  <c r="N2212" i="1"/>
  <c r="N2353" i="1"/>
  <c r="N121" i="1"/>
  <c r="N516" i="1"/>
  <c r="N758" i="1"/>
  <c r="N965" i="1"/>
  <c r="N1176" i="1"/>
  <c r="N1401" i="1"/>
  <c r="N1635" i="1"/>
  <c r="N1792" i="1"/>
  <c r="N1983" i="1"/>
  <c r="N2213" i="1"/>
  <c r="N2354" i="1"/>
  <c r="N109" i="1"/>
  <c r="N517" i="1"/>
  <c r="N759" i="1"/>
  <c r="N966" i="1"/>
  <c r="N1183" i="1"/>
  <c r="N1402" i="1"/>
  <c r="N1636" i="1"/>
  <c r="N1789" i="1"/>
  <c r="N1973" i="1"/>
  <c r="N2209" i="1"/>
  <c r="N2361" i="1"/>
  <c r="N51" i="1"/>
  <c r="N110" i="1"/>
  <c r="N518" i="1"/>
  <c r="N760" i="1"/>
  <c r="N967" i="1"/>
  <c r="N1184" i="1"/>
  <c r="N1403" i="1"/>
  <c r="N1637" i="1"/>
  <c r="N1790" i="1"/>
  <c r="N1970" i="1"/>
  <c r="N2214" i="1"/>
  <c r="N2348" i="1"/>
  <c r="N52" i="1"/>
  <c r="N111" i="1"/>
  <c r="N519" i="1"/>
  <c r="N761" i="1"/>
  <c r="N968" i="1"/>
  <c r="N1185" i="1"/>
  <c r="N1404" i="1"/>
  <c r="N1620" i="1"/>
  <c r="N1793" i="1"/>
  <c r="N1974" i="1"/>
  <c r="N2208" i="1"/>
  <c r="N2355" i="1"/>
  <c r="N46" i="1"/>
  <c r="N112" i="1"/>
  <c r="N520" i="1"/>
  <c r="N753" i="1"/>
  <c r="N975" i="1"/>
  <c r="N1177" i="1"/>
  <c r="N1405" i="1"/>
  <c r="N1638" i="1"/>
  <c r="N1794" i="1"/>
  <c r="N1975" i="1"/>
  <c r="N2215" i="1"/>
  <c r="N2356" i="1"/>
  <c r="N53" i="1"/>
  <c r="N113" i="1"/>
  <c r="N521" i="1"/>
  <c r="N762" i="1"/>
  <c r="N969" i="1"/>
  <c r="N1178" i="1"/>
  <c r="N1406" i="1"/>
  <c r="N1622" i="1"/>
  <c r="N1795" i="1"/>
  <c r="N1976" i="1"/>
  <c r="N2210" i="1"/>
  <c r="N2349" i="1"/>
  <c r="N47" i="1"/>
  <c r="N122" i="1"/>
  <c r="N522" i="1"/>
  <c r="N763" i="1"/>
  <c r="N970" i="1"/>
  <c r="N1179" i="1"/>
  <c r="N1407" i="1"/>
  <c r="N1623" i="1"/>
  <c r="N1796" i="1"/>
  <c r="N1977" i="1"/>
  <c r="N2216" i="1"/>
  <c r="N2350" i="1"/>
  <c r="N48" i="1"/>
  <c r="N114" i="1"/>
  <c r="N523" i="1"/>
  <c r="N764" i="1"/>
  <c r="N971" i="1"/>
  <c r="N1180" i="1"/>
  <c r="N1408" i="1"/>
  <c r="N1624" i="1"/>
  <c r="N1797" i="1"/>
  <c r="N1978" i="1"/>
  <c r="N2217" i="1"/>
  <c r="N2351" i="1"/>
  <c r="N54" i="1"/>
  <c r="N115" i="1"/>
  <c r="N524" i="1"/>
  <c r="N765" i="1"/>
  <c r="N972" i="1"/>
  <c r="N1172" i="1"/>
  <c r="N1396" i="1"/>
  <c r="N1625" i="1"/>
  <c r="N1798" i="1"/>
  <c r="N1979" i="1"/>
  <c r="N2218" i="1"/>
  <c r="N2352" i="1"/>
  <c r="N49" i="1"/>
  <c r="N116" i="1"/>
  <c r="N525" i="1"/>
  <c r="N754" i="1"/>
  <c r="N973" i="1"/>
  <c r="N1173" i="1"/>
  <c r="N1397" i="1"/>
  <c r="N1626" i="1"/>
  <c r="N1799" i="1"/>
  <c r="N1980" i="1"/>
  <c r="N2219" i="1"/>
  <c r="N2357" i="1"/>
  <c r="N50" i="1"/>
  <c r="N106" i="1"/>
  <c r="N526" i="1"/>
  <c r="N755" i="1"/>
  <c r="N974" i="1"/>
  <c r="N1181" i="1"/>
  <c r="N1398" i="1"/>
  <c r="N1627" i="1"/>
  <c r="N1800" i="1"/>
  <c r="N1981" i="1"/>
  <c r="N2220" i="1"/>
  <c r="N2358" i="1"/>
  <c r="N55" i="1"/>
  <c r="N117" i="1"/>
  <c r="N527" i="1"/>
  <c r="N752" i="1"/>
  <c r="N962" i="1"/>
  <c r="N1174" i="1"/>
  <c r="N1399" i="1"/>
  <c r="N1628" i="1"/>
  <c r="N1801" i="1"/>
  <c r="N1982" i="1"/>
  <c r="N2221" i="1"/>
  <c r="N2359" i="1"/>
  <c r="N190" i="1"/>
  <c r="N600" i="1"/>
  <c r="N865" i="1"/>
  <c r="N1106" i="1"/>
  <c r="N1329" i="1"/>
  <c r="N1639" i="1"/>
  <c r="N1861" i="1"/>
  <c r="N2055" i="1"/>
  <c r="N2259" i="1"/>
  <c r="N2461" i="1"/>
  <c r="N2586" i="1"/>
  <c r="N464" i="1"/>
  <c r="N191" i="1"/>
  <c r="N601" i="1"/>
  <c r="N866" i="1"/>
  <c r="N1113" i="1"/>
  <c r="N1330" i="1"/>
  <c r="N1640" i="1"/>
  <c r="N1862" i="1"/>
  <c r="N2056" i="1"/>
  <c r="N2263" i="1"/>
  <c r="N2472" i="1"/>
  <c r="N2599" i="1"/>
  <c r="N3508" i="1"/>
  <c r="N192" i="1"/>
  <c r="N602" i="1"/>
  <c r="N867" i="1"/>
  <c r="N1114" i="1"/>
  <c r="N1331" i="1"/>
  <c r="N1641" i="1"/>
  <c r="N1863" i="1"/>
  <c r="N2065" i="1"/>
  <c r="N2260" i="1"/>
  <c r="N2465" i="1"/>
  <c r="N2592" i="1"/>
  <c r="N86" i="1"/>
  <c r="N193" i="1"/>
  <c r="N603" i="1"/>
  <c r="N868" i="1"/>
  <c r="N1107" i="1"/>
  <c r="N1332" i="1"/>
  <c r="N1642" i="1"/>
  <c r="N1859" i="1"/>
  <c r="N2052" i="1"/>
  <c r="N2250" i="1"/>
  <c r="N2473" i="1"/>
  <c r="N2593" i="1"/>
  <c r="N87" i="1"/>
  <c r="N194" i="1"/>
  <c r="N604" i="1"/>
  <c r="N869" i="1"/>
  <c r="N1108" i="1"/>
  <c r="N1333" i="1"/>
  <c r="N1643" i="1"/>
  <c r="N1860" i="1"/>
  <c r="N2066" i="1"/>
  <c r="N2251" i="1"/>
  <c r="N2460" i="1"/>
  <c r="N2594" i="1"/>
  <c r="N88" i="1"/>
  <c r="N195" i="1"/>
  <c r="N605" i="1"/>
  <c r="N870" i="1"/>
  <c r="N1109" i="1"/>
  <c r="N1334" i="1"/>
  <c r="N1644" i="1"/>
  <c r="N1856" i="1"/>
  <c r="N2057" i="1"/>
  <c r="N2261" i="1"/>
  <c r="N2466" i="1"/>
  <c r="N2587" i="1"/>
  <c r="N89" i="1"/>
  <c r="N196" i="1"/>
  <c r="N606" i="1"/>
  <c r="N877" i="1"/>
  <c r="N1115" i="1"/>
  <c r="N1335" i="1"/>
  <c r="N1645" i="1"/>
  <c r="N1864" i="1"/>
  <c r="N2053" i="1"/>
  <c r="N2252" i="1"/>
  <c r="N2467" i="1"/>
  <c r="N2595" i="1"/>
  <c r="N90" i="1"/>
  <c r="N197" i="1"/>
  <c r="N611" i="1"/>
  <c r="N871" i="1"/>
  <c r="N1110" i="1"/>
  <c r="N1336" i="1"/>
  <c r="N1629" i="1"/>
  <c r="N1865" i="1"/>
  <c r="N2058" i="1"/>
  <c r="N2253" i="1"/>
  <c r="N2462" i="1"/>
  <c r="N2596" i="1"/>
  <c r="N91" i="1"/>
  <c r="N198" i="1"/>
  <c r="N607" i="1"/>
  <c r="N872" i="1"/>
  <c r="N1111" i="1"/>
  <c r="N1337" i="1"/>
  <c r="N1646" i="1"/>
  <c r="N1866" i="1"/>
  <c r="N2059" i="1"/>
  <c r="N2254" i="1"/>
  <c r="N2463" i="1"/>
  <c r="N2588" i="1"/>
  <c r="N92" i="1"/>
  <c r="N185" i="1"/>
  <c r="N608" i="1"/>
  <c r="N873" i="1"/>
  <c r="N1104" i="1"/>
  <c r="N1338" i="1"/>
  <c r="N1630" i="1"/>
  <c r="N1867" i="1"/>
  <c r="N2060" i="1"/>
  <c r="N2255" i="1"/>
  <c r="N2464" i="1"/>
  <c r="N2589" i="1"/>
  <c r="N93" i="1"/>
  <c r="N199" i="1"/>
  <c r="N598" i="1"/>
  <c r="N874" i="1"/>
  <c r="N1102" i="1"/>
  <c r="N1326" i="1"/>
  <c r="N1631" i="1"/>
  <c r="N1868" i="1"/>
  <c r="N2061" i="1"/>
  <c r="N2256" i="1"/>
  <c r="N2468" i="1"/>
  <c r="N2590" i="1"/>
  <c r="N76" i="1"/>
  <c r="N186" i="1"/>
  <c r="N609" i="1"/>
  <c r="N875" i="1"/>
  <c r="N1112" i="1"/>
  <c r="N1327" i="1"/>
  <c r="N1632" i="1"/>
  <c r="N1869" i="1"/>
  <c r="N2062" i="1"/>
  <c r="N2257" i="1"/>
  <c r="N2469" i="1"/>
  <c r="N2591" i="1"/>
  <c r="N94" i="1"/>
  <c r="N200" i="1"/>
  <c r="N599" i="1"/>
  <c r="N864" i="1"/>
  <c r="N1103" i="1"/>
  <c r="N1328" i="1"/>
  <c r="N1633" i="1"/>
  <c r="N1870" i="1"/>
  <c r="N2063" i="1"/>
  <c r="N2258" i="1"/>
  <c r="N2470" i="1"/>
  <c r="N2597" i="1"/>
  <c r="N95" i="1"/>
  <c r="N201" i="1"/>
  <c r="N610" i="1"/>
  <c r="N876" i="1"/>
  <c r="N1105" i="1"/>
  <c r="N1339" i="1"/>
  <c r="N1647" i="1"/>
  <c r="N1871" i="1"/>
  <c r="N2064" i="1"/>
  <c r="N2262" i="1"/>
  <c r="N2471" i="1"/>
  <c r="N2598" i="1"/>
  <c r="N146" i="1"/>
  <c r="N277" i="1"/>
  <c r="N689" i="1"/>
  <c r="N992" i="1"/>
  <c r="N1261" i="1"/>
  <c r="N1541" i="1"/>
  <c r="N1886" i="1"/>
  <c r="N2121" i="1"/>
  <c r="N2333" i="1"/>
  <c r="N2524" i="1"/>
  <c r="N2697" i="1"/>
  <c r="N2827" i="1"/>
  <c r="N147" i="1"/>
  <c r="N278" i="1"/>
  <c r="N690" i="1"/>
  <c r="N993" i="1"/>
  <c r="N1262" i="1"/>
  <c r="N1548" i="1"/>
  <c r="N1896" i="1"/>
  <c r="N2111" i="1"/>
  <c r="N2325" i="1"/>
  <c r="N2530" i="1"/>
  <c r="N2701" i="1"/>
  <c r="N2828" i="1"/>
  <c r="N148" i="1"/>
  <c r="N279" i="1"/>
  <c r="N691" i="1"/>
  <c r="N994" i="1"/>
  <c r="N1263" i="1"/>
  <c r="N1542" i="1"/>
  <c r="N1887" i="1"/>
  <c r="N2122" i="1"/>
  <c r="N2326" i="1"/>
  <c r="N2518" i="1"/>
  <c r="N2714" i="1"/>
  <c r="N2824" i="1"/>
  <c r="N157" i="1"/>
  <c r="N280" i="1"/>
  <c r="N682" i="1"/>
  <c r="N995" i="1"/>
  <c r="N1264" i="1"/>
  <c r="N1552" i="1"/>
  <c r="N1888" i="1"/>
  <c r="N2110" i="1"/>
  <c r="N2327" i="1"/>
  <c r="N2519" i="1"/>
  <c r="N2700" i="1"/>
  <c r="N2837" i="1"/>
  <c r="N158" i="1"/>
  <c r="N281" i="1"/>
  <c r="N692" i="1"/>
  <c r="N996" i="1"/>
  <c r="N1265" i="1"/>
  <c r="N1537" i="1"/>
  <c r="N1897" i="1"/>
  <c r="N2112" i="1"/>
  <c r="N2320" i="1"/>
  <c r="N2516" i="1"/>
  <c r="N2710" i="1"/>
  <c r="N2829" i="1"/>
  <c r="N149" i="1"/>
  <c r="N282" i="1"/>
  <c r="N683" i="1"/>
  <c r="N1002" i="1"/>
  <c r="N1266" i="1"/>
  <c r="N1543" i="1"/>
  <c r="N1889" i="1"/>
  <c r="N2113" i="1"/>
  <c r="N2328" i="1"/>
  <c r="N2528" i="1"/>
  <c r="N2702" i="1"/>
  <c r="N2830" i="1"/>
  <c r="N150" i="1"/>
  <c r="N283" i="1"/>
  <c r="N693" i="1"/>
  <c r="N1003" i="1"/>
  <c r="N1267" i="1"/>
  <c r="N1538" i="1"/>
  <c r="N1890" i="1"/>
  <c r="N2114" i="1"/>
  <c r="N2321" i="1"/>
  <c r="N2525" i="1"/>
  <c r="N2698" i="1"/>
  <c r="N2836" i="1"/>
  <c r="N159" i="1"/>
  <c r="N284" i="1"/>
  <c r="N694" i="1"/>
  <c r="N997" i="1"/>
  <c r="N1268" i="1"/>
  <c r="N1544" i="1"/>
  <c r="N1891" i="1"/>
  <c r="N2115" i="1"/>
  <c r="N2322" i="1"/>
  <c r="N2520" i="1"/>
  <c r="N2703" i="1"/>
  <c r="N2831" i="1"/>
  <c r="N151" i="1"/>
  <c r="N285" i="1"/>
  <c r="N695" i="1"/>
  <c r="N998" i="1"/>
  <c r="N1258" i="1"/>
  <c r="N1545" i="1"/>
  <c r="N1892" i="1"/>
  <c r="N2116" i="1"/>
  <c r="N2323" i="1"/>
  <c r="N2521" i="1"/>
  <c r="N2704" i="1"/>
  <c r="N2832" i="1"/>
  <c r="N152" i="1"/>
  <c r="N286" i="1"/>
  <c r="N684" i="1"/>
  <c r="N990" i="1"/>
  <c r="N1259" i="1"/>
  <c r="N1546" i="1"/>
  <c r="N1893" i="1"/>
  <c r="N2117" i="1"/>
  <c r="N2324" i="1"/>
  <c r="N2517" i="1"/>
  <c r="N2705" i="1"/>
  <c r="N2833" i="1"/>
  <c r="N153" i="1"/>
  <c r="N272" i="1"/>
  <c r="N685" i="1"/>
  <c r="N999" i="1"/>
  <c r="N1269" i="1"/>
  <c r="N1539" i="1"/>
  <c r="N1894" i="1"/>
  <c r="N2118" i="1"/>
  <c r="N2329" i="1"/>
  <c r="N2522" i="1"/>
  <c r="N2706" i="1"/>
  <c r="N2834" i="1"/>
  <c r="N154" i="1"/>
  <c r="N273" i="1"/>
  <c r="N686" i="1"/>
  <c r="N991" i="1"/>
  <c r="N1256" i="1"/>
  <c r="N1540" i="1"/>
  <c r="N1895" i="1"/>
  <c r="N2119" i="1"/>
  <c r="N2330" i="1"/>
  <c r="N2526" i="1"/>
  <c r="N2707" i="1"/>
  <c r="N2825" i="1"/>
  <c r="N160" i="1"/>
  <c r="N287" i="1"/>
  <c r="N687" i="1"/>
  <c r="N1000" i="1"/>
  <c r="N1260" i="1"/>
  <c r="N1547" i="1"/>
  <c r="N1898" i="1"/>
  <c r="N2120" i="1"/>
  <c r="N2331" i="1"/>
  <c r="N2527" i="1"/>
  <c r="N2708" i="1"/>
  <c r="N2826" i="1"/>
  <c r="N155" i="1"/>
  <c r="N288" i="1"/>
  <c r="N688" i="1"/>
  <c r="N1001" i="1"/>
  <c r="N1257" i="1"/>
  <c r="N1536" i="1"/>
  <c r="N1899" i="1"/>
  <c r="N2123" i="1"/>
  <c r="N2332" i="1"/>
  <c r="N2523" i="1"/>
  <c r="N2709" i="1"/>
  <c r="N2835" i="1"/>
  <c r="N224" i="1"/>
  <c r="N373" i="1"/>
  <c r="N796" i="1"/>
  <c r="N1140" i="1"/>
  <c r="N1464" i="1"/>
  <c r="N1816" i="1"/>
  <c r="N2161" i="1"/>
  <c r="N2403" i="1"/>
  <c r="N2614" i="1"/>
  <c r="N2765" i="1"/>
  <c r="N2950" i="1"/>
  <c r="N3047" i="1"/>
  <c r="N225" i="1"/>
  <c r="N374" i="1"/>
  <c r="N797" i="1"/>
  <c r="N1141" i="1"/>
  <c r="N1452" i="1"/>
  <c r="N1817" i="1"/>
  <c r="N2153" i="1"/>
  <c r="N2397" i="1"/>
  <c r="N2625" i="1"/>
  <c r="N2760" i="1"/>
  <c r="N2953" i="1"/>
  <c r="N3048" i="1"/>
  <c r="N234" i="1"/>
  <c r="N375" i="1"/>
  <c r="N798" i="1"/>
  <c r="N1142" i="1"/>
  <c r="N1455" i="1"/>
  <c r="N1826" i="1"/>
  <c r="N2162" i="1"/>
  <c r="N2390" i="1"/>
  <c r="N2615" i="1"/>
  <c r="N2766" i="1"/>
  <c r="N2951" i="1"/>
  <c r="N3049" i="1"/>
  <c r="N226" i="1"/>
  <c r="N384" i="1"/>
  <c r="N799" i="1"/>
  <c r="N1131" i="1"/>
  <c r="N1456" i="1"/>
  <c r="N1827" i="1"/>
  <c r="N2154" i="1"/>
  <c r="N2398" i="1"/>
  <c r="N2616" i="1"/>
  <c r="N2755" i="1"/>
  <c r="N2954" i="1"/>
  <c r="N3058" i="1"/>
  <c r="N227" i="1"/>
  <c r="N376" i="1"/>
  <c r="N800" i="1"/>
  <c r="N1143" i="1"/>
  <c r="N1465" i="1"/>
  <c r="N1828" i="1"/>
  <c r="N2163" i="1"/>
  <c r="N2393" i="1"/>
  <c r="N2617" i="1"/>
  <c r="N2756" i="1"/>
  <c r="N2955" i="1"/>
  <c r="N3057" i="1"/>
  <c r="N235" i="1"/>
  <c r="N385" i="1"/>
  <c r="N801" i="1"/>
  <c r="N1132" i="1"/>
  <c r="N1457" i="1"/>
  <c r="N1818" i="1"/>
  <c r="N2155" i="1"/>
  <c r="N2399" i="1"/>
  <c r="N2626" i="1"/>
  <c r="N2772" i="1"/>
  <c r="N2956" i="1"/>
  <c r="N3050" i="1"/>
  <c r="N228" i="1"/>
  <c r="N377" i="1"/>
  <c r="N802" i="1"/>
  <c r="N1133" i="1"/>
  <c r="N1458" i="1"/>
  <c r="N1819" i="1"/>
  <c r="N2152" i="1"/>
  <c r="N2400" i="1"/>
  <c r="N2618" i="1"/>
  <c r="N2754" i="1"/>
  <c r="N2963" i="1"/>
  <c r="N3051" i="1"/>
  <c r="N236" i="1"/>
  <c r="N378" i="1"/>
  <c r="N803" i="1"/>
  <c r="N1134" i="1"/>
  <c r="N1459" i="1"/>
  <c r="N1820" i="1"/>
  <c r="N2156" i="1"/>
  <c r="N2394" i="1"/>
  <c r="N2619" i="1"/>
  <c r="N2761" i="1"/>
  <c r="N2957" i="1"/>
  <c r="N3059" i="1"/>
  <c r="N229" i="1"/>
  <c r="N386" i="1"/>
  <c r="N794" i="1"/>
  <c r="N1130" i="1"/>
  <c r="N1460" i="1"/>
  <c r="N1821" i="1"/>
  <c r="N2157" i="1"/>
  <c r="N2391" i="1"/>
  <c r="N2620" i="1"/>
  <c r="N2762" i="1"/>
  <c r="N2958" i="1"/>
  <c r="N3046" i="1"/>
  <c r="N230" i="1"/>
  <c r="N379" i="1"/>
  <c r="N804" i="1"/>
  <c r="N1135" i="1"/>
  <c r="N1453" i="1"/>
  <c r="N1822" i="1"/>
  <c r="N2158" i="1"/>
  <c r="N2395" i="1"/>
  <c r="N2621" i="1"/>
  <c r="N2757" i="1"/>
  <c r="N2959" i="1"/>
  <c r="N3052" i="1"/>
  <c r="N231" i="1"/>
  <c r="N380" i="1"/>
  <c r="N805" i="1"/>
  <c r="N1136" i="1"/>
  <c r="N1454" i="1"/>
  <c r="N1823" i="1"/>
  <c r="N2159" i="1"/>
  <c r="N2401" i="1"/>
  <c r="N2622" i="1"/>
  <c r="N2758" i="1"/>
  <c r="N2960" i="1"/>
  <c r="N3053" i="1"/>
  <c r="N237" i="1"/>
  <c r="N381" i="1"/>
  <c r="N795" i="1"/>
  <c r="N1137" i="1"/>
  <c r="N1461" i="1"/>
  <c r="N1824" i="1"/>
  <c r="N2160" i="1"/>
  <c r="N2396" i="1"/>
  <c r="N2623" i="1"/>
  <c r="N2759" i="1"/>
  <c r="N2961" i="1"/>
  <c r="N3054" i="1"/>
  <c r="N232" i="1"/>
  <c r="N382" i="1"/>
  <c r="N806" i="1"/>
  <c r="N1138" i="1"/>
  <c r="N1462" i="1"/>
  <c r="N1825" i="1"/>
  <c r="N2164" i="1"/>
  <c r="N2402" i="1"/>
  <c r="N2624" i="1"/>
  <c r="N2767" i="1"/>
  <c r="N2952" i="1"/>
  <c r="N3055" i="1"/>
  <c r="N233" i="1"/>
  <c r="N383" i="1"/>
  <c r="N807" i="1"/>
  <c r="N1139" i="1"/>
  <c r="N1463" i="1"/>
  <c r="N1829" i="1"/>
  <c r="N2165" i="1"/>
  <c r="N2392" i="1"/>
  <c r="N2627" i="1"/>
  <c r="N2763" i="1"/>
  <c r="N2962" i="1"/>
  <c r="N3056" i="1"/>
  <c r="N332" i="1"/>
  <c r="N475" i="1"/>
  <c r="N922" i="1"/>
  <c r="N1301" i="1"/>
  <c r="N1722" i="1"/>
  <c r="N2146" i="1"/>
  <c r="N2444" i="1"/>
  <c r="N2661" i="1"/>
  <c r="N2894" i="1"/>
  <c r="N2998" i="1"/>
  <c r="N3139" i="1"/>
  <c r="N3509" i="1"/>
  <c r="N333" i="1"/>
  <c r="N476" i="1"/>
  <c r="N923" i="1"/>
  <c r="N1308" i="1"/>
  <c r="N1730" i="1"/>
  <c r="N2142" i="1"/>
  <c r="N2439" i="1"/>
  <c r="N2666" i="1"/>
  <c r="N2898" i="1"/>
  <c r="N2995" i="1"/>
  <c r="N3142" i="1"/>
  <c r="N3216" i="1"/>
  <c r="N334" i="1"/>
  <c r="N477" i="1"/>
  <c r="N924" i="1"/>
  <c r="N1309" i="1"/>
  <c r="N1723" i="1"/>
  <c r="N2151" i="1"/>
  <c r="N2432" i="1"/>
  <c r="N2662" i="1"/>
  <c r="N2907" i="1"/>
  <c r="N2993" i="1"/>
  <c r="N3143" i="1"/>
  <c r="N3223" i="1"/>
  <c r="N335" i="1"/>
  <c r="N478" i="1"/>
  <c r="N925" i="1"/>
  <c r="N1310" i="1"/>
  <c r="N1724" i="1"/>
  <c r="N2149" i="1"/>
  <c r="N2436" i="1"/>
  <c r="N2667" i="1"/>
  <c r="N2895" i="1"/>
  <c r="N2999" i="1"/>
  <c r="N3144" i="1"/>
  <c r="N3220" i="1"/>
  <c r="N336" i="1"/>
  <c r="N479" i="1"/>
  <c r="N926" i="1"/>
  <c r="N1302" i="1"/>
  <c r="N1725" i="1"/>
  <c r="N2137" i="1"/>
  <c r="N2440" i="1"/>
  <c r="N2663" i="1"/>
  <c r="N2896" i="1"/>
  <c r="N2996" i="1"/>
  <c r="N3150" i="1"/>
  <c r="N3224" i="1"/>
  <c r="N337" i="1"/>
  <c r="N480" i="1"/>
  <c r="N927" i="1"/>
  <c r="N1303" i="1"/>
  <c r="N1726" i="1"/>
  <c r="N2138" i="1"/>
  <c r="N2441" i="1"/>
  <c r="N2658" i="1"/>
  <c r="N2900" i="1"/>
  <c r="N2997" i="1"/>
  <c r="N3145" i="1"/>
  <c r="N3221" i="1"/>
  <c r="N338" i="1"/>
  <c r="N481" i="1"/>
  <c r="N928" i="1"/>
  <c r="N1311" i="1"/>
  <c r="N1727" i="1"/>
  <c r="N2139" i="1"/>
  <c r="N2437" i="1"/>
  <c r="N2664" i="1"/>
  <c r="N2897" i="1"/>
  <c r="N3006" i="1"/>
  <c r="N3146" i="1"/>
  <c r="N3225" i="1"/>
  <c r="N339" i="1"/>
  <c r="N482" i="1"/>
  <c r="N929" i="1"/>
  <c r="N1304" i="1"/>
  <c r="N1718" i="1"/>
  <c r="N2143" i="1"/>
  <c r="N2433" i="1"/>
  <c r="N2659" i="1"/>
  <c r="N2901" i="1"/>
  <c r="N3011" i="1"/>
  <c r="N3147" i="1"/>
  <c r="N3222" i="1"/>
  <c r="N331" i="1"/>
  <c r="N483" i="1"/>
  <c r="N930" i="1"/>
  <c r="N1298" i="1"/>
  <c r="N1719" i="1"/>
  <c r="N2144" i="1"/>
  <c r="N2434" i="1"/>
  <c r="N2656" i="1"/>
  <c r="N2902" i="1"/>
  <c r="N3000" i="1"/>
  <c r="N3152" i="1"/>
  <c r="N3226" i="1"/>
  <c r="N340" i="1"/>
  <c r="N472" i="1"/>
  <c r="N931" i="1"/>
  <c r="N1299" i="1"/>
  <c r="N1720" i="1"/>
  <c r="N2145" i="1"/>
  <c r="N2435" i="1"/>
  <c r="N2657" i="1"/>
  <c r="N2903" i="1"/>
  <c r="N3001" i="1"/>
  <c r="N3141" i="1"/>
  <c r="N3217" i="1"/>
  <c r="N344" i="1"/>
  <c r="N473" i="1"/>
  <c r="N920" i="1"/>
  <c r="N1305" i="1"/>
  <c r="N1728" i="1"/>
  <c r="N2140" i="1"/>
  <c r="N2438" i="1"/>
  <c r="N2660" i="1"/>
  <c r="N2906" i="1"/>
  <c r="N3002" i="1"/>
  <c r="N3148" i="1"/>
  <c r="N3219" i="1"/>
  <c r="N341" i="1"/>
  <c r="N484" i="1"/>
  <c r="N932" i="1"/>
  <c r="N1306" i="1"/>
  <c r="N1721" i="1"/>
  <c r="N2147" i="1"/>
  <c r="N2442" i="1"/>
  <c r="N2665" i="1"/>
  <c r="N2904" i="1"/>
  <c r="N2992" i="1"/>
  <c r="N3140" i="1"/>
  <c r="N3227" i="1"/>
  <c r="N342" i="1"/>
  <c r="N474" i="1"/>
  <c r="N933" i="1"/>
  <c r="N1300" i="1"/>
  <c r="N1729" i="1"/>
  <c r="N2150" i="1"/>
  <c r="N2445" i="1"/>
  <c r="N2668" i="1"/>
  <c r="N2899" i="1"/>
  <c r="N2994" i="1"/>
  <c r="N3149" i="1"/>
  <c r="N3228" i="1"/>
  <c r="N343" i="1"/>
  <c r="N485" i="1"/>
  <c r="N921" i="1"/>
  <c r="N1307" i="1"/>
  <c r="N1731" i="1"/>
  <c r="N2148" i="1"/>
  <c r="N2443" i="1"/>
  <c r="N2669" i="1"/>
  <c r="N2905" i="1"/>
  <c r="N3003" i="1"/>
  <c r="N3151" i="1"/>
  <c r="N3218" i="1"/>
  <c r="N465" i="1"/>
  <c r="N578" i="1"/>
  <c r="N1075" i="1"/>
  <c r="N1579" i="1"/>
  <c r="N2004" i="1"/>
  <c r="N2430" i="1"/>
  <c r="N2728" i="1"/>
  <c r="N2937" i="1"/>
  <c r="N3125" i="1"/>
  <c r="N3203" i="1"/>
  <c r="N3510" i="1"/>
  <c r="N3327" i="1"/>
  <c r="N466" i="1"/>
  <c r="N579" i="1"/>
  <c r="N1076" i="1"/>
  <c r="N1581" i="1"/>
  <c r="N2006" i="1"/>
  <c r="N2424" i="1"/>
  <c r="N2729" i="1"/>
  <c r="N2938" i="1"/>
  <c r="N3126" i="1"/>
  <c r="N3202" i="1"/>
  <c r="N3293" i="1"/>
  <c r="N3511" i="1"/>
  <c r="N467" i="1"/>
  <c r="N580" i="1"/>
  <c r="N1077" i="1"/>
  <c r="N1590" i="1"/>
  <c r="N2007" i="1"/>
  <c r="N2428" i="1"/>
  <c r="N2730" i="1"/>
  <c r="N2947" i="1"/>
  <c r="N3113" i="1"/>
  <c r="N3207" i="1"/>
  <c r="N3294" i="1"/>
  <c r="N3325" i="1"/>
  <c r="N444" i="1"/>
  <c r="N571" i="1"/>
  <c r="N1078" i="1"/>
  <c r="N1591" i="1"/>
  <c r="N2008" i="1"/>
  <c r="N2420" i="1"/>
  <c r="N2735" i="1"/>
  <c r="N2939" i="1"/>
  <c r="N3116" i="1"/>
  <c r="N3205" i="1"/>
  <c r="N3303" i="1"/>
  <c r="N3337" i="1"/>
  <c r="N445" i="1"/>
  <c r="N581" i="1"/>
  <c r="N1079" i="1"/>
  <c r="N1582" i="1"/>
  <c r="N2009" i="1"/>
  <c r="N2425" i="1"/>
  <c r="N2736" i="1"/>
  <c r="N2936" i="1"/>
  <c r="N3115" i="1"/>
  <c r="N3215" i="1"/>
  <c r="N3291" i="1"/>
  <c r="N3330" i="1"/>
  <c r="N446" i="1"/>
  <c r="N572" i="1"/>
  <c r="N1080" i="1"/>
  <c r="N1583" i="1"/>
  <c r="N1999" i="1"/>
  <c r="N2421" i="1"/>
  <c r="N2726" i="1"/>
  <c r="N2948" i="1"/>
  <c r="N3117" i="1"/>
  <c r="N3208" i="1"/>
  <c r="N3292" i="1"/>
  <c r="N3331" i="1"/>
  <c r="N447" i="1"/>
  <c r="N573" i="1"/>
  <c r="N1081" i="1"/>
  <c r="N1584" i="1"/>
  <c r="N2000" i="1"/>
  <c r="N2422" i="1"/>
  <c r="N2737" i="1"/>
  <c r="N2942" i="1"/>
  <c r="N3118" i="1"/>
  <c r="N3204" i="1"/>
  <c r="N3295" i="1"/>
  <c r="N3335" i="1"/>
  <c r="N448" i="1"/>
  <c r="N574" i="1"/>
  <c r="N1082" i="1"/>
  <c r="N1580" i="1"/>
  <c r="N2001" i="1"/>
  <c r="N2418" i="1"/>
  <c r="N2731" i="1"/>
  <c r="N2943" i="1"/>
  <c r="N3114" i="1"/>
  <c r="N3209" i="1"/>
  <c r="N3296" i="1"/>
  <c r="N3326" i="1"/>
  <c r="N449" i="1"/>
  <c r="N570" i="1"/>
  <c r="N1083" i="1"/>
  <c r="N1578" i="1"/>
  <c r="N2002" i="1"/>
  <c r="N2419" i="1"/>
  <c r="N2732" i="1"/>
  <c r="N2944" i="1"/>
  <c r="N3121" i="1"/>
  <c r="N3206" i="1"/>
  <c r="N3297" i="1"/>
  <c r="N3332" i="1"/>
  <c r="N450" i="1"/>
  <c r="N575" i="1"/>
  <c r="N1074" i="1"/>
  <c r="N1585" i="1"/>
  <c r="N2005" i="1"/>
  <c r="N2423" i="1"/>
  <c r="N2727" i="1"/>
  <c r="N2940" i="1"/>
  <c r="N3122" i="1"/>
  <c r="N3210" i="1"/>
  <c r="N3298" i="1"/>
  <c r="N3328" i="1"/>
  <c r="N468" i="1"/>
  <c r="N582" i="1"/>
  <c r="N1084" i="1"/>
  <c r="N1586" i="1"/>
  <c r="N2003" i="1"/>
  <c r="N2426" i="1"/>
  <c r="N2733" i="1"/>
  <c r="N2945" i="1"/>
  <c r="N3123" i="1"/>
  <c r="N3211" i="1"/>
  <c r="N3299" i="1"/>
  <c r="N3333" i="1"/>
  <c r="N469" i="1"/>
  <c r="N576" i="1"/>
  <c r="N1085" i="1"/>
  <c r="N1587" i="1"/>
  <c r="N2010" i="1"/>
  <c r="N2427" i="1"/>
  <c r="N2734" i="1"/>
  <c r="N2941" i="1"/>
  <c r="N3119" i="1"/>
  <c r="N3212" i="1"/>
  <c r="N3300" i="1"/>
  <c r="N3329" i="1"/>
  <c r="N451" i="1"/>
  <c r="N577" i="1"/>
  <c r="N1086" i="1"/>
  <c r="N1588" i="1"/>
  <c r="N2011" i="1"/>
  <c r="N2431" i="1"/>
  <c r="N2738" i="1"/>
  <c r="N2946" i="1"/>
  <c r="N3120" i="1"/>
  <c r="N3213" i="1"/>
  <c r="N3301" i="1"/>
  <c r="N3336" i="1"/>
  <c r="N452" i="1"/>
  <c r="N583" i="1"/>
  <c r="N1087" i="1"/>
  <c r="N1589" i="1"/>
  <c r="N1998" i="1"/>
  <c r="N2429" i="1"/>
  <c r="N2739" i="1"/>
  <c r="N2949" i="1"/>
  <c r="N3124" i="1"/>
  <c r="N3214" i="1"/>
  <c r="N3302" i="1"/>
  <c r="N3334" i="1"/>
  <c r="N302" i="1"/>
  <c r="N556" i="1"/>
  <c r="N725" i="1"/>
  <c r="N892" i="1"/>
  <c r="N1062" i="1"/>
  <c r="N1218" i="1"/>
  <c r="N1343" i="1"/>
  <c r="N1501" i="1"/>
  <c r="N1662" i="1"/>
  <c r="N1802" i="1"/>
  <c r="N143" i="1"/>
  <c r="N303" i="1"/>
  <c r="N557" i="1"/>
  <c r="N726" i="1"/>
  <c r="N893" i="1"/>
  <c r="N1063" i="1"/>
  <c r="N1226" i="1"/>
  <c r="N1344" i="1"/>
  <c r="N1502" i="1"/>
  <c r="N1667" i="1"/>
  <c r="N1803" i="1"/>
  <c r="N304" i="1"/>
  <c r="N558" i="1"/>
  <c r="N727" i="1"/>
  <c r="N894" i="1"/>
  <c r="N1064" i="1"/>
  <c r="N1219" i="1"/>
  <c r="N1345" i="1"/>
  <c r="N1494" i="1"/>
  <c r="N1675" i="1"/>
  <c r="N1810" i="1"/>
  <c r="N305" i="1"/>
  <c r="N559" i="1"/>
  <c r="N728" i="1"/>
  <c r="N895" i="1"/>
  <c r="N1065" i="1"/>
  <c r="N1220" i="1"/>
  <c r="N1346" i="1"/>
  <c r="N1503" i="1"/>
  <c r="N1663" i="1"/>
  <c r="N1811" i="1"/>
  <c r="N3512" i="1"/>
  <c r="N3513" i="1"/>
  <c r="N306" i="1"/>
  <c r="N560" i="1"/>
  <c r="N729" i="1"/>
  <c r="N896" i="1"/>
  <c r="N1066" i="1"/>
  <c r="N1227" i="1"/>
  <c r="N1347" i="1"/>
  <c r="N1504" i="1"/>
  <c r="N1668" i="1"/>
  <c r="N1804" i="1"/>
  <c r="N3514" i="1"/>
  <c r="N28" i="1"/>
  <c r="N312" i="1"/>
  <c r="N561" i="1"/>
  <c r="N730" i="1"/>
  <c r="N897" i="1"/>
  <c r="N1067" i="1"/>
  <c r="N1221" i="1"/>
  <c r="N1348" i="1"/>
  <c r="N1505" i="1"/>
  <c r="N1664" i="1"/>
  <c r="N1812" i="1"/>
  <c r="N2" i="1"/>
  <c r="N36" i="1"/>
  <c r="N307" i="1"/>
  <c r="N562" i="1"/>
  <c r="N731" i="1"/>
  <c r="N898" i="1"/>
  <c r="N1073" i="1"/>
  <c r="N1222" i="1"/>
  <c r="N1349" i="1"/>
  <c r="N1496" i="1"/>
  <c r="N1669" i="1"/>
  <c r="N1813" i="1"/>
  <c r="N3" i="1"/>
  <c r="N29" i="1"/>
  <c r="N313" i="1"/>
  <c r="N563" i="1"/>
  <c r="N732" i="1"/>
  <c r="N899" i="1"/>
  <c r="N1068" i="1"/>
  <c r="N1205" i="1"/>
  <c r="N1350" i="1"/>
  <c r="N1506" i="1"/>
  <c r="N1670" i="1"/>
  <c r="N1814" i="1"/>
  <c r="N4" i="1"/>
  <c r="N30" i="1"/>
  <c r="N308" i="1"/>
  <c r="N564" i="1"/>
  <c r="N733" i="1"/>
  <c r="N900" i="1"/>
  <c r="N1069" i="1"/>
  <c r="N1206" i="1"/>
  <c r="N1351" i="1"/>
  <c r="N1507" i="1"/>
  <c r="N1665" i="1"/>
  <c r="N1815" i="1"/>
  <c r="N5" i="1"/>
  <c r="N31" i="1"/>
  <c r="N309" i="1"/>
  <c r="N565" i="1"/>
  <c r="N734" i="1"/>
  <c r="N901" i="1"/>
  <c r="N1070" i="1"/>
  <c r="N1223" i="1"/>
  <c r="N1352" i="1"/>
  <c r="N1497" i="1"/>
  <c r="N1671" i="1"/>
  <c r="N1805" i="1"/>
  <c r="N6" i="1"/>
  <c r="N32" i="1"/>
  <c r="N310" i="1"/>
  <c r="N566" i="1"/>
  <c r="N735" i="1"/>
  <c r="N902" i="1"/>
  <c r="N1071" i="1"/>
  <c r="N1224" i="1"/>
  <c r="N1341" i="1"/>
  <c r="N1498" i="1"/>
  <c r="N1672" i="1"/>
  <c r="N1806" i="1"/>
  <c r="N7" i="1"/>
  <c r="N33" i="1"/>
  <c r="N314" i="1"/>
  <c r="N567" i="1"/>
  <c r="N736" i="1"/>
  <c r="N903" i="1"/>
  <c r="N1060" i="1"/>
  <c r="N1207" i="1"/>
  <c r="N1353" i="1"/>
  <c r="N1499" i="1"/>
  <c r="N1673" i="1"/>
  <c r="N1807" i="1"/>
  <c r="N8" i="1"/>
  <c r="N34" i="1"/>
  <c r="N315" i="1"/>
  <c r="N569" i="1"/>
  <c r="N724" i="1"/>
  <c r="N904" i="1"/>
  <c r="N1061" i="1"/>
  <c r="N1200" i="1"/>
  <c r="N1342" i="1"/>
  <c r="N1500" i="1"/>
  <c r="N1674" i="1"/>
  <c r="N1808" i="1"/>
  <c r="N9" i="1"/>
  <c r="N35" i="1"/>
  <c r="N311" i="1"/>
  <c r="N568" i="1"/>
  <c r="N737" i="1"/>
  <c r="N905" i="1"/>
  <c r="N1072" i="1"/>
  <c r="N1208" i="1"/>
  <c r="N1340" i="1"/>
  <c r="N1495" i="1"/>
  <c r="N1666" i="1"/>
  <c r="N1809" i="1"/>
  <c r="N405" i="1"/>
  <c r="N626" i="1"/>
  <c r="N823" i="1"/>
  <c r="N1019" i="1"/>
  <c r="N1189" i="1"/>
  <c r="N1375" i="1"/>
  <c r="N1514" i="1"/>
  <c r="N1692" i="1"/>
  <c r="N1916" i="1"/>
  <c r="N2045" i="1"/>
  <c r="N219" i="1"/>
  <c r="N406" i="1"/>
  <c r="N627" i="1"/>
  <c r="N824" i="1"/>
  <c r="N1020" i="1"/>
  <c r="N1190" i="1"/>
  <c r="N1376" i="1"/>
  <c r="N1508" i="1"/>
  <c r="N1693" i="1"/>
  <c r="N1917" i="1"/>
  <c r="N2046" i="1"/>
  <c r="N407" i="1"/>
  <c r="N628" i="1"/>
  <c r="N825" i="1"/>
  <c r="N1021" i="1"/>
  <c r="N1191" i="1"/>
  <c r="N1377" i="1"/>
  <c r="N1509" i="1"/>
  <c r="N1700" i="1"/>
  <c r="N1918" i="1"/>
  <c r="N2047" i="1"/>
  <c r="N223" i="1"/>
  <c r="N408" i="1"/>
  <c r="N629" i="1"/>
  <c r="N826" i="1"/>
  <c r="N1022" i="1"/>
  <c r="N1198" i="1"/>
  <c r="N1378" i="1"/>
  <c r="N1520" i="1"/>
  <c r="N1701" i="1"/>
  <c r="N1914" i="1"/>
  <c r="N2048" i="1"/>
  <c r="N3515" i="1"/>
  <c r="N3516" i="1"/>
  <c r="N409" i="1"/>
  <c r="N630" i="1"/>
  <c r="N827" i="1"/>
  <c r="N1023" i="1"/>
  <c r="N1199" i="1"/>
  <c r="N1387" i="1"/>
  <c r="N1521" i="1"/>
  <c r="N1690" i="1"/>
  <c r="N1915" i="1"/>
  <c r="N2067" i="1"/>
  <c r="N10" i="1"/>
  <c r="N56" i="1"/>
  <c r="N410" i="1"/>
  <c r="N638" i="1"/>
  <c r="N828" i="1"/>
  <c r="N1024" i="1"/>
  <c r="N1192" i="1"/>
  <c r="N1379" i="1"/>
  <c r="N1515" i="1"/>
  <c r="N1702" i="1"/>
  <c r="N1927" i="1"/>
  <c r="N2054" i="1"/>
  <c r="N16" i="1"/>
  <c r="N57" i="1"/>
  <c r="N411" i="1"/>
  <c r="N631" i="1"/>
  <c r="N829" i="1"/>
  <c r="N1031" i="1"/>
  <c r="N1193" i="1"/>
  <c r="N1388" i="1"/>
  <c r="N1516" i="1"/>
  <c r="N1703" i="1"/>
  <c r="N1919" i="1"/>
  <c r="N2049" i="1"/>
  <c r="N17" i="1"/>
  <c r="N58" i="1"/>
  <c r="N412" i="1"/>
  <c r="N632" i="1"/>
  <c r="N835" i="1"/>
  <c r="N1025" i="1"/>
  <c r="N1194" i="1"/>
  <c r="N1380" i="1"/>
  <c r="N1517" i="1"/>
  <c r="N1691" i="1"/>
  <c r="N1920" i="1"/>
  <c r="N2040" i="1"/>
  <c r="N11" i="1"/>
  <c r="N59" i="1"/>
  <c r="N401" i="1"/>
  <c r="N639" i="1"/>
  <c r="N830" i="1"/>
  <c r="N1026" i="1"/>
  <c r="N1195" i="1"/>
  <c r="N1381" i="1"/>
  <c r="N1510" i="1"/>
  <c r="N1694" i="1"/>
  <c r="N1921" i="1"/>
  <c r="N2041" i="1"/>
  <c r="N18" i="1"/>
  <c r="N60" i="1"/>
  <c r="N402" i="1"/>
  <c r="N633" i="1"/>
  <c r="N831" i="1"/>
  <c r="N1027" i="1"/>
  <c r="N1196" i="1"/>
  <c r="N1368" i="1"/>
  <c r="N1518" i="1"/>
  <c r="N1695" i="1"/>
  <c r="N1922" i="1"/>
  <c r="N2042" i="1"/>
  <c r="N12" i="1"/>
  <c r="N61" i="1"/>
  <c r="N403" i="1"/>
  <c r="N634" i="1"/>
  <c r="N832" i="1"/>
  <c r="N1028" i="1"/>
  <c r="N1187" i="1"/>
  <c r="N1382" i="1"/>
  <c r="N1519" i="1"/>
  <c r="N1696" i="1"/>
  <c r="N1923" i="1"/>
  <c r="N2043" i="1"/>
  <c r="N13" i="1"/>
  <c r="N62" i="1"/>
  <c r="N413" i="1"/>
  <c r="N635" i="1"/>
  <c r="N822" i="1"/>
  <c r="N1018" i="1"/>
  <c r="N1186" i="1"/>
  <c r="N1369" i="1"/>
  <c r="N1511" i="1"/>
  <c r="N1697" i="1"/>
  <c r="N1924" i="1"/>
  <c r="N2044" i="1"/>
  <c r="N14" i="1"/>
  <c r="N63" i="1"/>
  <c r="N414" i="1"/>
  <c r="N636" i="1"/>
  <c r="N833" i="1"/>
  <c r="N1029" i="1"/>
  <c r="N1188" i="1"/>
  <c r="N1370" i="1"/>
  <c r="N1512" i="1"/>
  <c r="N1698" i="1"/>
  <c r="N1925" i="1"/>
  <c r="N2050" i="1"/>
  <c r="N15" i="1"/>
  <c r="N64" i="1"/>
  <c r="N404" i="1"/>
  <c r="N637" i="1"/>
  <c r="N834" i="1"/>
  <c r="N1030" i="1"/>
  <c r="N1197" i="1"/>
  <c r="N1371" i="1"/>
  <c r="N1513" i="1"/>
  <c r="N1699" i="1"/>
  <c r="N1926" i="1"/>
  <c r="N2051" i="1"/>
  <c r="N3517" i="1"/>
  <c r="N3518" i="1"/>
  <c r="N501" i="1"/>
  <c r="N746" i="1"/>
  <c r="N949" i="1"/>
  <c r="N1167" i="1"/>
  <c r="N1389" i="1"/>
  <c r="N1601" i="1"/>
  <c r="N1776" i="1"/>
  <c r="N1958" i="1"/>
  <c r="N2205" i="1"/>
  <c r="N2286" i="1"/>
  <c r="N3519" i="1"/>
  <c r="N3520" i="1"/>
  <c r="N512" i="1"/>
  <c r="N747" i="1"/>
  <c r="N950" i="1"/>
  <c r="N1160" i="1"/>
  <c r="N1383" i="1"/>
  <c r="N1602" i="1"/>
  <c r="N1777" i="1"/>
  <c r="N1959" i="1"/>
  <c r="N2199" i="1"/>
  <c r="N2287" i="1"/>
  <c r="N3521" i="1"/>
  <c r="N3522" i="1"/>
  <c r="N513" i="1"/>
  <c r="N748" i="1"/>
  <c r="N951" i="1"/>
  <c r="N1170" i="1"/>
  <c r="N1390" i="1"/>
  <c r="N1592" i="1"/>
  <c r="N1778" i="1"/>
  <c r="N1968" i="1"/>
  <c r="N2194" i="1"/>
  <c r="N2288" i="1"/>
  <c r="N3523" i="1"/>
  <c r="N3524" i="1"/>
  <c r="N502" i="1"/>
  <c r="N749" i="1"/>
  <c r="N952" i="1"/>
  <c r="N1161" i="1"/>
  <c r="N1391" i="1"/>
  <c r="N1604" i="1"/>
  <c r="N1773" i="1"/>
  <c r="N1969" i="1"/>
  <c r="N2206" i="1"/>
  <c r="N2289" i="1"/>
  <c r="N3525" i="1"/>
  <c r="N96" i="1"/>
  <c r="N503" i="1"/>
  <c r="N750" i="1"/>
  <c r="N953" i="1"/>
  <c r="N1171" i="1"/>
  <c r="N1392" i="1"/>
  <c r="N1605" i="1"/>
  <c r="N1786" i="1"/>
  <c r="N1960" i="1"/>
  <c r="N2200" i="1"/>
  <c r="N2278" i="1"/>
  <c r="N37" i="1"/>
  <c r="N104" i="1"/>
  <c r="N504" i="1"/>
  <c r="N738" i="1"/>
  <c r="N954" i="1"/>
  <c r="N1168" i="1"/>
  <c r="N1393" i="1"/>
  <c r="N1593" i="1"/>
  <c r="N1787" i="1"/>
  <c r="N1961" i="1"/>
  <c r="N2207" i="1"/>
  <c r="N2290" i="1"/>
  <c r="N38" i="1"/>
  <c r="N97" i="1"/>
  <c r="N505" i="1"/>
  <c r="N739" i="1"/>
  <c r="N959" i="1"/>
  <c r="N1162" i="1"/>
  <c r="N1384" i="1"/>
  <c r="N1603" i="1"/>
  <c r="N1779" i="1"/>
  <c r="N1962" i="1"/>
  <c r="N2201" i="1"/>
  <c r="N2291" i="1"/>
  <c r="N43" i="1"/>
  <c r="N98" i="1"/>
  <c r="N506" i="1"/>
  <c r="N751" i="1"/>
  <c r="N960" i="1"/>
  <c r="N1163" i="1"/>
  <c r="N1394" i="1"/>
  <c r="N1594" i="1"/>
  <c r="N1780" i="1"/>
  <c r="N1956" i="1"/>
  <c r="N2195" i="1"/>
  <c r="N2279" i="1"/>
  <c r="N39" i="1"/>
  <c r="N99" i="1"/>
  <c r="N507" i="1"/>
  <c r="N740" i="1"/>
  <c r="N955" i="1"/>
  <c r="N1169" i="1"/>
  <c r="N1395" i="1"/>
  <c r="N1597" i="1"/>
  <c r="N1781" i="1"/>
  <c r="N1957" i="1"/>
  <c r="N2196" i="1"/>
  <c r="N2280" i="1"/>
  <c r="N44" i="1"/>
  <c r="N100" i="1"/>
  <c r="N508" i="1"/>
  <c r="N741" i="1"/>
  <c r="N961" i="1"/>
  <c r="N1164" i="1"/>
  <c r="N1385" i="1"/>
  <c r="N1598" i="1"/>
  <c r="N1782" i="1"/>
  <c r="N1963" i="1"/>
  <c r="N2197" i="1"/>
  <c r="N2281" i="1"/>
  <c r="N40" i="1"/>
  <c r="N101" i="1"/>
  <c r="N509" i="1"/>
  <c r="N742" i="1"/>
  <c r="N948" i="1"/>
  <c r="N1158" i="1"/>
  <c r="N1372" i="1"/>
  <c r="N1599" i="1"/>
  <c r="N1783" i="1"/>
  <c r="N1964" i="1"/>
  <c r="N2198" i="1"/>
  <c r="N2282" i="1"/>
  <c r="N41" i="1"/>
  <c r="N102" i="1"/>
  <c r="N510" i="1"/>
  <c r="N743" i="1"/>
  <c r="N956" i="1"/>
  <c r="N1165" i="1"/>
  <c r="N1373" i="1"/>
  <c r="N1595" i="1"/>
  <c r="N1784" i="1"/>
  <c r="N1965" i="1"/>
  <c r="N2202" i="1"/>
  <c r="N2283" i="1"/>
  <c r="N42" i="1"/>
  <c r="N103" i="1"/>
  <c r="N500" i="1"/>
  <c r="N744" i="1"/>
  <c r="N957" i="1"/>
  <c r="N1166" i="1"/>
  <c r="N1374" i="1"/>
  <c r="N1596" i="1"/>
  <c r="N1774" i="1"/>
  <c r="N1966" i="1"/>
  <c r="N2203" i="1"/>
  <c r="N2284" i="1"/>
  <c r="N45" i="1"/>
  <c r="N105" i="1"/>
  <c r="N511" i="1"/>
  <c r="N745" i="1"/>
  <c r="N958" i="1"/>
  <c r="N1159" i="1"/>
  <c r="N1386" i="1"/>
  <c r="N1600" i="1"/>
  <c r="N1785" i="1"/>
  <c r="N1967" i="1"/>
  <c r="N2204" i="1"/>
  <c r="N2285" i="1"/>
  <c r="N3526" i="1"/>
  <c r="N175" i="1"/>
  <c r="N584" i="1"/>
  <c r="N853" i="1"/>
  <c r="N1091" i="1"/>
  <c r="N1316" i="1"/>
  <c r="N1612" i="1"/>
  <c r="N1831" i="1"/>
  <c r="N2034" i="1"/>
  <c r="N2247" i="1"/>
  <c r="N2453" i="1"/>
  <c r="N2566" i="1"/>
  <c r="N3527" i="1"/>
  <c r="N176" i="1"/>
  <c r="N585" i="1"/>
  <c r="N854" i="1"/>
  <c r="N1092" i="1"/>
  <c r="N1317" i="1"/>
  <c r="N1613" i="1"/>
  <c r="N1830" i="1"/>
  <c r="N2026" i="1"/>
  <c r="N2248" i="1"/>
  <c r="N2454" i="1"/>
  <c r="N2571" i="1"/>
  <c r="N3528" i="1"/>
  <c r="N177" i="1"/>
  <c r="N586" i="1"/>
  <c r="N855" i="1"/>
  <c r="N1093" i="1"/>
  <c r="N1318" i="1"/>
  <c r="N1607" i="1"/>
  <c r="N1839" i="1"/>
  <c r="N2035" i="1"/>
  <c r="N2241" i="1"/>
  <c r="N2459" i="1"/>
  <c r="N2567" i="1"/>
  <c r="N3529" i="1"/>
  <c r="N178" i="1"/>
  <c r="N587" i="1"/>
  <c r="N856" i="1"/>
  <c r="N1094" i="1"/>
  <c r="N1319" i="1"/>
  <c r="N1619" i="1"/>
  <c r="N1832" i="1"/>
  <c r="N2036" i="1"/>
  <c r="N2242" i="1"/>
  <c r="N2455" i="1"/>
  <c r="N2568" i="1"/>
  <c r="N77" i="1"/>
  <c r="N179" i="1"/>
  <c r="N588" i="1"/>
  <c r="N857" i="1"/>
  <c r="N1095" i="1"/>
  <c r="N1320" i="1"/>
  <c r="N1618" i="1"/>
  <c r="N1840" i="1"/>
  <c r="N2039" i="1"/>
  <c r="N2243" i="1"/>
  <c r="N2451" i="1"/>
  <c r="N2559" i="1"/>
  <c r="N78" i="1"/>
  <c r="N180" i="1"/>
  <c r="N595" i="1"/>
  <c r="N858" i="1"/>
  <c r="N1096" i="1"/>
  <c r="N1321" i="1"/>
  <c r="N1614" i="1"/>
  <c r="N1841" i="1"/>
  <c r="N2027" i="1"/>
  <c r="N2249" i="1"/>
  <c r="N2456" i="1"/>
  <c r="N2563" i="1"/>
  <c r="N79" i="1"/>
  <c r="N181" i="1"/>
  <c r="N589" i="1"/>
  <c r="N859" i="1"/>
  <c r="N1088" i="1"/>
  <c r="N1322" i="1"/>
  <c r="N1615" i="1"/>
  <c r="N1842" i="1"/>
  <c r="N2037" i="1"/>
  <c r="N2244" i="1"/>
  <c r="N2457" i="1"/>
  <c r="N2564" i="1"/>
  <c r="N80" i="1"/>
  <c r="N187" i="1"/>
  <c r="N596" i="1"/>
  <c r="N850" i="1"/>
  <c r="N1097" i="1"/>
  <c r="N1323" i="1"/>
  <c r="N1608" i="1"/>
  <c r="N1833" i="1"/>
  <c r="N2028" i="1"/>
  <c r="N2237" i="1"/>
  <c r="N2452" i="1"/>
  <c r="N2569" i="1"/>
  <c r="N81" i="1"/>
  <c r="N188" i="1"/>
  <c r="N590" i="1"/>
  <c r="N860" i="1"/>
  <c r="N1098" i="1"/>
  <c r="N1313" i="1"/>
  <c r="N1616" i="1"/>
  <c r="N1834" i="1"/>
  <c r="N2029" i="1"/>
  <c r="N2238" i="1"/>
  <c r="N2447" i="1"/>
  <c r="N2565" i="1"/>
  <c r="N82" i="1"/>
  <c r="N182" i="1"/>
  <c r="N591" i="1"/>
  <c r="N861" i="1"/>
  <c r="N1089" i="1"/>
  <c r="N1314" i="1"/>
  <c r="N1609" i="1"/>
  <c r="N1835" i="1"/>
  <c r="N2030" i="1"/>
  <c r="N2236" i="1"/>
  <c r="N2448" i="1"/>
  <c r="N2560" i="1"/>
  <c r="N75" i="1"/>
  <c r="N174" i="1"/>
  <c r="N592" i="1"/>
  <c r="N862" i="1"/>
  <c r="N1099" i="1"/>
  <c r="N1312" i="1"/>
  <c r="N1610" i="1"/>
  <c r="N1836" i="1"/>
  <c r="N2031" i="1"/>
  <c r="N2239" i="1"/>
  <c r="N2446" i="1"/>
  <c r="N2561" i="1"/>
  <c r="N83" i="1"/>
  <c r="N183" i="1"/>
  <c r="N593" i="1"/>
  <c r="N863" i="1"/>
  <c r="N1100" i="1"/>
  <c r="N1324" i="1"/>
  <c r="N1606" i="1"/>
  <c r="N1837" i="1"/>
  <c r="N2032" i="1"/>
  <c r="N2240" i="1"/>
  <c r="N2449" i="1"/>
  <c r="N2562" i="1"/>
  <c r="N84" i="1"/>
  <c r="N189" i="1"/>
  <c r="N594" i="1"/>
  <c r="N851" i="1"/>
  <c r="N1090" i="1"/>
  <c r="N1315" i="1"/>
  <c r="N1611" i="1"/>
  <c r="N1838" i="1"/>
  <c r="N2033" i="1"/>
  <c r="N2245" i="1"/>
  <c r="N2450" i="1"/>
  <c r="N2558" i="1"/>
  <c r="N85" i="1"/>
  <c r="N184" i="1"/>
  <c r="N597" i="1"/>
  <c r="N852" i="1"/>
  <c r="N1101" i="1"/>
  <c r="N1325" i="1"/>
  <c r="N1617" i="1"/>
  <c r="N1843" i="1"/>
  <c r="N2038" i="1"/>
  <c r="N2246" i="1"/>
  <c r="N2458" i="1"/>
  <c r="N2570" i="1"/>
  <c r="N161" i="1"/>
  <c r="N299" i="1"/>
  <c r="N696" i="1"/>
  <c r="N1010" i="1"/>
  <c r="N1280" i="1"/>
  <c r="N1549" i="1"/>
  <c r="N1901" i="1"/>
  <c r="N2131" i="1"/>
  <c r="N2345" i="1"/>
  <c r="N2531" i="1"/>
  <c r="N2715" i="1"/>
  <c r="N2840" i="1"/>
  <c r="N162" i="1"/>
  <c r="N289" i="1"/>
  <c r="N697" i="1"/>
  <c r="N1011" i="1"/>
  <c r="N1272" i="1"/>
  <c r="N1556" i="1"/>
  <c r="N1900" i="1"/>
  <c r="N2128" i="1"/>
  <c r="N2334" i="1"/>
  <c r="N2542" i="1"/>
  <c r="N2712" i="1"/>
  <c r="N2841" i="1"/>
  <c r="N163" i="1"/>
  <c r="N300" i="1"/>
  <c r="N698" i="1"/>
  <c r="N1012" i="1"/>
  <c r="N1281" i="1"/>
  <c r="N1561" i="1"/>
  <c r="N1909" i="1"/>
  <c r="N2132" i="1"/>
  <c r="N2346" i="1"/>
  <c r="N2534" i="1"/>
  <c r="N2725" i="1"/>
  <c r="N2845" i="1"/>
  <c r="N164" i="1"/>
  <c r="N290" i="1"/>
  <c r="N699" i="1"/>
  <c r="N1013" i="1"/>
  <c r="N1282" i="1"/>
  <c r="N1562" i="1"/>
  <c r="N1905" i="1"/>
  <c r="N2133" i="1"/>
  <c r="N2347" i="1"/>
  <c r="N2535" i="1"/>
  <c r="N2716" i="1"/>
  <c r="N2849" i="1"/>
  <c r="N165" i="1"/>
  <c r="N291" i="1"/>
  <c r="N708" i="1"/>
  <c r="N1004" i="1"/>
  <c r="N1273" i="1"/>
  <c r="N1557" i="1"/>
  <c r="N1910" i="1"/>
  <c r="N2141" i="1"/>
  <c r="N2339" i="1"/>
  <c r="N2536" i="1"/>
  <c r="N2717" i="1"/>
  <c r="N2850" i="1"/>
  <c r="N166" i="1"/>
  <c r="N301" i="1"/>
  <c r="N700" i="1"/>
  <c r="N1014" i="1"/>
  <c r="N1283" i="1"/>
  <c r="N1558" i="1"/>
  <c r="N1906" i="1"/>
  <c r="N2134" i="1"/>
  <c r="N2335" i="1"/>
  <c r="N2537" i="1"/>
  <c r="N2718" i="1"/>
  <c r="N2851" i="1"/>
  <c r="N167" i="1"/>
  <c r="N292" i="1"/>
  <c r="N701" i="1"/>
  <c r="N1005" i="1"/>
  <c r="N1274" i="1"/>
  <c r="N1550" i="1"/>
  <c r="N1907" i="1"/>
  <c r="N2129" i="1"/>
  <c r="N2340" i="1"/>
  <c r="N2543" i="1"/>
  <c r="N2719" i="1"/>
  <c r="N2846" i="1"/>
  <c r="N168" i="1"/>
  <c r="N293" i="1"/>
  <c r="N702" i="1"/>
  <c r="N1015" i="1"/>
  <c r="N1275" i="1"/>
  <c r="N1553" i="1"/>
  <c r="N1902" i="1"/>
  <c r="N2126" i="1"/>
  <c r="N2341" i="1"/>
  <c r="N2538" i="1"/>
  <c r="N2724" i="1"/>
  <c r="N2842" i="1"/>
  <c r="N169" i="1"/>
  <c r="N294" i="1"/>
  <c r="N709" i="1"/>
  <c r="N1016" i="1"/>
  <c r="N1270" i="1"/>
  <c r="N1554" i="1"/>
  <c r="N1903" i="1"/>
  <c r="N2124" i="1"/>
  <c r="N2337" i="1"/>
  <c r="N2533" i="1"/>
  <c r="N2720" i="1"/>
  <c r="N2847" i="1"/>
  <c r="N170" i="1"/>
  <c r="N276" i="1"/>
  <c r="N703" i="1"/>
  <c r="N1006" i="1"/>
  <c r="N1276" i="1"/>
  <c r="N1551" i="1"/>
  <c r="N1904" i="1"/>
  <c r="N2127" i="1"/>
  <c r="N2336" i="1"/>
  <c r="N2539" i="1"/>
  <c r="N2721" i="1"/>
  <c r="N2843" i="1"/>
  <c r="N171" i="1"/>
  <c r="N295" i="1"/>
  <c r="N704" i="1"/>
  <c r="N1007" i="1"/>
  <c r="N1277" i="1"/>
  <c r="N1559" i="1"/>
  <c r="N1911" i="1"/>
  <c r="N2125" i="1"/>
  <c r="N2338" i="1"/>
  <c r="N2540" i="1"/>
  <c r="N2722" i="1"/>
  <c r="N2844" i="1"/>
  <c r="N172" i="1"/>
  <c r="N296" i="1"/>
  <c r="N705" i="1"/>
  <c r="N1008" i="1"/>
  <c r="N1271" i="1"/>
  <c r="N1555" i="1"/>
  <c r="N1908" i="1"/>
  <c r="N2130" i="1"/>
  <c r="N2342" i="1"/>
  <c r="N2532" i="1"/>
  <c r="N2713" i="1"/>
  <c r="N2838" i="1"/>
  <c r="N173" i="1"/>
  <c r="N297" i="1"/>
  <c r="N706" i="1"/>
  <c r="N1009" i="1"/>
  <c r="N1278" i="1"/>
  <c r="N1563" i="1"/>
  <c r="N1912" i="1"/>
  <c r="N2135" i="1"/>
  <c r="N2343" i="1"/>
  <c r="N2541" i="1"/>
  <c r="N2723" i="1"/>
  <c r="N2839" i="1"/>
  <c r="N156" i="1"/>
  <c r="N298" i="1"/>
  <c r="N707" i="1"/>
  <c r="N1017" i="1"/>
  <c r="N1279" i="1"/>
  <c r="N1560" i="1"/>
  <c r="N1913" i="1"/>
  <c r="N2136" i="1"/>
  <c r="N2344" i="1"/>
  <c r="N2529" i="1"/>
  <c r="N2711" i="1"/>
  <c r="N2848" i="1"/>
  <c r="N239" i="1"/>
  <c r="N390" i="1"/>
  <c r="N816" i="1"/>
  <c r="N1156" i="1"/>
  <c r="N1482" i="1"/>
  <c r="N1844" i="1"/>
  <c r="N2186" i="1"/>
  <c r="N2411" i="1"/>
  <c r="N2649" i="1"/>
  <c r="N2784" i="1"/>
  <c r="N2967" i="1"/>
  <c r="N3085" i="1"/>
  <c r="N240" i="1"/>
  <c r="N391" i="1"/>
  <c r="N817" i="1"/>
  <c r="N1146" i="1"/>
  <c r="N1483" i="1"/>
  <c r="N1845" i="1"/>
  <c r="N2183" i="1"/>
  <c r="N2416" i="1"/>
  <c r="N2650" i="1"/>
  <c r="N2785" i="1"/>
  <c r="N2966" i="1"/>
  <c r="N3080" i="1"/>
  <c r="N241" i="1"/>
  <c r="N392" i="1"/>
  <c r="N818" i="1"/>
  <c r="N1147" i="1"/>
  <c r="N1484" i="1"/>
  <c r="N1848" i="1"/>
  <c r="N2187" i="1"/>
  <c r="N2412" i="1"/>
  <c r="N2644" i="1"/>
  <c r="N2795" i="1"/>
  <c r="N2968" i="1"/>
  <c r="N3074" i="1"/>
  <c r="N242" i="1"/>
  <c r="N393" i="1"/>
  <c r="N819" i="1"/>
  <c r="N1148" i="1"/>
  <c r="N1485" i="1"/>
  <c r="N1849" i="1"/>
  <c r="N2188" i="1"/>
  <c r="N2407" i="1"/>
  <c r="N2655" i="1"/>
  <c r="N2783" i="1"/>
  <c r="N2969" i="1"/>
  <c r="N3081" i="1"/>
  <c r="N243" i="1"/>
  <c r="N394" i="1"/>
  <c r="N820" i="1"/>
  <c r="N1157" i="1"/>
  <c r="N1486" i="1"/>
  <c r="N1853" i="1"/>
  <c r="N2193" i="1"/>
  <c r="N2408" i="1"/>
  <c r="N2651" i="1"/>
  <c r="N2782" i="1"/>
  <c r="N2970" i="1"/>
  <c r="N3075" i="1"/>
  <c r="N244" i="1"/>
  <c r="N395" i="1"/>
  <c r="N808" i="1"/>
  <c r="N1144" i="1"/>
  <c r="N1487" i="1"/>
  <c r="N1850" i="1"/>
  <c r="N2184" i="1"/>
  <c r="N2405" i="1"/>
  <c r="N2652" i="1"/>
  <c r="N2786" i="1"/>
  <c r="N2964" i="1"/>
  <c r="N3076" i="1"/>
  <c r="N245" i="1"/>
  <c r="N387" i="1"/>
  <c r="N809" i="1"/>
  <c r="N1149" i="1"/>
  <c r="N1488" i="1"/>
  <c r="N1846" i="1"/>
  <c r="N2179" i="1"/>
  <c r="N2413" i="1"/>
  <c r="N2645" i="1"/>
  <c r="N2787" i="1"/>
  <c r="N2971" i="1"/>
  <c r="N3073" i="1"/>
  <c r="N246" i="1"/>
  <c r="N396" i="1"/>
  <c r="N821" i="1"/>
  <c r="N1150" i="1"/>
  <c r="N1480" i="1"/>
  <c r="N1847" i="1"/>
  <c r="N2189" i="1"/>
  <c r="N2409" i="1"/>
  <c r="N2646" i="1"/>
  <c r="N2788" i="1"/>
  <c r="N2972" i="1"/>
  <c r="N3082" i="1"/>
  <c r="N247" i="1"/>
  <c r="N397" i="1"/>
  <c r="N810" i="1"/>
  <c r="N1151" i="1"/>
  <c r="N1489" i="1"/>
  <c r="N1854" i="1"/>
  <c r="N2180" i="1"/>
  <c r="N2410" i="1"/>
  <c r="N2647" i="1"/>
  <c r="N2789" i="1"/>
  <c r="N2973" i="1"/>
  <c r="N3077" i="1"/>
  <c r="N248" i="1"/>
  <c r="N398" i="1"/>
  <c r="N811" i="1"/>
  <c r="N1152" i="1"/>
  <c r="N1490" i="1"/>
  <c r="N1855" i="1"/>
  <c r="N2181" i="1"/>
  <c r="N2414" i="1"/>
  <c r="N2653" i="1"/>
  <c r="N2790" i="1"/>
  <c r="N2974" i="1"/>
  <c r="N3083" i="1"/>
  <c r="N249" i="1"/>
  <c r="N399" i="1"/>
  <c r="N812" i="1"/>
  <c r="N1153" i="1"/>
  <c r="N1481" i="1"/>
  <c r="N1851" i="1"/>
  <c r="N2185" i="1"/>
  <c r="N2406" i="1"/>
  <c r="N2643" i="1"/>
  <c r="N2793" i="1"/>
  <c r="N2965" i="1"/>
  <c r="N3078" i="1"/>
  <c r="N250" i="1"/>
  <c r="N400" i="1"/>
  <c r="N813" i="1"/>
  <c r="N1154" i="1"/>
  <c r="N1491" i="1"/>
  <c r="N1852" i="1"/>
  <c r="N2190" i="1"/>
  <c r="N2415" i="1"/>
  <c r="N2648" i="1"/>
  <c r="N2791" i="1"/>
  <c r="N2975" i="1"/>
  <c r="N3079" i="1"/>
  <c r="N238" i="1"/>
  <c r="N388" i="1"/>
  <c r="N814" i="1"/>
  <c r="N1155" i="1"/>
  <c r="N1492" i="1"/>
  <c r="N1857" i="1"/>
  <c r="N2191" i="1"/>
  <c r="N2404" i="1"/>
  <c r="N2654" i="1"/>
  <c r="N2792" i="1"/>
  <c r="N2976" i="1"/>
  <c r="N3084" i="1"/>
  <c r="N251" i="1"/>
  <c r="N389" i="1"/>
  <c r="N815" i="1"/>
  <c r="N1145" i="1"/>
  <c r="N1493" i="1"/>
  <c r="N1858" i="1"/>
  <c r="N2192" i="1"/>
  <c r="N2417" i="1"/>
  <c r="N2642" i="1"/>
  <c r="N2794" i="1"/>
  <c r="N2977" i="1"/>
  <c r="N3086" i="1"/>
  <c r="N345" i="1"/>
  <c r="N494" i="1"/>
  <c r="N935" i="1"/>
  <c r="N1357" i="1"/>
  <c r="N1748" i="1"/>
  <c r="N2169" i="1"/>
  <c r="N2478" i="1"/>
  <c r="N2689" i="1"/>
  <c r="N2911" i="1"/>
  <c r="N3041" i="1"/>
  <c r="N3165" i="1"/>
  <c r="N3242" i="1"/>
  <c r="N346" i="1"/>
  <c r="N495" i="1"/>
  <c r="N936" i="1"/>
  <c r="N1358" i="1"/>
  <c r="N1749" i="1"/>
  <c r="N2168" i="1"/>
  <c r="N2487" i="1"/>
  <c r="N2690" i="1"/>
  <c r="N2912" i="1"/>
  <c r="N3042" i="1"/>
  <c r="N3167" i="1"/>
  <c r="N3241" i="1"/>
  <c r="N347" i="1"/>
  <c r="N496" i="1"/>
  <c r="N937" i="1"/>
  <c r="N1359" i="1"/>
  <c r="N1750" i="1"/>
  <c r="N2173" i="1"/>
  <c r="N2479" i="1"/>
  <c r="N2691" i="1"/>
  <c r="N2921" i="1"/>
  <c r="N3033" i="1"/>
  <c r="N3169" i="1"/>
  <c r="N3249" i="1"/>
  <c r="N356" i="1"/>
  <c r="N497" i="1"/>
  <c r="N938" i="1"/>
  <c r="N1360" i="1"/>
  <c r="N1752" i="1"/>
  <c r="N2182" i="1"/>
  <c r="N2475" i="1"/>
  <c r="N2685" i="1"/>
  <c r="N2908" i="1"/>
  <c r="N3034" i="1"/>
  <c r="N3170" i="1"/>
  <c r="N3244" i="1"/>
  <c r="N357" i="1"/>
  <c r="N486" i="1"/>
  <c r="N939" i="1"/>
  <c r="N1367" i="1"/>
  <c r="N1753" i="1"/>
  <c r="N2170" i="1"/>
  <c r="N2480" i="1"/>
  <c r="N2699" i="1"/>
  <c r="N2909" i="1"/>
  <c r="N3035" i="1"/>
  <c r="N3177" i="1"/>
  <c r="N3254" i="1"/>
  <c r="N348" i="1"/>
  <c r="N487" i="1"/>
  <c r="N940" i="1"/>
  <c r="N1361" i="1"/>
  <c r="N1751" i="1"/>
  <c r="N2171" i="1"/>
  <c r="N2481" i="1"/>
  <c r="N2692" i="1"/>
  <c r="N2913" i="1"/>
  <c r="N3036" i="1"/>
  <c r="N3171" i="1"/>
  <c r="N3243" i="1"/>
  <c r="N349" i="1"/>
  <c r="N488" i="1"/>
  <c r="N941" i="1"/>
  <c r="N1362" i="1"/>
  <c r="N1746" i="1"/>
  <c r="N2166" i="1"/>
  <c r="N2482" i="1"/>
  <c r="N2684" i="1"/>
  <c r="N2914" i="1"/>
  <c r="N3045" i="1"/>
  <c r="N3172" i="1"/>
  <c r="N3245" i="1"/>
  <c r="N350" i="1"/>
  <c r="N498" i="1"/>
  <c r="N934" i="1"/>
  <c r="N1363" i="1"/>
  <c r="N1754" i="1"/>
  <c r="N2167" i="1"/>
  <c r="N2483" i="1"/>
  <c r="N2696" i="1"/>
  <c r="N2915" i="1"/>
  <c r="N3037" i="1"/>
  <c r="N3178" i="1"/>
  <c r="N3253" i="1"/>
  <c r="N358" i="1"/>
  <c r="N489" i="1"/>
  <c r="N942" i="1"/>
  <c r="N1354" i="1"/>
  <c r="N1755" i="1"/>
  <c r="N2174" i="1"/>
  <c r="N2474" i="1"/>
  <c r="N2686" i="1"/>
  <c r="N2916" i="1"/>
  <c r="N3044" i="1"/>
  <c r="N3173" i="1"/>
  <c r="N3246" i="1"/>
  <c r="N351" i="1"/>
  <c r="N490" i="1"/>
  <c r="N943" i="1"/>
  <c r="N1355" i="1"/>
  <c r="N1747" i="1"/>
  <c r="N2175" i="1"/>
  <c r="N2476" i="1"/>
  <c r="N2693" i="1"/>
  <c r="N2917" i="1"/>
  <c r="N3038" i="1"/>
  <c r="N3166" i="1"/>
  <c r="N3250" i="1"/>
  <c r="N352" i="1"/>
  <c r="N491" i="1"/>
  <c r="N944" i="1"/>
  <c r="N1364" i="1"/>
  <c r="N1756" i="1"/>
  <c r="N2172" i="1"/>
  <c r="N2484" i="1"/>
  <c r="N2687" i="1"/>
  <c r="N2918" i="1"/>
  <c r="N3039" i="1"/>
  <c r="N3174" i="1"/>
  <c r="N3251" i="1"/>
  <c r="N353" i="1"/>
  <c r="N492" i="1"/>
  <c r="N945" i="1"/>
  <c r="N1365" i="1"/>
  <c r="N1757" i="1"/>
  <c r="N2177" i="1"/>
  <c r="N2486" i="1"/>
  <c r="N2694" i="1"/>
  <c r="N2919" i="1"/>
  <c r="N3040" i="1"/>
  <c r="N3175" i="1"/>
  <c r="N3247" i="1"/>
  <c r="N354" i="1"/>
  <c r="N499" i="1"/>
  <c r="N946" i="1"/>
  <c r="N1366" i="1"/>
  <c r="N1758" i="1"/>
  <c r="N2178" i="1"/>
  <c r="N2485" i="1"/>
  <c r="N2695" i="1"/>
  <c r="N2920" i="1"/>
  <c r="N3043" i="1"/>
  <c r="N3168" i="1"/>
  <c r="N3252" i="1"/>
  <c r="N355" i="1"/>
  <c r="N493" i="1"/>
  <c r="N947" i="1"/>
  <c r="N1356" i="1"/>
  <c r="N1759" i="1"/>
  <c r="N2176" i="1"/>
  <c r="N2477" i="1"/>
  <c r="N2688" i="1"/>
  <c r="N2910" i="1"/>
  <c r="N3032" i="1"/>
  <c r="N3176" i="1"/>
  <c r="N3248" i="1"/>
  <c r="N127" i="1"/>
  <c r="J138" i="1"/>
  <c r="J270" i="1"/>
  <c r="J139" i="1"/>
  <c r="J264" i="1"/>
  <c r="J140" i="1"/>
  <c r="J265" i="1"/>
  <c r="J141" i="1"/>
  <c r="J145" i="1" s="1"/>
  <c r="J271" i="1"/>
  <c r="J275" i="1" s="1"/>
  <c r="J215" i="1"/>
  <c r="J216" i="1"/>
  <c r="J219" i="1" s="1"/>
  <c r="J217" i="1"/>
  <c r="J222" i="1"/>
  <c r="J223" i="1" s="1"/>
  <c r="J330" i="1"/>
  <c r="J464" i="1"/>
  <c r="J142" i="1"/>
  <c r="J274" i="1"/>
  <c r="J143" i="1"/>
  <c r="J266" i="1"/>
  <c r="J144" i="1"/>
  <c r="J267" i="1"/>
  <c r="J218" i="1"/>
  <c r="J118" i="1"/>
  <c r="J119" i="1"/>
  <c r="J220" i="1"/>
  <c r="J123" i="1"/>
  <c r="J120" i="1"/>
  <c r="C268" i="1"/>
  <c r="C670" i="1"/>
  <c r="C980" i="1"/>
  <c r="C1242" i="1"/>
  <c r="C1526" i="1"/>
  <c r="C1873" i="1"/>
  <c r="C2097" i="1"/>
  <c r="C2304" i="1"/>
  <c r="C2503" i="1"/>
  <c r="C2672" i="1"/>
  <c r="C2812" i="1"/>
  <c r="C128" i="1"/>
  <c r="C253" i="1"/>
  <c r="C671" i="1"/>
  <c r="C981" i="1"/>
  <c r="C1247" i="1"/>
  <c r="C1522" i="1"/>
  <c r="C1876" i="1"/>
  <c r="C2098" i="1"/>
  <c r="C2292" i="1"/>
  <c r="C2504" i="1"/>
  <c r="C2673" i="1"/>
  <c r="C2811" i="1"/>
  <c r="C129" i="1"/>
  <c r="C254" i="1"/>
  <c r="C680" i="1"/>
  <c r="C982" i="1"/>
  <c r="C1255" i="1"/>
  <c r="C1527" i="1"/>
  <c r="C1872" i="1"/>
  <c r="C2109" i="1"/>
  <c r="C2293" i="1"/>
  <c r="C2502" i="1"/>
  <c r="C2674" i="1"/>
  <c r="C2813" i="1"/>
  <c r="C130" i="1"/>
  <c r="C269" i="1"/>
  <c r="C681" i="1"/>
  <c r="C983" i="1"/>
  <c r="C1248" i="1"/>
  <c r="C1535" i="1"/>
  <c r="C1877" i="1"/>
  <c r="C2099" i="1"/>
  <c r="C2294" i="1"/>
  <c r="C2505" i="1"/>
  <c r="C2670" i="1"/>
  <c r="C2814" i="1"/>
  <c r="C131" i="1"/>
  <c r="C255" i="1"/>
  <c r="C672" i="1"/>
  <c r="C984" i="1"/>
  <c r="C1249" i="1"/>
  <c r="C1528" i="1"/>
  <c r="C1874" i="1"/>
  <c r="C2100" i="1"/>
  <c r="C2305" i="1"/>
  <c r="C2515" i="1"/>
  <c r="C2675" i="1"/>
  <c r="C2815" i="1"/>
  <c r="C132" i="1"/>
  <c r="C256" i="1"/>
  <c r="C673" i="1"/>
  <c r="C989" i="1"/>
  <c r="C1250" i="1"/>
  <c r="C1529" i="1"/>
  <c r="C1875" i="1"/>
  <c r="C2096" i="1"/>
  <c r="C2295" i="1"/>
  <c r="C2514" i="1"/>
  <c r="C2671" i="1"/>
  <c r="C2816" i="1"/>
  <c r="C133" i="1"/>
  <c r="C257" i="1"/>
  <c r="C674" i="1"/>
  <c r="C985" i="1"/>
  <c r="C1251" i="1"/>
  <c r="C1523" i="1"/>
  <c r="C1878" i="1"/>
  <c r="C2101" i="1"/>
  <c r="C2296" i="1"/>
  <c r="C2506" i="1"/>
  <c r="C2676" i="1"/>
  <c r="C2817" i="1"/>
  <c r="C134" i="1"/>
  <c r="C258" i="1"/>
  <c r="C675" i="1"/>
  <c r="C986" i="1"/>
  <c r="C1252" i="1"/>
  <c r="C1524" i="1"/>
  <c r="C1879" i="1"/>
  <c r="C2102" i="1"/>
  <c r="C2297" i="1"/>
  <c r="C2507" i="1"/>
  <c r="C2677" i="1"/>
  <c r="C2823" i="1"/>
  <c r="C135" i="1"/>
  <c r="C259" i="1"/>
  <c r="C676" i="1"/>
  <c r="C987" i="1"/>
  <c r="C1243" i="1"/>
  <c r="C1530" i="1"/>
  <c r="C1880" i="1"/>
  <c r="C2103" i="1"/>
  <c r="C2298" i="1"/>
  <c r="C2508" i="1"/>
  <c r="C2678" i="1"/>
  <c r="C2810" i="1"/>
  <c r="C136" i="1"/>
  <c r="C260" i="1"/>
  <c r="C677" i="1"/>
  <c r="C976" i="1"/>
  <c r="C1253" i="1"/>
  <c r="C1531" i="1"/>
  <c r="C1881" i="1"/>
  <c r="C2104" i="1"/>
  <c r="C2299" i="1"/>
  <c r="C2509" i="1"/>
  <c r="C2679" i="1"/>
  <c r="C2818" i="1"/>
  <c r="C124" i="1"/>
  <c r="C261" i="1"/>
  <c r="C668" i="1"/>
  <c r="C977" i="1"/>
  <c r="C1244" i="1"/>
  <c r="C1532" i="1"/>
  <c r="C1882" i="1"/>
  <c r="C2105" i="1"/>
  <c r="C2300" i="1"/>
  <c r="C2510" i="1"/>
  <c r="C2680" i="1"/>
  <c r="C2819" i="1"/>
  <c r="C125" i="1"/>
  <c r="C262" i="1"/>
  <c r="C678" i="1"/>
  <c r="C978" i="1"/>
  <c r="C1245" i="1"/>
  <c r="C1525" i="1"/>
  <c r="C1883" i="1"/>
  <c r="C2106" i="1"/>
  <c r="C2301" i="1"/>
  <c r="C2511" i="1"/>
  <c r="C2681" i="1"/>
  <c r="C2820" i="1"/>
  <c r="C126" i="1"/>
  <c r="C263" i="1"/>
  <c r="C669" i="1"/>
  <c r="C979" i="1"/>
  <c r="C1246" i="1"/>
  <c r="C1533" i="1"/>
  <c r="C1884" i="1"/>
  <c r="C2107" i="1"/>
  <c r="C2302" i="1"/>
  <c r="C2512" i="1"/>
  <c r="C2682" i="1"/>
  <c r="C2821" i="1"/>
  <c r="C137" i="1"/>
  <c r="C252" i="1"/>
  <c r="C679" i="1"/>
  <c r="C988" i="1"/>
  <c r="C1254" i="1"/>
  <c r="C1534" i="1"/>
  <c r="C1885" i="1"/>
  <c r="C2108" i="1"/>
  <c r="C2303" i="1"/>
  <c r="C2513" i="1"/>
  <c r="C2683" i="1"/>
  <c r="C2822" i="1"/>
  <c r="C203" i="1"/>
  <c r="C369" i="1"/>
  <c r="C781" i="1"/>
  <c r="C1121" i="1"/>
  <c r="C1438" i="1"/>
  <c r="C1761" i="1"/>
  <c r="C2084" i="1"/>
  <c r="C2388" i="1"/>
  <c r="C2545" i="1"/>
  <c r="C2744" i="1"/>
  <c r="C2923" i="1"/>
  <c r="C3451" i="1"/>
  <c r="C204" i="1"/>
  <c r="C370" i="1"/>
  <c r="C782" i="1"/>
  <c r="C1122" i="1"/>
  <c r="C1445" i="1"/>
  <c r="C1762" i="1"/>
  <c r="C2085" i="1"/>
  <c r="C2365" i="1"/>
  <c r="C2546" i="1"/>
  <c r="C2745" i="1"/>
  <c r="C2924" i="1"/>
  <c r="C3023" i="1"/>
  <c r="C205" i="1"/>
  <c r="C371" i="1"/>
  <c r="C790" i="1"/>
  <c r="C1123" i="1"/>
  <c r="C1439" i="1"/>
  <c r="C1764" i="1"/>
  <c r="C2086" i="1"/>
  <c r="C2366" i="1"/>
  <c r="C2547" i="1"/>
  <c r="C2746" i="1"/>
  <c r="C2925" i="1"/>
  <c r="C3029" i="1"/>
  <c r="C221" i="1"/>
  <c r="C359" i="1"/>
  <c r="C791" i="1"/>
  <c r="C1129" i="1"/>
  <c r="C1446" i="1"/>
  <c r="C1765" i="1"/>
  <c r="C2082" i="1"/>
  <c r="C2367" i="1"/>
  <c r="C2552" i="1"/>
  <c r="C2741" i="1"/>
  <c r="C2926" i="1"/>
  <c r="C3021" i="1"/>
  <c r="C206" i="1"/>
  <c r="C360" i="1"/>
  <c r="C783" i="1"/>
  <c r="C1124" i="1"/>
  <c r="C1451" i="1"/>
  <c r="C1760" i="1"/>
  <c r="C2095" i="1"/>
  <c r="C2387" i="1"/>
  <c r="C2557" i="1"/>
  <c r="C2742" i="1"/>
  <c r="C2927" i="1"/>
  <c r="C3022" i="1"/>
  <c r="C207" i="1"/>
  <c r="C372" i="1"/>
  <c r="C784" i="1"/>
  <c r="C1125" i="1"/>
  <c r="C1447" i="1"/>
  <c r="C1763" i="1"/>
  <c r="C2087" i="1"/>
  <c r="C2362" i="1"/>
  <c r="C2553" i="1"/>
  <c r="C2743" i="1"/>
  <c r="C2928" i="1"/>
  <c r="C3030" i="1"/>
  <c r="C208" i="1"/>
  <c r="C361" i="1"/>
  <c r="C792" i="1"/>
  <c r="C1126" i="1"/>
  <c r="C1448" i="1"/>
  <c r="C1766" i="1"/>
  <c r="C2088" i="1"/>
  <c r="C2368" i="1"/>
  <c r="C2554" i="1"/>
  <c r="C2747" i="1"/>
  <c r="C2929" i="1"/>
  <c r="C3020" i="1"/>
  <c r="C209" i="1"/>
  <c r="C362" i="1"/>
  <c r="C785" i="1"/>
  <c r="C1127" i="1"/>
  <c r="C1440" i="1"/>
  <c r="C1767" i="1"/>
  <c r="C2089" i="1"/>
  <c r="C2369" i="1"/>
  <c r="C2548" i="1"/>
  <c r="C2748" i="1"/>
  <c r="C2935" i="1"/>
  <c r="C3024" i="1"/>
  <c r="C210" i="1"/>
  <c r="C363" i="1"/>
  <c r="C793" i="1"/>
  <c r="C1116" i="1"/>
  <c r="C1441" i="1"/>
  <c r="C1768" i="1"/>
  <c r="C2090" i="1"/>
  <c r="C2370" i="1"/>
  <c r="C2549" i="1"/>
  <c r="C2749" i="1"/>
  <c r="C2922" i="1"/>
  <c r="C3031" i="1"/>
  <c r="C211" i="1"/>
  <c r="C364" i="1"/>
  <c r="C786" i="1"/>
  <c r="C1117" i="1"/>
  <c r="C1442" i="1"/>
  <c r="C1769" i="1"/>
  <c r="C2091" i="1"/>
  <c r="C2371" i="1"/>
  <c r="C2550" i="1"/>
  <c r="C2750" i="1"/>
  <c r="C2930" i="1"/>
  <c r="C3019" i="1"/>
  <c r="C212" i="1"/>
  <c r="C365" i="1"/>
  <c r="C787" i="1"/>
  <c r="C1118" i="1"/>
  <c r="C1443" i="1"/>
  <c r="C1770" i="1"/>
  <c r="C2092" i="1"/>
  <c r="C2372" i="1"/>
  <c r="C2551" i="1"/>
  <c r="C2751" i="1"/>
  <c r="C2931" i="1"/>
  <c r="C3025" i="1"/>
  <c r="C202" i="1"/>
  <c r="C366" i="1"/>
  <c r="C780" i="1"/>
  <c r="C1119" i="1"/>
  <c r="C1444" i="1"/>
  <c r="C1771" i="1"/>
  <c r="C2093" i="1"/>
  <c r="C2373" i="1"/>
  <c r="C2555" i="1"/>
  <c r="C2752" i="1"/>
  <c r="C2932" i="1"/>
  <c r="C3026" i="1"/>
  <c r="C213" i="1"/>
  <c r="C367" i="1"/>
  <c r="C788" i="1"/>
  <c r="C1120" i="1"/>
  <c r="C1449" i="1"/>
  <c r="C1772" i="1"/>
  <c r="C2094" i="1"/>
  <c r="C2374" i="1"/>
  <c r="C2556" i="1"/>
  <c r="C2753" i="1"/>
  <c r="C2933" i="1"/>
  <c r="C3027" i="1"/>
  <c r="C214" i="1"/>
  <c r="C368" i="1"/>
  <c r="C789" i="1"/>
  <c r="C1128" i="1"/>
  <c r="C1450" i="1"/>
  <c r="C1775" i="1"/>
  <c r="C2081" i="1"/>
  <c r="C2364" i="1"/>
  <c r="C2544" i="1"/>
  <c r="C2740" i="1"/>
  <c r="C2934" i="1"/>
  <c r="C3028" i="1"/>
  <c r="C326" i="1"/>
  <c r="C453" i="1"/>
  <c r="C909" i="1"/>
  <c r="C1284" i="1"/>
  <c r="C1676" i="1"/>
  <c r="C2025" i="1"/>
  <c r="C2389" i="1"/>
  <c r="C2600" i="1"/>
  <c r="C2796" i="1"/>
  <c r="C2989" i="1"/>
  <c r="C3452" i="1"/>
  <c r="C3453" i="1"/>
  <c r="C327" i="1"/>
  <c r="C454" i="1"/>
  <c r="C910" i="1"/>
  <c r="C1289" i="1"/>
  <c r="C1677" i="1"/>
  <c r="C2016" i="1"/>
  <c r="C2375" i="1"/>
  <c r="C2602" i="1"/>
  <c r="C2798" i="1"/>
  <c r="C2990" i="1"/>
  <c r="C3454" i="1"/>
  <c r="C3185" i="1"/>
  <c r="C328" i="1"/>
  <c r="C455" i="1"/>
  <c r="C911" i="1"/>
  <c r="C1290" i="1"/>
  <c r="C1684" i="1"/>
  <c r="C2017" i="1"/>
  <c r="C2377" i="1"/>
  <c r="C2601" i="1"/>
  <c r="C2799" i="1"/>
  <c r="C2979" i="1"/>
  <c r="C3133" i="1"/>
  <c r="C3455" i="1"/>
  <c r="C317" i="1"/>
  <c r="C456" i="1"/>
  <c r="C912" i="1"/>
  <c r="C1291" i="1"/>
  <c r="C1678" i="1"/>
  <c r="C2018" i="1"/>
  <c r="C2376" i="1"/>
  <c r="C2603" i="1"/>
  <c r="C2797" i="1"/>
  <c r="C2980" i="1"/>
  <c r="C3129" i="1"/>
  <c r="C3188" i="1"/>
  <c r="C318" i="1"/>
  <c r="C470" i="1"/>
  <c r="C913" i="1"/>
  <c r="C1292" i="1"/>
  <c r="C1685" i="1"/>
  <c r="C2019" i="1"/>
  <c r="C2378" i="1"/>
  <c r="C2613" i="1"/>
  <c r="C2801" i="1"/>
  <c r="C2981" i="1"/>
  <c r="C3131" i="1"/>
  <c r="C3183" i="1"/>
  <c r="C319" i="1"/>
  <c r="C457" i="1"/>
  <c r="C914" i="1"/>
  <c r="C1293" i="1"/>
  <c r="C1679" i="1"/>
  <c r="C2012" i="1"/>
  <c r="C2379" i="1"/>
  <c r="C2612" i="1"/>
  <c r="C2802" i="1"/>
  <c r="C2982" i="1"/>
  <c r="C3138" i="1"/>
  <c r="C3189" i="1"/>
  <c r="C320" i="1"/>
  <c r="C458" i="1"/>
  <c r="C906" i="1"/>
  <c r="C1294" i="1"/>
  <c r="C1686" i="1"/>
  <c r="C2013" i="1"/>
  <c r="C2380" i="1"/>
  <c r="C2604" i="1"/>
  <c r="C2800" i="1"/>
  <c r="C2988" i="1"/>
  <c r="C3130" i="1"/>
  <c r="C3182" i="1"/>
  <c r="C329" i="1"/>
  <c r="C459" i="1"/>
  <c r="C915" i="1"/>
  <c r="C1297" i="1"/>
  <c r="C1687" i="1"/>
  <c r="C2014" i="1"/>
  <c r="C2381" i="1"/>
  <c r="C2605" i="1"/>
  <c r="C2803" i="1"/>
  <c r="C2991" i="1"/>
  <c r="C3137" i="1"/>
  <c r="C3181" i="1"/>
  <c r="C321" i="1"/>
  <c r="C460" i="1"/>
  <c r="C916" i="1"/>
  <c r="C1285" i="1"/>
  <c r="C1680" i="1"/>
  <c r="C2020" i="1"/>
  <c r="C2382" i="1"/>
  <c r="C2606" i="1"/>
  <c r="C2804" i="1"/>
  <c r="C2978" i="1"/>
  <c r="C3132" i="1"/>
  <c r="C3190" i="1"/>
  <c r="C316" i="1"/>
  <c r="C461" i="1"/>
  <c r="C907" i="1"/>
  <c r="C1286" i="1"/>
  <c r="C1681" i="1"/>
  <c r="C2021" i="1"/>
  <c r="C2383" i="1"/>
  <c r="C2607" i="1"/>
  <c r="C2805" i="1"/>
  <c r="C2983" i="1"/>
  <c r="C3127" i="1"/>
  <c r="C3184" i="1"/>
  <c r="C322" i="1"/>
  <c r="C462" i="1"/>
  <c r="C908" i="1"/>
  <c r="C1287" i="1"/>
  <c r="C1682" i="1"/>
  <c r="C2022" i="1"/>
  <c r="C2384" i="1"/>
  <c r="C2608" i="1"/>
  <c r="C2806" i="1"/>
  <c r="C2984" i="1"/>
  <c r="C3134" i="1"/>
  <c r="C3179" i="1"/>
  <c r="C323" i="1"/>
  <c r="C443" i="1"/>
  <c r="C917" i="1"/>
  <c r="C1295" i="1"/>
  <c r="C1688" i="1"/>
  <c r="C2023" i="1"/>
  <c r="C2385" i="1"/>
  <c r="C2609" i="1"/>
  <c r="C2807" i="1"/>
  <c r="C2985" i="1"/>
  <c r="C3135" i="1"/>
  <c r="C3186" i="1"/>
  <c r="C324" i="1"/>
  <c r="C471" i="1"/>
  <c r="C918" i="1"/>
  <c r="C1296" i="1"/>
  <c r="C1689" i="1"/>
  <c r="C2015" i="1"/>
  <c r="C2363" i="1"/>
  <c r="C2610" i="1"/>
  <c r="C2808" i="1"/>
  <c r="C2986" i="1"/>
  <c r="C3136" i="1"/>
  <c r="C3187" i="1"/>
  <c r="C325" i="1"/>
  <c r="C463" i="1"/>
  <c r="C919" i="1"/>
  <c r="C1288" i="1"/>
  <c r="C1683" i="1"/>
  <c r="C2024" i="1"/>
  <c r="C2386" i="1"/>
  <c r="C2611" i="1"/>
  <c r="C2809" i="1"/>
  <c r="C2987" i="1"/>
  <c r="C3128" i="1"/>
  <c r="C3180" i="1"/>
  <c r="C431" i="1"/>
  <c r="C544" i="1"/>
  <c r="C1056" i="1"/>
  <c r="C1470" i="1"/>
  <c r="C1946" i="1"/>
  <c r="C2275" i="1"/>
  <c r="C2629" i="1"/>
  <c r="C2865" i="1"/>
  <c r="C3456" i="1"/>
  <c r="C3457" i="1"/>
  <c r="C3458" i="1"/>
  <c r="C3459" i="1"/>
  <c r="C432" i="1"/>
  <c r="C545" i="1"/>
  <c r="C1057" i="1"/>
  <c r="C1476" i="1"/>
  <c r="C1947" i="1"/>
  <c r="C2265" i="1"/>
  <c r="C2630" i="1"/>
  <c r="C2855" i="1"/>
  <c r="C3007" i="1"/>
  <c r="C3460" i="1"/>
  <c r="C3461" i="1"/>
  <c r="C3313" i="1"/>
  <c r="C433" i="1"/>
  <c r="C546" i="1"/>
  <c r="C1049" i="1"/>
  <c r="C1477" i="1"/>
  <c r="C1944" i="1"/>
  <c r="C2276" i="1"/>
  <c r="C2628" i="1"/>
  <c r="C2857" i="1"/>
  <c r="C3005" i="1"/>
  <c r="C3161" i="1"/>
  <c r="C3462" i="1"/>
  <c r="C3463" i="1"/>
  <c r="C434" i="1"/>
  <c r="C547" i="1"/>
  <c r="C1050" i="1"/>
  <c r="C1478" i="1"/>
  <c r="C1948" i="1"/>
  <c r="C2266" i="1"/>
  <c r="C2631" i="1"/>
  <c r="C2853" i="1"/>
  <c r="C3018" i="1"/>
  <c r="C3154" i="1"/>
  <c r="C3263" i="1"/>
  <c r="C3464" i="1"/>
  <c r="C435" i="1"/>
  <c r="C555" i="1"/>
  <c r="C1058" i="1"/>
  <c r="C1466" i="1"/>
  <c r="C1945" i="1"/>
  <c r="C2277" i="1"/>
  <c r="C2641" i="1"/>
  <c r="C2852" i="1"/>
  <c r="C3010" i="1"/>
  <c r="C3156" i="1"/>
  <c r="C3258" i="1"/>
  <c r="C3307" i="1"/>
  <c r="C436" i="1"/>
  <c r="C548" i="1"/>
  <c r="C1046" i="1"/>
  <c r="C1467" i="1"/>
  <c r="C1949" i="1"/>
  <c r="C2267" i="1"/>
  <c r="C2632" i="1"/>
  <c r="C2864" i="1"/>
  <c r="C3004" i="1"/>
  <c r="C3163" i="1"/>
  <c r="C3264" i="1"/>
  <c r="C3304" i="1"/>
  <c r="C437" i="1"/>
  <c r="C549" i="1"/>
  <c r="C1059" i="1"/>
  <c r="C1468" i="1"/>
  <c r="C1950" i="1"/>
  <c r="C2268" i="1"/>
  <c r="C2633" i="1"/>
  <c r="C2854" i="1"/>
  <c r="C3017" i="1"/>
  <c r="C3157" i="1"/>
  <c r="C3259" i="1"/>
  <c r="C3314" i="1"/>
  <c r="C438" i="1"/>
  <c r="C550" i="1"/>
  <c r="C1051" i="1"/>
  <c r="C1471" i="1"/>
  <c r="C1951" i="1"/>
  <c r="C2269" i="1"/>
  <c r="C2634" i="1"/>
  <c r="C2858" i="1"/>
  <c r="C3008" i="1"/>
  <c r="C3164" i="1"/>
  <c r="C3257" i="1"/>
  <c r="C3305" i="1"/>
  <c r="C429" i="1"/>
  <c r="C542" i="1"/>
  <c r="C1052" i="1"/>
  <c r="C1472" i="1"/>
  <c r="C1952" i="1"/>
  <c r="C2270" i="1"/>
  <c r="C2635" i="1"/>
  <c r="C2859" i="1"/>
  <c r="C3012" i="1"/>
  <c r="C3155" i="1"/>
  <c r="C3265" i="1"/>
  <c r="C3308" i="1"/>
  <c r="C439" i="1"/>
  <c r="C551" i="1"/>
  <c r="C1047" i="1"/>
  <c r="C1473" i="1"/>
  <c r="C1953" i="1"/>
  <c r="C2271" i="1"/>
  <c r="C2636" i="1"/>
  <c r="C2860" i="1"/>
  <c r="C3013" i="1"/>
  <c r="C3158" i="1"/>
  <c r="C3256" i="1"/>
  <c r="C3306" i="1"/>
  <c r="C430" i="1"/>
  <c r="C543" i="1"/>
  <c r="C1053" i="1"/>
  <c r="C1474" i="1"/>
  <c r="C1954" i="1"/>
  <c r="C2272" i="1"/>
  <c r="C2637" i="1"/>
  <c r="C2861" i="1"/>
  <c r="C3014" i="1"/>
  <c r="C3159" i="1"/>
  <c r="C3260" i="1"/>
  <c r="C3312" i="1"/>
  <c r="C440" i="1"/>
  <c r="C552" i="1"/>
  <c r="C1048" i="1"/>
  <c r="C1469" i="1"/>
  <c r="C1942" i="1"/>
  <c r="C2273" i="1"/>
  <c r="C2638" i="1"/>
  <c r="C2862" i="1"/>
  <c r="C3015" i="1"/>
  <c r="C3160" i="1"/>
  <c r="C3261" i="1"/>
  <c r="C3309" i="1"/>
  <c r="C441" i="1"/>
  <c r="C553" i="1"/>
  <c r="C1054" i="1"/>
  <c r="C1475" i="1"/>
  <c r="C1955" i="1"/>
  <c r="C2274" i="1"/>
  <c r="C2639" i="1"/>
  <c r="C2863" i="1"/>
  <c r="C3009" i="1"/>
  <c r="C3153" i="1"/>
  <c r="C3262" i="1"/>
  <c r="C3310" i="1"/>
  <c r="C442" i="1"/>
  <c r="C554" i="1"/>
  <c r="C1055" i="1"/>
  <c r="C1479" i="1"/>
  <c r="C1943" i="1"/>
  <c r="C2264" i="1"/>
  <c r="C2640" i="1"/>
  <c r="C2856" i="1"/>
  <c r="C3016" i="1"/>
  <c r="C3162" i="1"/>
  <c r="C3255" i="1"/>
  <c r="C3311" i="1"/>
  <c r="C531" i="1"/>
  <c r="C642" i="1"/>
  <c r="C1209" i="1"/>
  <c r="C1707" i="1"/>
  <c r="C2231" i="1"/>
  <c r="C2574" i="1"/>
  <c r="C2892" i="1"/>
  <c r="C3465" i="1"/>
  <c r="C3466" i="1"/>
  <c r="C3285" i="1"/>
  <c r="C3467" i="1"/>
  <c r="C3375" i="1"/>
  <c r="C532" i="1"/>
  <c r="C653" i="1"/>
  <c r="C1210" i="1"/>
  <c r="C1713" i="1"/>
  <c r="C2222" i="1"/>
  <c r="C2575" i="1"/>
  <c r="C2880" i="1"/>
  <c r="C3062" i="1"/>
  <c r="C3468" i="1"/>
  <c r="C3282" i="1"/>
  <c r="C3358" i="1"/>
  <c r="C3376" i="1"/>
  <c r="C533" i="1"/>
  <c r="C643" i="1"/>
  <c r="C1225" i="1"/>
  <c r="C1717" i="1"/>
  <c r="C2223" i="1"/>
  <c r="C2572" i="1"/>
  <c r="C2882" i="1"/>
  <c r="C3063" i="1"/>
  <c r="C3469" i="1"/>
  <c r="C3470" i="1"/>
  <c r="C3471" i="1"/>
  <c r="C3472" i="1"/>
  <c r="C534" i="1"/>
  <c r="C644" i="1"/>
  <c r="C1211" i="1"/>
  <c r="C1704" i="1"/>
  <c r="C2235" i="1"/>
  <c r="C2584" i="1"/>
  <c r="C2883" i="1"/>
  <c r="C3064" i="1"/>
  <c r="C3193" i="1"/>
  <c r="C3473" i="1"/>
  <c r="C3474" i="1"/>
  <c r="C3372" i="1"/>
  <c r="C535" i="1"/>
  <c r="C645" i="1"/>
  <c r="C1212" i="1"/>
  <c r="C1705" i="1"/>
  <c r="C2232" i="1"/>
  <c r="C2585" i="1"/>
  <c r="C2881" i="1"/>
  <c r="C3061" i="1"/>
  <c r="C3194" i="1"/>
  <c r="C3279" i="1"/>
  <c r="C3475" i="1"/>
  <c r="C3476" i="1"/>
  <c r="C536" i="1"/>
  <c r="C646" i="1"/>
  <c r="C1213" i="1"/>
  <c r="C1714" i="1"/>
  <c r="C2224" i="1"/>
  <c r="C2576" i="1"/>
  <c r="C2891" i="1"/>
  <c r="C3065" i="1"/>
  <c r="C3192" i="1"/>
  <c r="C3290" i="1"/>
  <c r="C3351" i="1"/>
  <c r="C3477" i="1"/>
  <c r="C537" i="1"/>
  <c r="C647" i="1"/>
  <c r="C1214" i="1"/>
  <c r="C1708" i="1"/>
  <c r="C2225" i="1"/>
  <c r="C2577" i="1"/>
  <c r="C2884" i="1"/>
  <c r="C3072" i="1"/>
  <c r="C3195" i="1"/>
  <c r="C3284" i="1"/>
  <c r="C3359" i="1"/>
  <c r="C3377" i="1"/>
  <c r="C538" i="1"/>
  <c r="C640" i="1"/>
  <c r="C1201" i="1"/>
  <c r="C1709" i="1"/>
  <c r="C2226" i="1"/>
  <c r="C2578" i="1"/>
  <c r="C2885" i="1"/>
  <c r="C3066" i="1"/>
  <c r="C3201" i="1"/>
  <c r="C3280" i="1"/>
  <c r="C3350" i="1"/>
  <c r="C3371" i="1"/>
  <c r="C539" i="1"/>
  <c r="C648" i="1"/>
  <c r="C1202" i="1"/>
  <c r="C1710" i="1"/>
  <c r="C2227" i="1"/>
  <c r="C2579" i="1"/>
  <c r="C2886" i="1"/>
  <c r="C3067" i="1"/>
  <c r="C3196" i="1"/>
  <c r="C3283" i="1"/>
  <c r="C3354" i="1"/>
  <c r="C3378" i="1"/>
  <c r="C528" i="1"/>
  <c r="C641" i="1"/>
  <c r="C1203" i="1"/>
  <c r="C1711" i="1"/>
  <c r="C2228" i="1"/>
  <c r="C2580" i="1"/>
  <c r="C2887" i="1"/>
  <c r="C3068" i="1"/>
  <c r="C3197" i="1"/>
  <c r="C3286" i="1"/>
  <c r="C3355" i="1"/>
  <c r="C3381" i="1"/>
  <c r="C529" i="1"/>
  <c r="C649" i="1"/>
  <c r="C1215" i="1"/>
  <c r="C1715" i="1"/>
  <c r="C2233" i="1"/>
  <c r="C2583" i="1"/>
  <c r="C2888" i="1"/>
  <c r="C3069" i="1"/>
  <c r="C3198" i="1"/>
  <c r="C3287" i="1"/>
  <c r="C3356" i="1"/>
  <c r="C3373" i="1"/>
  <c r="C540" i="1"/>
  <c r="C650" i="1"/>
  <c r="C1204" i="1"/>
  <c r="C1712" i="1"/>
  <c r="C2229" i="1"/>
  <c r="C2581" i="1"/>
  <c r="C2893" i="1"/>
  <c r="C3060" i="1"/>
  <c r="C3199" i="1"/>
  <c r="C3288" i="1"/>
  <c r="C3357" i="1"/>
  <c r="C3379" i="1"/>
  <c r="C530" i="1"/>
  <c r="C651" i="1"/>
  <c r="C1216" i="1"/>
  <c r="C1716" i="1"/>
  <c r="C2230" i="1"/>
  <c r="C2582" i="1"/>
  <c r="C2889" i="1"/>
  <c r="C3070" i="1"/>
  <c r="C3191" i="1"/>
  <c r="C3289" i="1"/>
  <c r="C3353" i="1"/>
  <c r="C3380" i="1"/>
  <c r="C541" i="1"/>
  <c r="C652" i="1"/>
  <c r="C1217" i="1"/>
  <c r="C1706" i="1"/>
  <c r="C2234" i="1"/>
  <c r="C2573" i="1"/>
  <c r="C2890" i="1"/>
  <c r="C3071" i="1"/>
  <c r="C3200" i="1"/>
  <c r="C3281" i="1"/>
  <c r="C3352" i="1"/>
  <c r="C3374" i="1"/>
  <c r="C625" i="1"/>
  <c r="C766" i="1"/>
  <c r="C1428" i="1"/>
  <c r="C1986" i="1"/>
  <c r="C2490" i="1"/>
  <c r="C2878" i="1"/>
  <c r="C3478" i="1"/>
  <c r="C3234" i="1"/>
  <c r="C3479" i="1"/>
  <c r="C3369" i="1"/>
  <c r="C3393" i="1"/>
  <c r="C3423" i="1"/>
  <c r="C612" i="1"/>
  <c r="C767" i="1"/>
  <c r="C1429" i="1"/>
  <c r="C1984" i="1"/>
  <c r="C2501" i="1"/>
  <c r="C2869" i="1"/>
  <c r="C3102" i="1"/>
  <c r="C3480" i="1"/>
  <c r="C3481" i="1"/>
  <c r="C3482" i="1"/>
  <c r="C3394" i="1"/>
  <c r="C3419" i="1"/>
  <c r="C613" i="1"/>
  <c r="C768" i="1"/>
  <c r="C1430" i="1"/>
  <c r="C1987" i="1"/>
  <c r="C2488" i="1"/>
  <c r="C2870" i="1"/>
  <c r="C3101" i="1"/>
  <c r="C3483" i="1"/>
  <c r="C3484" i="1"/>
  <c r="C3363" i="1"/>
  <c r="C3399" i="1"/>
  <c r="C3424" i="1"/>
  <c r="C614" i="1"/>
  <c r="C769" i="1"/>
  <c r="C1431" i="1"/>
  <c r="C1988" i="1"/>
  <c r="C2491" i="1"/>
  <c r="C2879" i="1"/>
  <c r="C3104" i="1"/>
  <c r="C3230" i="1"/>
  <c r="C3485" i="1"/>
  <c r="C3486" i="1"/>
  <c r="C3400" i="1"/>
  <c r="C3487" i="1"/>
  <c r="C615" i="1"/>
  <c r="C770" i="1"/>
  <c r="C1432" i="1"/>
  <c r="C1989" i="1"/>
  <c r="C2492" i="1"/>
  <c r="C2868" i="1"/>
  <c r="C3105" i="1"/>
  <c r="C3239" i="1"/>
  <c r="C3316" i="1"/>
  <c r="C3488" i="1"/>
  <c r="C3489" i="1"/>
  <c r="C3425" i="1"/>
  <c r="C616" i="1"/>
  <c r="C771" i="1"/>
  <c r="C1424" i="1"/>
  <c r="C1990" i="1"/>
  <c r="C2493" i="1"/>
  <c r="C2866" i="1"/>
  <c r="C3112" i="1"/>
  <c r="C3232" i="1"/>
  <c r="C3324" i="1"/>
  <c r="C3360" i="1"/>
  <c r="C3490" i="1"/>
  <c r="C3427" i="1"/>
  <c r="C617" i="1"/>
  <c r="C772" i="1"/>
  <c r="C1433" i="1"/>
  <c r="C1991" i="1"/>
  <c r="C2494" i="1"/>
  <c r="C2871" i="1"/>
  <c r="C3103" i="1"/>
  <c r="C3233" i="1"/>
  <c r="C3315" i="1"/>
  <c r="C3365" i="1"/>
  <c r="C3401" i="1"/>
  <c r="C3426" i="1"/>
  <c r="C618" i="1"/>
  <c r="C773" i="1"/>
  <c r="C1426" i="1"/>
  <c r="C1992" i="1"/>
  <c r="C2495" i="1"/>
  <c r="C2872" i="1"/>
  <c r="C3106" i="1"/>
  <c r="C3231" i="1"/>
  <c r="C3317" i="1"/>
  <c r="C3366" i="1"/>
  <c r="C3395" i="1"/>
  <c r="C3428" i="1"/>
  <c r="C619" i="1"/>
  <c r="C774" i="1"/>
  <c r="C1427" i="1"/>
  <c r="C1993" i="1"/>
  <c r="C2496" i="1"/>
  <c r="C2873" i="1"/>
  <c r="C3107" i="1"/>
  <c r="C3235" i="1"/>
  <c r="C3323" i="1"/>
  <c r="C3370" i="1"/>
  <c r="C3402" i="1"/>
  <c r="C3429" i="1"/>
  <c r="C620" i="1"/>
  <c r="C775" i="1"/>
  <c r="C1434" i="1"/>
  <c r="C1994" i="1"/>
  <c r="C2497" i="1"/>
  <c r="C2874" i="1"/>
  <c r="C3108" i="1"/>
  <c r="C3236" i="1"/>
  <c r="C3320" i="1"/>
  <c r="C3367" i="1"/>
  <c r="C3396" i="1"/>
  <c r="C3420" i="1"/>
  <c r="C621" i="1"/>
  <c r="C776" i="1"/>
  <c r="C1435" i="1"/>
  <c r="C1995" i="1"/>
  <c r="C2498" i="1"/>
  <c r="C2877" i="1"/>
  <c r="C3099" i="1"/>
  <c r="C3237" i="1"/>
  <c r="C3321" i="1"/>
  <c r="C3368" i="1"/>
  <c r="C3404" i="1"/>
  <c r="C3418" i="1"/>
  <c r="C622" i="1"/>
  <c r="C777" i="1"/>
  <c r="C1436" i="1"/>
  <c r="C1985" i="1"/>
  <c r="C2499" i="1"/>
  <c r="C2875" i="1"/>
  <c r="C3109" i="1"/>
  <c r="C3229" i="1"/>
  <c r="C3318" i="1"/>
  <c r="C3364" i="1"/>
  <c r="C3397" i="1"/>
  <c r="C3421" i="1"/>
  <c r="C623" i="1"/>
  <c r="C778" i="1"/>
  <c r="C1437" i="1"/>
  <c r="C1996" i="1"/>
  <c r="C2489" i="1"/>
  <c r="C2876" i="1"/>
  <c r="C3110" i="1"/>
  <c r="C3240" i="1"/>
  <c r="C3322" i="1"/>
  <c r="C3361" i="1"/>
  <c r="C3403" i="1"/>
  <c r="C3430" i="1"/>
  <c r="C624" i="1"/>
  <c r="C779" i="1"/>
  <c r="C1425" i="1"/>
  <c r="C1997" i="1"/>
  <c r="C2500" i="1"/>
  <c r="C2867" i="1"/>
  <c r="C3111" i="1"/>
  <c r="C3238" i="1"/>
  <c r="C3319" i="1"/>
  <c r="C3362" i="1"/>
  <c r="C3398" i="1"/>
  <c r="C3422" i="1"/>
  <c r="C716" i="1"/>
  <c r="C883" i="1"/>
  <c r="C1649" i="1"/>
  <c r="C2316" i="1"/>
  <c r="C2764" i="1"/>
  <c r="C3491" i="1"/>
  <c r="C3269" i="1"/>
  <c r="C3492" i="1"/>
  <c r="C3388" i="1"/>
  <c r="C3412" i="1"/>
  <c r="C3433" i="1"/>
  <c r="C3446" i="1"/>
  <c r="C717" i="1"/>
  <c r="C884" i="1"/>
  <c r="C1652" i="1"/>
  <c r="C2306" i="1"/>
  <c r="C2768" i="1"/>
  <c r="C3088" i="1"/>
  <c r="C3270" i="1"/>
  <c r="C3347" i="1"/>
  <c r="C3385" i="1"/>
  <c r="C3414" i="1"/>
  <c r="C3434" i="1"/>
  <c r="C3493" i="1"/>
  <c r="C718" i="1"/>
  <c r="C885" i="1"/>
  <c r="C1653" i="1"/>
  <c r="C2307" i="1"/>
  <c r="C2769" i="1"/>
  <c r="C3087" i="1"/>
  <c r="C3494" i="1"/>
  <c r="C3341" i="1"/>
  <c r="C3495" i="1"/>
  <c r="C3413" i="1"/>
  <c r="C3441" i="1"/>
  <c r="C3496" i="1"/>
  <c r="C719" i="1"/>
  <c r="C886" i="1"/>
  <c r="C1654" i="1"/>
  <c r="C2317" i="1"/>
  <c r="C2770" i="1"/>
  <c r="C3094" i="1"/>
  <c r="C3278" i="1"/>
  <c r="C3497" i="1"/>
  <c r="C3498" i="1"/>
  <c r="C3416" i="1"/>
  <c r="C3432" i="1"/>
  <c r="C3499" i="1"/>
  <c r="C720" i="1"/>
  <c r="C887" i="1"/>
  <c r="C1648" i="1"/>
  <c r="C2308" i="1"/>
  <c r="C2773" i="1"/>
  <c r="C3090" i="1"/>
  <c r="C3272" i="1"/>
  <c r="C3342" i="1"/>
  <c r="C3500" i="1"/>
  <c r="C3501" i="1"/>
  <c r="C3502" i="1"/>
  <c r="C3503" i="1"/>
  <c r="C721" i="1"/>
  <c r="C888" i="1"/>
  <c r="C1655" i="1"/>
  <c r="C2309" i="1"/>
  <c r="C2774" i="1"/>
  <c r="C3098" i="1"/>
  <c r="C3268" i="1"/>
  <c r="C3348" i="1"/>
  <c r="C3382" i="1"/>
  <c r="C3409" i="1"/>
  <c r="C3504" i="1"/>
  <c r="C3505" i="1"/>
  <c r="C710" i="1"/>
  <c r="C878" i="1"/>
  <c r="C1656" i="1"/>
  <c r="C2310" i="1"/>
  <c r="C2775" i="1"/>
  <c r="C3095" i="1"/>
  <c r="C3273" i="1"/>
  <c r="C3339" i="1"/>
  <c r="C3383" i="1"/>
  <c r="C3407" i="1"/>
  <c r="C3442" i="1"/>
  <c r="C3506" i="1"/>
  <c r="C711" i="1"/>
  <c r="C889" i="1"/>
  <c r="C1650" i="1"/>
  <c r="C2311" i="1"/>
  <c r="C2776" i="1"/>
  <c r="C3091" i="1"/>
  <c r="C3274" i="1"/>
  <c r="C3349" i="1"/>
  <c r="C3392" i="1"/>
  <c r="C3408" i="1"/>
  <c r="C3440" i="1"/>
  <c r="C3444" i="1"/>
  <c r="C712" i="1"/>
  <c r="C879" i="1"/>
  <c r="C1657" i="1"/>
  <c r="C2312" i="1"/>
  <c r="C2777" i="1"/>
  <c r="C3092" i="1"/>
  <c r="C3275" i="1"/>
  <c r="C3343" i="1"/>
  <c r="C3386" i="1"/>
  <c r="C3410" i="1"/>
  <c r="C3438" i="1"/>
  <c r="C3450" i="1"/>
  <c r="C713" i="1"/>
  <c r="C880" i="1"/>
  <c r="C1658" i="1"/>
  <c r="C2313" i="1"/>
  <c r="C2771" i="1"/>
  <c r="C3096" i="1"/>
  <c r="C3276" i="1"/>
  <c r="C3344" i="1"/>
  <c r="C3384" i="1"/>
  <c r="C3405" i="1"/>
  <c r="C3431" i="1"/>
  <c r="C3448" i="1"/>
  <c r="C722" i="1"/>
  <c r="C890" i="1"/>
  <c r="C1659" i="1"/>
  <c r="C2314" i="1"/>
  <c r="C2778" i="1"/>
  <c r="C3100" i="1"/>
  <c r="C3271" i="1"/>
  <c r="C3345" i="1"/>
  <c r="C3389" i="1"/>
  <c r="C3411" i="1"/>
  <c r="C3435" i="1"/>
  <c r="C3449" i="1"/>
  <c r="C714" i="1"/>
  <c r="C891" i="1"/>
  <c r="C1660" i="1"/>
  <c r="C2318" i="1"/>
  <c r="C2779" i="1"/>
  <c r="C3093" i="1"/>
  <c r="C3267" i="1"/>
  <c r="C3338" i="1"/>
  <c r="C3390" i="1"/>
  <c r="C3406" i="1"/>
  <c r="C3436" i="1"/>
  <c r="C3443" i="1"/>
  <c r="C723" i="1"/>
  <c r="C881" i="1"/>
  <c r="C1651" i="1"/>
  <c r="C2315" i="1"/>
  <c r="C2781" i="1"/>
  <c r="C3097" i="1"/>
  <c r="C3266" i="1"/>
  <c r="C3340" i="1"/>
  <c r="C3387" i="1"/>
  <c r="C3415" i="1"/>
  <c r="C3439" i="1"/>
  <c r="C3445" i="1"/>
  <c r="C715" i="1"/>
  <c r="C882" i="1"/>
  <c r="C1661" i="1"/>
  <c r="C2319" i="1"/>
  <c r="C2780" i="1"/>
  <c r="C3089" i="1"/>
  <c r="C3277" i="1"/>
  <c r="C3346" i="1"/>
  <c r="C3391" i="1"/>
  <c r="C3417" i="1"/>
  <c r="C3437" i="1"/>
  <c r="C3447" i="1"/>
  <c r="C138" i="1"/>
  <c r="C270" i="1"/>
  <c r="C417" i="1"/>
  <c r="C664" i="1"/>
  <c r="C836" i="1"/>
  <c r="C1032" i="1"/>
  <c r="C1232" i="1"/>
  <c r="C1414" i="1"/>
  <c r="C1564" i="1"/>
  <c r="C1735" i="1"/>
  <c r="C1929" i="1"/>
  <c r="C2068" i="1"/>
  <c r="C139" i="1"/>
  <c r="C264" i="1"/>
  <c r="C418" i="1"/>
  <c r="C665" i="1"/>
  <c r="C837" i="1"/>
  <c r="C1033" i="1"/>
  <c r="C1233" i="1"/>
  <c r="C1423" i="1"/>
  <c r="C1576" i="1"/>
  <c r="C1732" i="1"/>
  <c r="C1930" i="1"/>
  <c r="C2070" i="1"/>
  <c r="C140" i="1"/>
  <c r="C265" i="1"/>
  <c r="C419" i="1"/>
  <c r="C666" i="1"/>
  <c r="C838" i="1"/>
  <c r="C1045" i="1"/>
  <c r="C1234" i="1"/>
  <c r="C1415" i="1"/>
  <c r="C1567" i="1"/>
  <c r="C1733" i="1"/>
  <c r="C1939" i="1"/>
  <c r="C2071" i="1"/>
  <c r="C141" i="1"/>
  <c r="C271" i="1"/>
  <c r="C420" i="1"/>
  <c r="C655" i="1"/>
  <c r="C839" i="1"/>
  <c r="C1034" i="1"/>
  <c r="C1235" i="1"/>
  <c r="C1416" i="1"/>
  <c r="C1568" i="1"/>
  <c r="C1736" i="1"/>
  <c r="C1940" i="1"/>
  <c r="C2069" i="1"/>
  <c r="C3507" i="1"/>
  <c r="C65" i="1"/>
  <c r="C421" i="1"/>
  <c r="C656" i="1"/>
  <c r="C840" i="1"/>
  <c r="C1035" i="1"/>
  <c r="C1241" i="1"/>
  <c r="C1417" i="1"/>
  <c r="C1577" i="1"/>
  <c r="C1737" i="1"/>
  <c r="C1941" i="1"/>
  <c r="C2083" i="1"/>
  <c r="C19" i="1"/>
  <c r="C66" i="1"/>
  <c r="C422" i="1"/>
  <c r="C667" i="1"/>
  <c r="C841" i="1"/>
  <c r="C1036" i="1"/>
  <c r="C1236" i="1"/>
  <c r="C1418" i="1"/>
  <c r="C1569" i="1"/>
  <c r="C1744" i="1"/>
  <c r="C1928" i="1"/>
  <c r="C2072" i="1"/>
  <c r="C20" i="1"/>
  <c r="C67" i="1"/>
  <c r="C423" i="1"/>
  <c r="C657" i="1"/>
  <c r="C842" i="1"/>
  <c r="C1042" i="1"/>
  <c r="C1237" i="1"/>
  <c r="C1419" i="1"/>
  <c r="C1570" i="1"/>
  <c r="C1745" i="1"/>
  <c r="C1931" i="1"/>
  <c r="C2073" i="1"/>
  <c r="C26" i="1"/>
  <c r="C73" i="1"/>
  <c r="C424" i="1"/>
  <c r="C658" i="1"/>
  <c r="C849" i="1"/>
  <c r="C1037" i="1"/>
  <c r="C1238" i="1"/>
  <c r="C1420" i="1"/>
  <c r="C1571" i="1"/>
  <c r="C1734" i="1"/>
  <c r="C1932" i="1"/>
  <c r="C2074" i="1"/>
  <c r="C21" i="1"/>
  <c r="C68" i="1"/>
  <c r="C425" i="1"/>
  <c r="C659" i="1"/>
  <c r="C843" i="1"/>
  <c r="C1038" i="1"/>
  <c r="C1239" i="1"/>
  <c r="C1421" i="1"/>
  <c r="C1572" i="1"/>
  <c r="C1738" i="1"/>
  <c r="C1933" i="1"/>
  <c r="C2075" i="1"/>
  <c r="C27" i="1"/>
  <c r="C74" i="1"/>
  <c r="C426" i="1"/>
  <c r="C654" i="1"/>
  <c r="C844" i="1"/>
  <c r="C1043" i="1"/>
  <c r="C1240" i="1"/>
  <c r="C1410" i="1"/>
  <c r="C1573" i="1"/>
  <c r="C1739" i="1"/>
  <c r="C1934" i="1"/>
  <c r="C2076" i="1"/>
  <c r="C22" i="1"/>
  <c r="C69" i="1"/>
  <c r="C415" i="1"/>
  <c r="C660" i="1"/>
  <c r="C845" i="1"/>
  <c r="C1044" i="1"/>
  <c r="C1228" i="1"/>
  <c r="C1422" i="1"/>
  <c r="C1574" i="1"/>
  <c r="C1740" i="1"/>
  <c r="C1935" i="1"/>
  <c r="C2077" i="1"/>
  <c r="C23" i="1"/>
  <c r="C70" i="1"/>
  <c r="C416" i="1"/>
  <c r="C661" i="1"/>
  <c r="C846" i="1"/>
  <c r="C1039" i="1"/>
  <c r="C1231" i="1"/>
  <c r="C1411" i="1"/>
  <c r="C1575" i="1"/>
  <c r="C1741" i="1"/>
  <c r="C1936" i="1"/>
  <c r="C2078" i="1"/>
  <c r="C24" i="1"/>
  <c r="C71" i="1"/>
  <c r="C427" i="1"/>
  <c r="C662" i="1"/>
  <c r="C847" i="1"/>
  <c r="C1040" i="1"/>
  <c r="C1229" i="1"/>
  <c r="C1412" i="1"/>
  <c r="C1565" i="1"/>
  <c r="C1742" i="1"/>
  <c r="C1937" i="1"/>
  <c r="C2079" i="1"/>
  <c r="C25" i="1"/>
  <c r="C72" i="1"/>
  <c r="C428" i="1"/>
  <c r="C663" i="1"/>
  <c r="C848" i="1"/>
  <c r="C1041" i="1"/>
  <c r="C1230" i="1"/>
  <c r="C1413" i="1"/>
  <c r="C1566" i="1"/>
  <c r="C1743" i="1"/>
  <c r="C1938" i="1"/>
  <c r="C2080" i="1"/>
  <c r="C215" i="1"/>
  <c r="C107" i="1"/>
  <c r="C514" i="1"/>
  <c r="C756" i="1"/>
  <c r="C963" i="1"/>
  <c r="C1175" i="1"/>
  <c r="C1400" i="1"/>
  <c r="C1621" i="1"/>
  <c r="C1788" i="1"/>
  <c r="C1971" i="1"/>
  <c r="C2211" i="1"/>
  <c r="C2360" i="1"/>
  <c r="C216" i="1"/>
  <c r="C108" i="1"/>
  <c r="C515" i="1"/>
  <c r="C757" i="1"/>
  <c r="C964" i="1"/>
  <c r="C1182" i="1"/>
  <c r="C1409" i="1"/>
  <c r="C1634" i="1"/>
  <c r="C1791" i="1"/>
  <c r="C1972" i="1"/>
  <c r="C2212" i="1"/>
  <c r="C2353" i="1"/>
  <c r="C217" i="1"/>
  <c r="C121" i="1"/>
  <c r="C516" i="1"/>
  <c r="C758" i="1"/>
  <c r="C965" i="1"/>
  <c r="C1176" i="1"/>
  <c r="C1401" i="1"/>
  <c r="C1635" i="1"/>
  <c r="C1792" i="1"/>
  <c r="C1983" i="1"/>
  <c r="C2213" i="1"/>
  <c r="C2354" i="1"/>
  <c r="C222" i="1"/>
  <c r="C109" i="1"/>
  <c r="C517" i="1"/>
  <c r="C759" i="1"/>
  <c r="C966" i="1"/>
  <c r="C1183" i="1"/>
  <c r="C1402" i="1"/>
  <c r="C1636" i="1"/>
  <c r="C1789" i="1"/>
  <c r="C1973" i="1"/>
  <c r="C2209" i="1"/>
  <c r="C2361" i="1"/>
  <c r="C51" i="1"/>
  <c r="C110" i="1"/>
  <c r="C518" i="1"/>
  <c r="C760" i="1"/>
  <c r="C967" i="1"/>
  <c r="C1184" i="1"/>
  <c r="C1403" i="1"/>
  <c r="C1637" i="1"/>
  <c r="C1790" i="1"/>
  <c r="C1970" i="1"/>
  <c r="C2214" i="1"/>
  <c r="C2348" i="1"/>
  <c r="C52" i="1"/>
  <c r="C111" i="1"/>
  <c r="C519" i="1"/>
  <c r="C761" i="1"/>
  <c r="C968" i="1"/>
  <c r="C1185" i="1"/>
  <c r="C1404" i="1"/>
  <c r="C1620" i="1"/>
  <c r="C1793" i="1"/>
  <c r="C1974" i="1"/>
  <c r="C2208" i="1"/>
  <c r="C2355" i="1"/>
  <c r="C46" i="1"/>
  <c r="C112" i="1"/>
  <c r="C520" i="1"/>
  <c r="C753" i="1"/>
  <c r="C975" i="1"/>
  <c r="C1177" i="1"/>
  <c r="C1405" i="1"/>
  <c r="C1638" i="1"/>
  <c r="C1794" i="1"/>
  <c r="C1975" i="1"/>
  <c r="C2215" i="1"/>
  <c r="C2356" i="1"/>
  <c r="C53" i="1"/>
  <c r="C113" i="1"/>
  <c r="C521" i="1"/>
  <c r="C762" i="1"/>
  <c r="C969" i="1"/>
  <c r="C1178" i="1"/>
  <c r="C1406" i="1"/>
  <c r="C1622" i="1"/>
  <c r="C1795" i="1"/>
  <c r="C1976" i="1"/>
  <c r="C2210" i="1"/>
  <c r="C2349" i="1"/>
  <c r="C47" i="1"/>
  <c r="C122" i="1"/>
  <c r="C522" i="1"/>
  <c r="C763" i="1"/>
  <c r="C970" i="1"/>
  <c r="C1179" i="1"/>
  <c r="C1407" i="1"/>
  <c r="C1623" i="1"/>
  <c r="C1796" i="1"/>
  <c r="C1977" i="1"/>
  <c r="C2216" i="1"/>
  <c r="C2350" i="1"/>
  <c r="C48" i="1"/>
  <c r="C114" i="1"/>
  <c r="C523" i="1"/>
  <c r="C764" i="1"/>
  <c r="C971" i="1"/>
  <c r="C1180" i="1"/>
  <c r="C1408" i="1"/>
  <c r="C1624" i="1"/>
  <c r="C1797" i="1"/>
  <c r="C1978" i="1"/>
  <c r="C2217" i="1"/>
  <c r="C2351" i="1"/>
  <c r="C54" i="1"/>
  <c r="C115" i="1"/>
  <c r="C524" i="1"/>
  <c r="C765" i="1"/>
  <c r="C972" i="1"/>
  <c r="C1172" i="1"/>
  <c r="C1396" i="1"/>
  <c r="C1625" i="1"/>
  <c r="C1798" i="1"/>
  <c r="C1979" i="1"/>
  <c r="C2218" i="1"/>
  <c r="C2352" i="1"/>
  <c r="C49" i="1"/>
  <c r="C116" i="1"/>
  <c r="C525" i="1"/>
  <c r="C754" i="1"/>
  <c r="C973" i="1"/>
  <c r="C1173" i="1"/>
  <c r="C1397" i="1"/>
  <c r="C1626" i="1"/>
  <c r="C1799" i="1"/>
  <c r="C1980" i="1"/>
  <c r="C2219" i="1"/>
  <c r="C2357" i="1"/>
  <c r="C50" i="1"/>
  <c r="C106" i="1"/>
  <c r="C526" i="1"/>
  <c r="C755" i="1"/>
  <c r="C974" i="1"/>
  <c r="C1181" i="1"/>
  <c r="C1398" i="1"/>
  <c r="C1627" i="1"/>
  <c r="C1800" i="1"/>
  <c r="C1981" i="1"/>
  <c r="C2220" i="1"/>
  <c r="C2358" i="1"/>
  <c r="C55" i="1"/>
  <c r="C117" i="1"/>
  <c r="C527" i="1"/>
  <c r="C752" i="1"/>
  <c r="C962" i="1"/>
  <c r="C1174" i="1"/>
  <c r="C1399" i="1"/>
  <c r="C1628" i="1"/>
  <c r="C1801" i="1"/>
  <c r="C1982" i="1"/>
  <c r="C2221" i="1"/>
  <c r="C2359" i="1"/>
  <c r="C330" i="1"/>
  <c r="C190" i="1"/>
  <c r="C600" i="1"/>
  <c r="C865" i="1"/>
  <c r="C1106" i="1"/>
  <c r="C1329" i="1"/>
  <c r="C1639" i="1"/>
  <c r="C1861" i="1"/>
  <c r="C2055" i="1"/>
  <c r="C2259" i="1"/>
  <c r="C2461" i="1"/>
  <c r="C2586" i="1"/>
  <c r="C464" i="1"/>
  <c r="C191" i="1"/>
  <c r="C601" i="1"/>
  <c r="C866" i="1"/>
  <c r="C1113" i="1"/>
  <c r="C1330" i="1"/>
  <c r="C1640" i="1"/>
  <c r="C1862" i="1"/>
  <c r="C2056" i="1"/>
  <c r="C2263" i="1"/>
  <c r="C2472" i="1"/>
  <c r="C2599" i="1"/>
  <c r="C3508" i="1"/>
  <c r="C192" i="1"/>
  <c r="C602" i="1"/>
  <c r="C867" i="1"/>
  <c r="C1114" i="1"/>
  <c r="C1331" i="1"/>
  <c r="C1641" i="1"/>
  <c r="C1863" i="1"/>
  <c r="C2065" i="1"/>
  <c r="C2260" i="1"/>
  <c r="C2465" i="1"/>
  <c r="C2592" i="1"/>
  <c r="C86" i="1"/>
  <c r="C193" i="1"/>
  <c r="C603" i="1"/>
  <c r="C868" i="1"/>
  <c r="C1107" i="1"/>
  <c r="C1332" i="1"/>
  <c r="C1642" i="1"/>
  <c r="C1859" i="1"/>
  <c r="C2052" i="1"/>
  <c r="C2250" i="1"/>
  <c r="C2473" i="1"/>
  <c r="C2593" i="1"/>
  <c r="C87" i="1"/>
  <c r="C194" i="1"/>
  <c r="C604" i="1"/>
  <c r="C869" i="1"/>
  <c r="C1108" i="1"/>
  <c r="C1333" i="1"/>
  <c r="C1643" i="1"/>
  <c r="C1860" i="1"/>
  <c r="C2066" i="1"/>
  <c r="C2251" i="1"/>
  <c r="C2460" i="1"/>
  <c r="C2594" i="1"/>
  <c r="C88" i="1"/>
  <c r="C195" i="1"/>
  <c r="C605" i="1"/>
  <c r="C870" i="1"/>
  <c r="C1109" i="1"/>
  <c r="C1334" i="1"/>
  <c r="C1644" i="1"/>
  <c r="C1856" i="1"/>
  <c r="C2057" i="1"/>
  <c r="C2261" i="1"/>
  <c r="C2466" i="1"/>
  <c r="C2587" i="1"/>
  <c r="C89" i="1"/>
  <c r="C196" i="1"/>
  <c r="C606" i="1"/>
  <c r="C877" i="1"/>
  <c r="C1115" i="1"/>
  <c r="C1335" i="1"/>
  <c r="C1645" i="1"/>
  <c r="C1864" i="1"/>
  <c r="C2053" i="1"/>
  <c r="C2252" i="1"/>
  <c r="C2467" i="1"/>
  <c r="C2595" i="1"/>
  <c r="C90" i="1"/>
  <c r="C197" i="1"/>
  <c r="C611" i="1"/>
  <c r="C871" i="1"/>
  <c r="C1110" i="1"/>
  <c r="C1336" i="1"/>
  <c r="C1629" i="1"/>
  <c r="C1865" i="1"/>
  <c r="C2058" i="1"/>
  <c r="C2253" i="1"/>
  <c r="C2462" i="1"/>
  <c r="C2596" i="1"/>
  <c r="C91" i="1"/>
  <c r="C198" i="1"/>
  <c r="C607" i="1"/>
  <c r="C872" i="1"/>
  <c r="C1111" i="1"/>
  <c r="C1337" i="1"/>
  <c r="C1646" i="1"/>
  <c r="C1866" i="1"/>
  <c r="C2059" i="1"/>
  <c r="C2254" i="1"/>
  <c r="C2463" i="1"/>
  <c r="C2588" i="1"/>
  <c r="C92" i="1"/>
  <c r="C185" i="1"/>
  <c r="C608" i="1"/>
  <c r="C873" i="1"/>
  <c r="C1104" i="1"/>
  <c r="C1338" i="1"/>
  <c r="C1630" i="1"/>
  <c r="C1867" i="1"/>
  <c r="C2060" i="1"/>
  <c r="C2255" i="1"/>
  <c r="C2464" i="1"/>
  <c r="C2589" i="1"/>
  <c r="C93" i="1"/>
  <c r="C199" i="1"/>
  <c r="C598" i="1"/>
  <c r="C874" i="1"/>
  <c r="C1102" i="1"/>
  <c r="C1326" i="1"/>
  <c r="C1631" i="1"/>
  <c r="C1868" i="1"/>
  <c r="C2061" i="1"/>
  <c r="C2256" i="1"/>
  <c r="C2468" i="1"/>
  <c r="C2590" i="1"/>
  <c r="C76" i="1"/>
  <c r="C186" i="1"/>
  <c r="C609" i="1"/>
  <c r="C875" i="1"/>
  <c r="C1112" i="1"/>
  <c r="C1327" i="1"/>
  <c r="C1632" i="1"/>
  <c r="C1869" i="1"/>
  <c r="C2062" i="1"/>
  <c r="C2257" i="1"/>
  <c r="C2469" i="1"/>
  <c r="C2591" i="1"/>
  <c r="C94" i="1"/>
  <c r="C200" i="1"/>
  <c r="C599" i="1"/>
  <c r="C864" i="1"/>
  <c r="C1103" i="1"/>
  <c r="C1328" i="1"/>
  <c r="C1633" i="1"/>
  <c r="C1870" i="1"/>
  <c r="C2063" i="1"/>
  <c r="C2258" i="1"/>
  <c r="C2470" i="1"/>
  <c r="C2597" i="1"/>
  <c r="C95" i="1"/>
  <c r="C201" i="1"/>
  <c r="C610" i="1"/>
  <c r="C876" i="1"/>
  <c r="C1105" i="1"/>
  <c r="C1339" i="1"/>
  <c r="C1647" i="1"/>
  <c r="C1871" i="1"/>
  <c r="C2064" i="1"/>
  <c r="C2262" i="1"/>
  <c r="C2471" i="1"/>
  <c r="C2598" i="1"/>
  <c r="C146" i="1"/>
  <c r="C277" i="1"/>
  <c r="C689" i="1"/>
  <c r="C992" i="1"/>
  <c r="C1261" i="1"/>
  <c r="C1541" i="1"/>
  <c r="C1886" i="1"/>
  <c r="C2121" i="1"/>
  <c r="C2333" i="1"/>
  <c r="C2524" i="1"/>
  <c r="C2697" i="1"/>
  <c r="C2827" i="1"/>
  <c r="C147" i="1"/>
  <c r="C278" i="1"/>
  <c r="C690" i="1"/>
  <c r="C993" i="1"/>
  <c r="C1262" i="1"/>
  <c r="C1548" i="1"/>
  <c r="C1896" i="1"/>
  <c r="C2111" i="1"/>
  <c r="C2325" i="1"/>
  <c r="C2530" i="1"/>
  <c r="C2701" i="1"/>
  <c r="C2828" i="1"/>
  <c r="C148" i="1"/>
  <c r="C279" i="1"/>
  <c r="C691" i="1"/>
  <c r="C994" i="1"/>
  <c r="C1263" i="1"/>
  <c r="C1542" i="1"/>
  <c r="C1887" i="1"/>
  <c r="C2122" i="1"/>
  <c r="C2326" i="1"/>
  <c r="C2518" i="1"/>
  <c r="C2714" i="1"/>
  <c r="C2824" i="1"/>
  <c r="C157" i="1"/>
  <c r="C280" i="1"/>
  <c r="C682" i="1"/>
  <c r="C995" i="1"/>
  <c r="C1264" i="1"/>
  <c r="C1552" i="1"/>
  <c r="C1888" i="1"/>
  <c r="C2110" i="1"/>
  <c r="C2327" i="1"/>
  <c r="C2519" i="1"/>
  <c r="C2700" i="1"/>
  <c r="C2837" i="1"/>
  <c r="C158" i="1"/>
  <c r="C281" i="1"/>
  <c r="C692" i="1"/>
  <c r="C996" i="1"/>
  <c r="C1265" i="1"/>
  <c r="C1537" i="1"/>
  <c r="C1897" i="1"/>
  <c r="C2112" i="1"/>
  <c r="C2320" i="1"/>
  <c r="C2516" i="1"/>
  <c r="C2710" i="1"/>
  <c r="C2829" i="1"/>
  <c r="C149" i="1"/>
  <c r="C282" i="1"/>
  <c r="C683" i="1"/>
  <c r="C1002" i="1"/>
  <c r="C1266" i="1"/>
  <c r="C1543" i="1"/>
  <c r="C1889" i="1"/>
  <c r="C2113" i="1"/>
  <c r="C2328" i="1"/>
  <c r="C2528" i="1"/>
  <c r="C2702" i="1"/>
  <c r="C2830" i="1"/>
  <c r="C150" i="1"/>
  <c r="C283" i="1"/>
  <c r="C693" i="1"/>
  <c r="C1003" i="1"/>
  <c r="C1267" i="1"/>
  <c r="C1538" i="1"/>
  <c r="C1890" i="1"/>
  <c r="C2114" i="1"/>
  <c r="C2321" i="1"/>
  <c r="C2525" i="1"/>
  <c r="C2698" i="1"/>
  <c r="C2836" i="1"/>
  <c r="C159" i="1"/>
  <c r="C284" i="1"/>
  <c r="C694" i="1"/>
  <c r="C997" i="1"/>
  <c r="C1268" i="1"/>
  <c r="C1544" i="1"/>
  <c r="C1891" i="1"/>
  <c r="C2115" i="1"/>
  <c r="C2322" i="1"/>
  <c r="C2520" i="1"/>
  <c r="C2703" i="1"/>
  <c r="C2831" i="1"/>
  <c r="C151" i="1"/>
  <c r="C285" i="1"/>
  <c r="C695" i="1"/>
  <c r="C998" i="1"/>
  <c r="C1258" i="1"/>
  <c r="C1545" i="1"/>
  <c r="C1892" i="1"/>
  <c r="C2116" i="1"/>
  <c r="C2323" i="1"/>
  <c r="C2521" i="1"/>
  <c r="C2704" i="1"/>
  <c r="C2832" i="1"/>
  <c r="C152" i="1"/>
  <c r="C286" i="1"/>
  <c r="C684" i="1"/>
  <c r="C990" i="1"/>
  <c r="C1259" i="1"/>
  <c r="C1546" i="1"/>
  <c r="C1893" i="1"/>
  <c r="C2117" i="1"/>
  <c r="C2324" i="1"/>
  <c r="C2517" i="1"/>
  <c r="C2705" i="1"/>
  <c r="C2833" i="1"/>
  <c r="C153" i="1"/>
  <c r="C272" i="1"/>
  <c r="C685" i="1"/>
  <c r="C999" i="1"/>
  <c r="C1269" i="1"/>
  <c r="C1539" i="1"/>
  <c r="C1894" i="1"/>
  <c r="C2118" i="1"/>
  <c r="C2329" i="1"/>
  <c r="C2522" i="1"/>
  <c r="C2706" i="1"/>
  <c r="C2834" i="1"/>
  <c r="C154" i="1"/>
  <c r="C273" i="1"/>
  <c r="C686" i="1"/>
  <c r="C991" i="1"/>
  <c r="C1256" i="1"/>
  <c r="C1540" i="1"/>
  <c r="C1895" i="1"/>
  <c r="C2119" i="1"/>
  <c r="C2330" i="1"/>
  <c r="C2526" i="1"/>
  <c r="C2707" i="1"/>
  <c r="C2825" i="1"/>
  <c r="C160" i="1"/>
  <c r="C287" i="1"/>
  <c r="C687" i="1"/>
  <c r="C1000" i="1"/>
  <c r="C1260" i="1"/>
  <c r="C1547" i="1"/>
  <c r="C1898" i="1"/>
  <c r="C2120" i="1"/>
  <c r="C2331" i="1"/>
  <c r="C2527" i="1"/>
  <c r="C2708" i="1"/>
  <c r="C2826" i="1"/>
  <c r="C155" i="1"/>
  <c r="C288" i="1"/>
  <c r="C688" i="1"/>
  <c r="C1001" i="1"/>
  <c r="C1257" i="1"/>
  <c r="C1536" i="1"/>
  <c r="C1899" i="1"/>
  <c r="C2123" i="1"/>
  <c r="C2332" i="1"/>
  <c r="C2523" i="1"/>
  <c r="C2709" i="1"/>
  <c r="C2835" i="1"/>
  <c r="C224" i="1"/>
  <c r="C373" i="1"/>
  <c r="C796" i="1"/>
  <c r="C1140" i="1"/>
  <c r="C1464" i="1"/>
  <c r="C1816" i="1"/>
  <c r="C2161" i="1"/>
  <c r="C2403" i="1"/>
  <c r="C2614" i="1"/>
  <c r="C2765" i="1"/>
  <c r="C2950" i="1"/>
  <c r="C3047" i="1"/>
  <c r="C225" i="1"/>
  <c r="C374" i="1"/>
  <c r="C797" i="1"/>
  <c r="C1141" i="1"/>
  <c r="C1452" i="1"/>
  <c r="C1817" i="1"/>
  <c r="C2153" i="1"/>
  <c r="C2397" i="1"/>
  <c r="C2625" i="1"/>
  <c r="C2760" i="1"/>
  <c r="C2953" i="1"/>
  <c r="C3048" i="1"/>
  <c r="C234" i="1"/>
  <c r="C375" i="1"/>
  <c r="C798" i="1"/>
  <c r="C1142" i="1"/>
  <c r="C1455" i="1"/>
  <c r="C1826" i="1"/>
  <c r="C2162" i="1"/>
  <c r="C2390" i="1"/>
  <c r="C2615" i="1"/>
  <c r="C2766" i="1"/>
  <c r="C2951" i="1"/>
  <c r="C3049" i="1"/>
  <c r="C226" i="1"/>
  <c r="C384" i="1"/>
  <c r="C799" i="1"/>
  <c r="C1131" i="1"/>
  <c r="C1456" i="1"/>
  <c r="C1827" i="1"/>
  <c r="C2154" i="1"/>
  <c r="C2398" i="1"/>
  <c r="C2616" i="1"/>
  <c r="C2755" i="1"/>
  <c r="C2954" i="1"/>
  <c r="C3058" i="1"/>
  <c r="C227" i="1"/>
  <c r="C376" i="1"/>
  <c r="C800" i="1"/>
  <c r="C1143" i="1"/>
  <c r="C1465" i="1"/>
  <c r="C1828" i="1"/>
  <c r="C2163" i="1"/>
  <c r="C2393" i="1"/>
  <c r="C2617" i="1"/>
  <c r="C2756" i="1"/>
  <c r="C2955" i="1"/>
  <c r="C3057" i="1"/>
  <c r="C235" i="1"/>
  <c r="C385" i="1"/>
  <c r="C801" i="1"/>
  <c r="C1132" i="1"/>
  <c r="C1457" i="1"/>
  <c r="C1818" i="1"/>
  <c r="C2155" i="1"/>
  <c r="C2399" i="1"/>
  <c r="C2626" i="1"/>
  <c r="C2772" i="1"/>
  <c r="C2956" i="1"/>
  <c r="C3050" i="1"/>
  <c r="C228" i="1"/>
  <c r="C377" i="1"/>
  <c r="C802" i="1"/>
  <c r="C1133" i="1"/>
  <c r="C1458" i="1"/>
  <c r="C1819" i="1"/>
  <c r="C2152" i="1"/>
  <c r="C2400" i="1"/>
  <c r="C2618" i="1"/>
  <c r="C2754" i="1"/>
  <c r="C2963" i="1"/>
  <c r="C3051" i="1"/>
  <c r="C236" i="1"/>
  <c r="C378" i="1"/>
  <c r="C803" i="1"/>
  <c r="C1134" i="1"/>
  <c r="C1459" i="1"/>
  <c r="C1820" i="1"/>
  <c r="C2156" i="1"/>
  <c r="C2394" i="1"/>
  <c r="C2619" i="1"/>
  <c r="C2761" i="1"/>
  <c r="C2957" i="1"/>
  <c r="C3059" i="1"/>
  <c r="C229" i="1"/>
  <c r="C386" i="1"/>
  <c r="C794" i="1"/>
  <c r="C1130" i="1"/>
  <c r="C1460" i="1"/>
  <c r="C1821" i="1"/>
  <c r="C2157" i="1"/>
  <c r="C2391" i="1"/>
  <c r="C2620" i="1"/>
  <c r="C2762" i="1"/>
  <c r="C2958" i="1"/>
  <c r="C3046" i="1"/>
  <c r="C230" i="1"/>
  <c r="C379" i="1"/>
  <c r="C804" i="1"/>
  <c r="C1135" i="1"/>
  <c r="C1453" i="1"/>
  <c r="C1822" i="1"/>
  <c r="C2158" i="1"/>
  <c r="C2395" i="1"/>
  <c r="C2621" i="1"/>
  <c r="C2757" i="1"/>
  <c r="C2959" i="1"/>
  <c r="C3052" i="1"/>
  <c r="C231" i="1"/>
  <c r="C380" i="1"/>
  <c r="C805" i="1"/>
  <c r="C1136" i="1"/>
  <c r="C1454" i="1"/>
  <c r="C1823" i="1"/>
  <c r="C2159" i="1"/>
  <c r="C2401" i="1"/>
  <c r="C2622" i="1"/>
  <c r="C2758" i="1"/>
  <c r="C2960" i="1"/>
  <c r="C3053" i="1"/>
  <c r="C237" i="1"/>
  <c r="C381" i="1"/>
  <c r="C795" i="1"/>
  <c r="C1137" i="1"/>
  <c r="C1461" i="1"/>
  <c r="C1824" i="1"/>
  <c r="C2160" i="1"/>
  <c r="C2396" i="1"/>
  <c r="C2623" i="1"/>
  <c r="C2759" i="1"/>
  <c r="C2961" i="1"/>
  <c r="C3054" i="1"/>
  <c r="C232" i="1"/>
  <c r="C382" i="1"/>
  <c r="C806" i="1"/>
  <c r="C1138" i="1"/>
  <c r="C1462" i="1"/>
  <c r="C1825" i="1"/>
  <c r="C2164" i="1"/>
  <c r="C2402" i="1"/>
  <c r="C2624" i="1"/>
  <c r="C2767" i="1"/>
  <c r="C2952" i="1"/>
  <c r="C3055" i="1"/>
  <c r="C233" i="1"/>
  <c r="C383" i="1"/>
  <c r="C807" i="1"/>
  <c r="C1139" i="1"/>
  <c r="C1463" i="1"/>
  <c r="C1829" i="1"/>
  <c r="C2165" i="1"/>
  <c r="C2392" i="1"/>
  <c r="C2627" i="1"/>
  <c r="C2763" i="1"/>
  <c r="C2962" i="1"/>
  <c r="C3056" i="1"/>
  <c r="C332" i="1"/>
  <c r="C475" i="1"/>
  <c r="C922" i="1"/>
  <c r="C1301" i="1"/>
  <c r="C1722" i="1"/>
  <c r="C2146" i="1"/>
  <c r="C2444" i="1"/>
  <c r="C2661" i="1"/>
  <c r="C2894" i="1"/>
  <c r="C2998" i="1"/>
  <c r="C3139" i="1"/>
  <c r="C3509" i="1"/>
  <c r="C333" i="1"/>
  <c r="C476" i="1"/>
  <c r="C923" i="1"/>
  <c r="C1308" i="1"/>
  <c r="C1730" i="1"/>
  <c r="C2142" i="1"/>
  <c r="C2439" i="1"/>
  <c r="C2666" i="1"/>
  <c r="C2898" i="1"/>
  <c r="C2995" i="1"/>
  <c r="C3142" i="1"/>
  <c r="C3216" i="1"/>
  <c r="C334" i="1"/>
  <c r="C477" i="1"/>
  <c r="C924" i="1"/>
  <c r="C1309" i="1"/>
  <c r="C1723" i="1"/>
  <c r="C2151" i="1"/>
  <c r="C2432" i="1"/>
  <c r="C2662" i="1"/>
  <c r="C2907" i="1"/>
  <c r="C2993" i="1"/>
  <c r="C3143" i="1"/>
  <c r="C3223" i="1"/>
  <c r="C335" i="1"/>
  <c r="C478" i="1"/>
  <c r="C925" i="1"/>
  <c r="C1310" i="1"/>
  <c r="C1724" i="1"/>
  <c r="C2149" i="1"/>
  <c r="C2436" i="1"/>
  <c r="C2667" i="1"/>
  <c r="C2895" i="1"/>
  <c r="C2999" i="1"/>
  <c r="C3144" i="1"/>
  <c r="C3220" i="1"/>
  <c r="C336" i="1"/>
  <c r="C479" i="1"/>
  <c r="C926" i="1"/>
  <c r="C1302" i="1"/>
  <c r="C1725" i="1"/>
  <c r="C2137" i="1"/>
  <c r="C2440" i="1"/>
  <c r="C2663" i="1"/>
  <c r="C2896" i="1"/>
  <c r="C2996" i="1"/>
  <c r="C3150" i="1"/>
  <c r="C3224" i="1"/>
  <c r="C337" i="1"/>
  <c r="C480" i="1"/>
  <c r="C927" i="1"/>
  <c r="C1303" i="1"/>
  <c r="C1726" i="1"/>
  <c r="C2138" i="1"/>
  <c r="C2441" i="1"/>
  <c r="C2658" i="1"/>
  <c r="C2900" i="1"/>
  <c r="C2997" i="1"/>
  <c r="C3145" i="1"/>
  <c r="C3221" i="1"/>
  <c r="C338" i="1"/>
  <c r="C481" i="1"/>
  <c r="C928" i="1"/>
  <c r="C1311" i="1"/>
  <c r="C1727" i="1"/>
  <c r="C2139" i="1"/>
  <c r="C2437" i="1"/>
  <c r="C2664" i="1"/>
  <c r="C2897" i="1"/>
  <c r="C3006" i="1"/>
  <c r="C3146" i="1"/>
  <c r="C3225" i="1"/>
  <c r="C339" i="1"/>
  <c r="C482" i="1"/>
  <c r="C929" i="1"/>
  <c r="C1304" i="1"/>
  <c r="C1718" i="1"/>
  <c r="C2143" i="1"/>
  <c r="C2433" i="1"/>
  <c r="C2659" i="1"/>
  <c r="C2901" i="1"/>
  <c r="C3011" i="1"/>
  <c r="C3147" i="1"/>
  <c r="C3222" i="1"/>
  <c r="C331" i="1"/>
  <c r="C483" i="1"/>
  <c r="C930" i="1"/>
  <c r="C1298" i="1"/>
  <c r="C1719" i="1"/>
  <c r="C2144" i="1"/>
  <c r="C2434" i="1"/>
  <c r="C2656" i="1"/>
  <c r="C2902" i="1"/>
  <c r="C3000" i="1"/>
  <c r="C3152" i="1"/>
  <c r="C3226" i="1"/>
  <c r="C340" i="1"/>
  <c r="C472" i="1"/>
  <c r="C931" i="1"/>
  <c r="C1299" i="1"/>
  <c r="C1720" i="1"/>
  <c r="C2145" i="1"/>
  <c r="C2435" i="1"/>
  <c r="C2657" i="1"/>
  <c r="C2903" i="1"/>
  <c r="C3001" i="1"/>
  <c r="C3141" i="1"/>
  <c r="C3217" i="1"/>
  <c r="C344" i="1"/>
  <c r="C473" i="1"/>
  <c r="C920" i="1"/>
  <c r="C1305" i="1"/>
  <c r="C1728" i="1"/>
  <c r="C2140" i="1"/>
  <c r="C2438" i="1"/>
  <c r="C2660" i="1"/>
  <c r="C2906" i="1"/>
  <c r="C3002" i="1"/>
  <c r="C3148" i="1"/>
  <c r="C3219" i="1"/>
  <c r="C341" i="1"/>
  <c r="C484" i="1"/>
  <c r="C932" i="1"/>
  <c r="C1306" i="1"/>
  <c r="C1721" i="1"/>
  <c r="C2147" i="1"/>
  <c r="C2442" i="1"/>
  <c r="C2665" i="1"/>
  <c r="C2904" i="1"/>
  <c r="C2992" i="1"/>
  <c r="C3140" i="1"/>
  <c r="C3227" i="1"/>
  <c r="C342" i="1"/>
  <c r="C474" i="1"/>
  <c r="C933" i="1"/>
  <c r="C1300" i="1"/>
  <c r="C1729" i="1"/>
  <c r="C2150" i="1"/>
  <c r="C2445" i="1"/>
  <c r="C2668" i="1"/>
  <c r="C2899" i="1"/>
  <c r="C2994" i="1"/>
  <c r="C3149" i="1"/>
  <c r="C3228" i="1"/>
  <c r="C343" i="1"/>
  <c r="C485" i="1"/>
  <c r="C921" i="1"/>
  <c r="C1307" i="1"/>
  <c r="C1731" i="1"/>
  <c r="C2148" i="1"/>
  <c r="C2443" i="1"/>
  <c r="C2669" i="1"/>
  <c r="C2905" i="1"/>
  <c r="C3003" i="1"/>
  <c r="C3151" i="1"/>
  <c r="C3218" i="1"/>
  <c r="C465" i="1"/>
  <c r="C578" i="1"/>
  <c r="C1075" i="1"/>
  <c r="C1579" i="1"/>
  <c r="C2004" i="1"/>
  <c r="C2430" i="1"/>
  <c r="C2728" i="1"/>
  <c r="C2937" i="1"/>
  <c r="C3125" i="1"/>
  <c r="C3203" i="1"/>
  <c r="C3510" i="1"/>
  <c r="C3327" i="1"/>
  <c r="C466" i="1"/>
  <c r="C579" i="1"/>
  <c r="C1076" i="1"/>
  <c r="C1581" i="1"/>
  <c r="C2006" i="1"/>
  <c r="C2424" i="1"/>
  <c r="C2729" i="1"/>
  <c r="C2938" i="1"/>
  <c r="C3126" i="1"/>
  <c r="C3202" i="1"/>
  <c r="C3293" i="1"/>
  <c r="C3511" i="1"/>
  <c r="C467" i="1"/>
  <c r="C580" i="1"/>
  <c r="C1077" i="1"/>
  <c r="C1590" i="1"/>
  <c r="C2007" i="1"/>
  <c r="C2428" i="1"/>
  <c r="C2730" i="1"/>
  <c r="C2947" i="1"/>
  <c r="C3113" i="1"/>
  <c r="C3207" i="1"/>
  <c r="C3294" i="1"/>
  <c r="C3325" i="1"/>
  <c r="C444" i="1"/>
  <c r="C571" i="1"/>
  <c r="C1078" i="1"/>
  <c r="C1591" i="1"/>
  <c r="C2008" i="1"/>
  <c r="C2420" i="1"/>
  <c r="C2735" i="1"/>
  <c r="C2939" i="1"/>
  <c r="C3116" i="1"/>
  <c r="C3205" i="1"/>
  <c r="C3303" i="1"/>
  <c r="C3337" i="1"/>
  <c r="C445" i="1"/>
  <c r="C581" i="1"/>
  <c r="C1079" i="1"/>
  <c r="C1582" i="1"/>
  <c r="C2009" i="1"/>
  <c r="C2425" i="1"/>
  <c r="C2736" i="1"/>
  <c r="C2936" i="1"/>
  <c r="C3115" i="1"/>
  <c r="C3215" i="1"/>
  <c r="C3291" i="1"/>
  <c r="C3330" i="1"/>
  <c r="C446" i="1"/>
  <c r="C572" i="1"/>
  <c r="C1080" i="1"/>
  <c r="C1583" i="1"/>
  <c r="C1999" i="1"/>
  <c r="C2421" i="1"/>
  <c r="C2726" i="1"/>
  <c r="C2948" i="1"/>
  <c r="C3117" i="1"/>
  <c r="C3208" i="1"/>
  <c r="C3292" i="1"/>
  <c r="C3331" i="1"/>
  <c r="C447" i="1"/>
  <c r="C573" i="1"/>
  <c r="C1081" i="1"/>
  <c r="C1584" i="1"/>
  <c r="C2000" i="1"/>
  <c r="C2422" i="1"/>
  <c r="C2737" i="1"/>
  <c r="C2942" i="1"/>
  <c r="C3118" i="1"/>
  <c r="C3204" i="1"/>
  <c r="C3295" i="1"/>
  <c r="C3335" i="1"/>
  <c r="C448" i="1"/>
  <c r="C574" i="1"/>
  <c r="C1082" i="1"/>
  <c r="C1580" i="1"/>
  <c r="C2001" i="1"/>
  <c r="C2418" i="1"/>
  <c r="C2731" i="1"/>
  <c r="C2943" i="1"/>
  <c r="C3114" i="1"/>
  <c r="C3209" i="1"/>
  <c r="C3296" i="1"/>
  <c r="C3326" i="1"/>
  <c r="C449" i="1"/>
  <c r="C570" i="1"/>
  <c r="C1083" i="1"/>
  <c r="C1578" i="1"/>
  <c r="C2002" i="1"/>
  <c r="C2419" i="1"/>
  <c r="C2732" i="1"/>
  <c r="C2944" i="1"/>
  <c r="C3121" i="1"/>
  <c r="C3206" i="1"/>
  <c r="C3297" i="1"/>
  <c r="C3332" i="1"/>
  <c r="C450" i="1"/>
  <c r="C575" i="1"/>
  <c r="C1074" i="1"/>
  <c r="C1585" i="1"/>
  <c r="C2005" i="1"/>
  <c r="C2423" i="1"/>
  <c r="C2727" i="1"/>
  <c r="C2940" i="1"/>
  <c r="C3122" i="1"/>
  <c r="C3210" i="1"/>
  <c r="C3298" i="1"/>
  <c r="C3328" i="1"/>
  <c r="C468" i="1"/>
  <c r="C582" i="1"/>
  <c r="C1084" i="1"/>
  <c r="C1586" i="1"/>
  <c r="C2003" i="1"/>
  <c r="C2426" i="1"/>
  <c r="C2733" i="1"/>
  <c r="C2945" i="1"/>
  <c r="C3123" i="1"/>
  <c r="C3211" i="1"/>
  <c r="C3299" i="1"/>
  <c r="C3333" i="1"/>
  <c r="C469" i="1"/>
  <c r="C576" i="1"/>
  <c r="C1085" i="1"/>
  <c r="C1587" i="1"/>
  <c r="C2010" i="1"/>
  <c r="C2427" i="1"/>
  <c r="C2734" i="1"/>
  <c r="C2941" i="1"/>
  <c r="C3119" i="1"/>
  <c r="C3212" i="1"/>
  <c r="C3300" i="1"/>
  <c r="C3329" i="1"/>
  <c r="C451" i="1"/>
  <c r="C577" i="1"/>
  <c r="C1086" i="1"/>
  <c r="C1588" i="1"/>
  <c r="C2011" i="1"/>
  <c r="C2431" i="1"/>
  <c r="C2738" i="1"/>
  <c r="C2946" i="1"/>
  <c r="C3120" i="1"/>
  <c r="C3213" i="1"/>
  <c r="C3301" i="1"/>
  <c r="C3336" i="1"/>
  <c r="C452" i="1"/>
  <c r="C583" i="1"/>
  <c r="C1087" i="1"/>
  <c r="C1589" i="1"/>
  <c r="C1998" i="1"/>
  <c r="C2429" i="1"/>
  <c r="C2739" i="1"/>
  <c r="C2949" i="1"/>
  <c r="C3124" i="1"/>
  <c r="C3214" i="1"/>
  <c r="C3302" i="1"/>
  <c r="C3334" i="1"/>
  <c r="C142" i="1"/>
  <c r="C274" i="1"/>
  <c r="C302" i="1"/>
  <c r="C556" i="1"/>
  <c r="C725" i="1"/>
  <c r="C892" i="1"/>
  <c r="C1062" i="1"/>
  <c r="C1218" i="1"/>
  <c r="C1343" i="1"/>
  <c r="C1501" i="1"/>
  <c r="C1662" i="1"/>
  <c r="C1802" i="1"/>
  <c r="C143" i="1"/>
  <c r="C266" i="1"/>
  <c r="C303" i="1"/>
  <c r="C557" i="1"/>
  <c r="C726" i="1"/>
  <c r="C893" i="1"/>
  <c r="C1063" i="1"/>
  <c r="C1226" i="1"/>
  <c r="C1344" i="1"/>
  <c r="C1502" i="1"/>
  <c r="C1667" i="1"/>
  <c r="C1803" i="1"/>
  <c r="C144" i="1"/>
  <c r="C267" i="1"/>
  <c r="C304" i="1"/>
  <c r="C558" i="1"/>
  <c r="C727" i="1"/>
  <c r="C894" i="1"/>
  <c r="C1064" i="1"/>
  <c r="C1219" i="1"/>
  <c r="C1345" i="1"/>
  <c r="C1494" i="1"/>
  <c r="C1675" i="1"/>
  <c r="C1810" i="1"/>
  <c r="C145" i="1"/>
  <c r="C275" i="1"/>
  <c r="C305" i="1"/>
  <c r="C559" i="1"/>
  <c r="C728" i="1"/>
  <c r="C895" i="1"/>
  <c r="C1065" i="1"/>
  <c r="C1220" i="1"/>
  <c r="C1346" i="1"/>
  <c r="C1503" i="1"/>
  <c r="C1663" i="1"/>
  <c r="C1811" i="1"/>
  <c r="C3512" i="1"/>
  <c r="C3513" i="1"/>
  <c r="C306" i="1"/>
  <c r="C560" i="1"/>
  <c r="C729" i="1"/>
  <c r="C896" i="1"/>
  <c r="C1066" i="1"/>
  <c r="C1227" i="1"/>
  <c r="C1347" i="1"/>
  <c r="C1504" i="1"/>
  <c r="C1668" i="1"/>
  <c r="C1804" i="1"/>
  <c r="C3514" i="1"/>
  <c r="C28" i="1"/>
  <c r="C312" i="1"/>
  <c r="C561" i="1"/>
  <c r="C730" i="1"/>
  <c r="C897" i="1"/>
  <c r="C1067" i="1"/>
  <c r="C1221" i="1"/>
  <c r="C1348" i="1"/>
  <c r="C1505" i="1"/>
  <c r="C1664" i="1"/>
  <c r="C1812" i="1"/>
  <c r="C2" i="1"/>
  <c r="C36" i="1"/>
  <c r="C307" i="1"/>
  <c r="C562" i="1"/>
  <c r="C731" i="1"/>
  <c r="C898" i="1"/>
  <c r="C1073" i="1"/>
  <c r="C1222" i="1"/>
  <c r="C1349" i="1"/>
  <c r="C1496" i="1"/>
  <c r="C1669" i="1"/>
  <c r="C1813" i="1"/>
  <c r="C3" i="1"/>
  <c r="C29" i="1"/>
  <c r="C313" i="1"/>
  <c r="C563" i="1"/>
  <c r="C732" i="1"/>
  <c r="C899" i="1"/>
  <c r="C1068" i="1"/>
  <c r="C1205" i="1"/>
  <c r="C1350" i="1"/>
  <c r="C1506" i="1"/>
  <c r="C1670" i="1"/>
  <c r="C1814" i="1"/>
  <c r="C4" i="1"/>
  <c r="C30" i="1"/>
  <c r="C308" i="1"/>
  <c r="C564" i="1"/>
  <c r="C733" i="1"/>
  <c r="C900" i="1"/>
  <c r="C1069" i="1"/>
  <c r="C1206" i="1"/>
  <c r="C1351" i="1"/>
  <c r="C1507" i="1"/>
  <c r="C1665" i="1"/>
  <c r="C1815" i="1"/>
  <c r="C5" i="1"/>
  <c r="C31" i="1"/>
  <c r="C309" i="1"/>
  <c r="C565" i="1"/>
  <c r="C734" i="1"/>
  <c r="C901" i="1"/>
  <c r="C1070" i="1"/>
  <c r="C1223" i="1"/>
  <c r="C1352" i="1"/>
  <c r="C1497" i="1"/>
  <c r="C1671" i="1"/>
  <c r="C1805" i="1"/>
  <c r="C6" i="1"/>
  <c r="C32" i="1"/>
  <c r="C310" i="1"/>
  <c r="C566" i="1"/>
  <c r="C735" i="1"/>
  <c r="C902" i="1"/>
  <c r="C1071" i="1"/>
  <c r="C1224" i="1"/>
  <c r="C1341" i="1"/>
  <c r="C1498" i="1"/>
  <c r="C1672" i="1"/>
  <c r="C1806" i="1"/>
  <c r="C7" i="1"/>
  <c r="C33" i="1"/>
  <c r="C314" i="1"/>
  <c r="C567" i="1"/>
  <c r="C736" i="1"/>
  <c r="C903" i="1"/>
  <c r="C1060" i="1"/>
  <c r="C1207" i="1"/>
  <c r="C1353" i="1"/>
  <c r="C1499" i="1"/>
  <c r="C1673" i="1"/>
  <c r="C1807" i="1"/>
  <c r="C8" i="1"/>
  <c r="C34" i="1"/>
  <c r="C315" i="1"/>
  <c r="C569" i="1"/>
  <c r="C724" i="1"/>
  <c r="C904" i="1"/>
  <c r="C1061" i="1"/>
  <c r="C1200" i="1"/>
  <c r="C1342" i="1"/>
  <c r="C1500" i="1"/>
  <c r="C1674" i="1"/>
  <c r="C1808" i="1"/>
  <c r="C9" i="1"/>
  <c r="C35" i="1"/>
  <c r="C311" i="1"/>
  <c r="C568" i="1"/>
  <c r="C737" i="1"/>
  <c r="C905" i="1"/>
  <c r="C1072" i="1"/>
  <c r="C1208" i="1"/>
  <c r="C1340" i="1"/>
  <c r="C1495" i="1"/>
  <c r="C1666" i="1"/>
  <c r="C1809" i="1"/>
  <c r="C218" i="1"/>
  <c r="C118" i="1"/>
  <c r="C405" i="1"/>
  <c r="C626" i="1"/>
  <c r="C823" i="1"/>
  <c r="C1019" i="1"/>
  <c r="C1189" i="1"/>
  <c r="C1375" i="1"/>
  <c r="C1514" i="1"/>
  <c r="C1692" i="1"/>
  <c r="C1916" i="1"/>
  <c r="C2045" i="1"/>
  <c r="C219" i="1"/>
  <c r="C119" i="1"/>
  <c r="C406" i="1"/>
  <c r="C627" i="1"/>
  <c r="C824" i="1"/>
  <c r="C1020" i="1"/>
  <c r="C1190" i="1"/>
  <c r="C1376" i="1"/>
  <c r="C1508" i="1"/>
  <c r="C1693" i="1"/>
  <c r="C1917" i="1"/>
  <c r="C2046" i="1"/>
  <c r="C220" i="1"/>
  <c r="C123" i="1"/>
  <c r="C407" i="1"/>
  <c r="C628" i="1"/>
  <c r="C825" i="1"/>
  <c r="C1021" i="1"/>
  <c r="C1191" i="1"/>
  <c r="C1377" i="1"/>
  <c r="C1509" i="1"/>
  <c r="C1700" i="1"/>
  <c r="C1918" i="1"/>
  <c r="C2047" i="1"/>
  <c r="C223" i="1"/>
  <c r="C120" i="1"/>
  <c r="C408" i="1"/>
  <c r="C629" i="1"/>
  <c r="C826" i="1"/>
  <c r="C1022" i="1"/>
  <c r="C1198" i="1"/>
  <c r="C1378" i="1"/>
  <c r="C1520" i="1"/>
  <c r="C1701" i="1"/>
  <c r="C1914" i="1"/>
  <c r="C2048" i="1"/>
  <c r="C3515" i="1"/>
  <c r="C3516" i="1"/>
  <c r="C409" i="1"/>
  <c r="C630" i="1"/>
  <c r="C827" i="1"/>
  <c r="C1023" i="1"/>
  <c r="C1199" i="1"/>
  <c r="C1387" i="1"/>
  <c r="C1521" i="1"/>
  <c r="C1690" i="1"/>
  <c r="C1915" i="1"/>
  <c r="C2067" i="1"/>
  <c r="C10" i="1"/>
  <c r="C56" i="1"/>
  <c r="C410" i="1"/>
  <c r="C638" i="1"/>
  <c r="C828" i="1"/>
  <c r="C1024" i="1"/>
  <c r="C1192" i="1"/>
  <c r="C1379" i="1"/>
  <c r="C1515" i="1"/>
  <c r="C1702" i="1"/>
  <c r="C1927" i="1"/>
  <c r="C2054" i="1"/>
  <c r="C16" i="1"/>
  <c r="C57" i="1"/>
  <c r="C411" i="1"/>
  <c r="C631" i="1"/>
  <c r="C829" i="1"/>
  <c r="C1031" i="1"/>
  <c r="C1193" i="1"/>
  <c r="C1388" i="1"/>
  <c r="C1516" i="1"/>
  <c r="C1703" i="1"/>
  <c r="C1919" i="1"/>
  <c r="C2049" i="1"/>
  <c r="C17" i="1"/>
  <c r="C58" i="1"/>
  <c r="C412" i="1"/>
  <c r="C632" i="1"/>
  <c r="C835" i="1"/>
  <c r="C1025" i="1"/>
  <c r="C1194" i="1"/>
  <c r="C1380" i="1"/>
  <c r="C1517" i="1"/>
  <c r="C1691" i="1"/>
  <c r="C1920" i="1"/>
  <c r="C2040" i="1"/>
  <c r="C11" i="1"/>
  <c r="C59" i="1"/>
  <c r="C401" i="1"/>
  <c r="C639" i="1"/>
  <c r="C830" i="1"/>
  <c r="C1026" i="1"/>
  <c r="C1195" i="1"/>
  <c r="C1381" i="1"/>
  <c r="C1510" i="1"/>
  <c r="C1694" i="1"/>
  <c r="C1921" i="1"/>
  <c r="C2041" i="1"/>
  <c r="C18" i="1"/>
  <c r="C60" i="1"/>
  <c r="C402" i="1"/>
  <c r="C633" i="1"/>
  <c r="C831" i="1"/>
  <c r="C1027" i="1"/>
  <c r="C1196" i="1"/>
  <c r="C1368" i="1"/>
  <c r="C1518" i="1"/>
  <c r="C1695" i="1"/>
  <c r="C1922" i="1"/>
  <c r="C2042" i="1"/>
  <c r="C12" i="1"/>
  <c r="C61" i="1"/>
  <c r="C403" i="1"/>
  <c r="C634" i="1"/>
  <c r="C832" i="1"/>
  <c r="C1028" i="1"/>
  <c r="C1187" i="1"/>
  <c r="C1382" i="1"/>
  <c r="C1519" i="1"/>
  <c r="C1696" i="1"/>
  <c r="C1923" i="1"/>
  <c r="C2043" i="1"/>
  <c r="C13" i="1"/>
  <c r="C62" i="1"/>
  <c r="C413" i="1"/>
  <c r="C635" i="1"/>
  <c r="C822" i="1"/>
  <c r="C1018" i="1"/>
  <c r="C1186" i="1"/>
  <c r="C1369" i="1"/>
  <c r="C1511" i="1"/>
  <c r="C1697" i="1"/>
  <c r="C1924" i="1"/>
  <c r="C2044" i="1"/>
  <c r="C14" i="1"/>
  <c r="C63" i="1"/>
  <c r="C414" i="1"/>
  <c r="C636" i="1"/>
  <c r="C833" i="1"/>
  <c r="C1029" i="1"/>
  <c r="C1188" i="1"/>
  <c r="C1370" i="1"/>
  <c r="C1512" i="1"/>
  <c r="C1698" i="1"/>
  <c r="C1925" i="1"/>
  <c r="C2050" i="1"/>
  <c r="C15" i="1"/>
  <c r="C64" i="1"/>
  <c r="C404" i="1"/>
  <c r="C637" i="1"/>
  <c r="C834" i="1"/>
  <c r="C1030" i="1"/>
  <c r="C1197" i="1"/>
  <c r="C1371" i="1"/>
  <c r="C1513" i="1"/>
  <c r="C1699" i="1"/>
  <c r="C1926" i="1"/>
  <c r="C2051" i="1"/>
  <c r="C3517" i="1"/>
  <c r="C3518" i="1"/>
  <c r="C501" i="1"/>
  <c r="C746" i="1"/>
  <c r="C949" i="1"/>
  <c r="C1167" i="1"/>
  <c r="C1389" i="1"/>
  <c r="C1601" i="1"/>
  <c r="C1776" i="1"/>
  <c r="C1958" i="1"/>
  <c r="C2205" i="1"/>
  <c r="C2286" i="1"/>
  <c r="C3519" i="1"/>
  <c r="C3520" i="1"/>
  <c r="C512" i="1"/>
  <c r="C747" i="1"/>
  <c r="C950" i="1"/>
  <c r="C1160" i="1"/>
  <c r="C1383" i="1"/>
  <c r="C1602" i="1"/>
  <c r="C1777" i="1"/>
  <c r="C1959" i="1"/>
  <c r="C2199" i="1"/>
  <c r="C2287" i="1"/>
  <c r="C3521" i="1"/>
  <c r="C3522" i="1"/>
  <c r="C513" i="1"/>
  <c r="C748" i="1"/>
  <c r="C951" i="1"/>
  <c r="C1170" i="1"/>
  <c r="C1390" i="1"/>
  <c r="C1592" i="1"/>
  <c r="C1778" i="1"/>
  <c r="C1968" i="1"/>
  <c r="C2194" i="1"/>
  <c r="C2288" i="1"/>
  <c r="C3523" i="1"/>
  <c r="C3524" i="1"/>
  <c r="C502" i="1"/>
  <c r="C749" i="1"/>
  <c r="C952" i="1"/>
  <c r="C1161" i="1"/>
  <c r="C1391" i="1"/>
  <c r="C1604" i="1"/>
  <c r="C1773" i="1"/>
  <c r="C1969" i="1"/>
  <c r="C2206" i="1"/>
  <c r="C2289" i="1"/>
  <c r="C3525" i="1"/>
  <c r="C96" i="1"/>
  <c r="C503" i="1"/>
  <c r="C750" i="1"/>
  <c r="C953" i="1"/>
  <c r="C1171" i="1"/>
  <c r="C1392" i="1"/>
  <c r="C1605" i="1"/>
  <c r="C1786" i="1"/>
  <c r="C1960" i="1"/>
  <c r="C2200" i="1"/>
  <c r="C2278" i="1"/>
  <c r="C37" i="1"/>
  <c r="C104" i="1"/>
  <c r="C504" i="1"/>
  <c r="C738" i="1"/>
  <c r="C954" i="1"/>
  <c r="C1168" i="1"/>
  <c r="C1393" i="1"/>
  <c r="C1593" i="1"/>
  <c r="C1787" i="1"/>
  <c r="C1961" i="1"/>
  <c r="C2207" i="1"/>
  <c r="C2290" i="1"/>
  <c r="C38" i="1"/>
  <c r="C97" i="1"/>
  <c r="C505" i="1"/>
  <c r="C739" i="1"/>
  <c r="C959" i="1"/>
  <c r="C1162" i="1"/>
  <c r="C1384" i="1"/>
  <c r="C1603" i="1"/>
  <c r="C1779" i="1"/>
  <c r="C1962" i="1"/>
  <c r="C2201" i="1"/>
  <c r="C2291" i="1"/>
  <c r="C43" i="1"/>
  <c r="C98" i="1"/>
  <c r="C506" i="1"/>
  <c r="C751" i="1"/>
  <c r="C960" i="1"/>
  <c r="C1163" i="1"/>
  <c r="C1394" i="1"/>
  <c r="C1594" i="1"/>
  <c r="C1780" i="1"/>
  <c r="C1956" i="1"/>
  <c r="C2195" i="1"/>
  <c r="C2279" i="1"/>
  <c r="C39" i="1"/>
  <c r="C99" i="1"/>
  <c r="C507" i="1"/>
  <c r="C740" i="1"/>
  <c r="C955" i="1"/>
  <c r="C1169" i="1"/>
  <c r="C1395" i="1"/>
  <c r="C1597" i="1"/>
  <c r="C1781" i="1"/>
  <c r="C1957" i="1"/>
  <c r="C2196" i="1"/>
  <c r="C2280" i="1"/>
  <c r="C44" i="1"/>
  <c r="C100" i="1"/>
  <c r="C508" i="1"/>
  <c r="C741" i="1"/>
  <c r="C961" i="1"/>
  <c r="C1164" i="1"/>
  <c r="C1385" i="1"/>
  <c r="C1598" i="1"/>
  <c r="C1782" i="1"/>
  <c r="C1963" i="1"/>
  <c r="C2197" i="1"/>
  <c r="C2281" i="1"/>
  <c r="C40" i="1"/>
  <c r="C101" i="1"/>
  <c r="C509" i="1"/>
  <c r="C742" i="1"/>
  <c r="C948" i="1"/>
  <c r="C1158" i="1"/>
  <c r="C1372" i="1"/>
  <c r="C1599" i="1"/>
  <c r="C1783" i="1"/>
  <c r="C1964" i="1"/>
  <c r="C2198" i="1"/>
  <c r="C2282" i="1"/>
  <c r="C41" i="1"/>
  <c r="C102" i="1"/>
  <c r="C510" i="1"/>
  <c r="C743" i="1"/>
  <c r="C956" i="1"/>
  <c r="C1165" i="1"/>
  <c r="C1373" i="1"/>
  <c r="C1595" i="1"/>
  <c r="C1784" i="1"/>
  <c r="C1965" i="1"/>
  <c r="C2202" i="1"/>
  <c r="C2283" i="1"/>
  <c r="C42" i="1"/>
  <c r="C103" i="1"/>
  <c r="C500" i="1"/>
  <c r="C744" i="1"/>
  <c r="C957" i="1"/>
  <c r="C1166" i="1"/>
  <c r="C1374" i="1"/>
  <c r="C1596" i="1"/>
  <c r="C1774" i="1"/>
  <c r="C1966" i="1"/>
  <c r="C2203" i="1"/>
  <c r="C2284" i="1"/>
  <c r="C45" i="1"/>
  <c r="C105" i="1"/>
  <c r="C511" i="1"/>
  <c r="C745" i="1"/>
  <c r="C958" i="1"/>
  <c r="C1159" i="1"/>
  <c r="C1386" i="1"/>
  <c r="C1600" i="1"/>
  <c r="C1785" i="1"/>
  <c r="C1967" i="1"/>
  <c r="C2204" i="1"/>
  <c r="C2285" i="1"/>
  <c r="C3526" i="1"/>
  <c r="C175" i="1"/>
  <c r="C584" i="1"/>
  <c r="C853" i="1"/>
  <c r="C1091" i="1"/>
  <c r="C1316" i="1"/>
  <c r="C1612" i="1"/>
  <c r="C1831" i="1"/>
  <c r="C2034" i="1"/>
  <c r="C2247" i="1"/>
  <c r="C2453" i="1"/>
  <c r="C2566" i="1"/>
  <c r="C3527" i="1"/>
  <c r="C176" i="1"/>
  <c r="C585" i="1"/>
  <c r="C854" i="1"/>
  <c r="C1092" i="1"/>
  <c r="C1317" i="1"/>
  <c r="C1613" i="1"/>
  <c r="C1830" i="1"/>
  <c r="C2026" i="1"/>
  <c r="C2248" i="1"/>
  <c r="C2454" i="1"/>
  <c r="C2571" i="1"/>
  <c r="C3528" i="1"/>
  <c r="C177" i="1"/>
  <c r="C586" i="1"/>
  <c r="C855" i="1"/>
  <c r="C1093" i="1"/>
  <c r="C1318" i="1"/>
  <c r="C1607" i="1"/>
  <c r="C1839" i="1"/>
  <c r="C2035" i="1"/>
  <c r="C2241" i="1"/>
  <c r="C2459" i="1"/>
  <c r="C2567" i="1"/>
  <c r="C3529" i="1"/>
  <c r="C178" i="1"/>
  <c r="C587" i="1"/>
  <c r="C856" i="1"/>
  <c r="C1094" i="1"/>
  <c r="C1319" i="1"/>
  <c r="C1619" i="1"/>
  <c r="C1832" i="1"/>
  <c r="C2036" i="1"/>
  <c r="C2242" i="1"/>
  <c r="C2455" i="1"/>
  <c r="C2568" i="1"/>
  <c r="C77" i="1"/>
  <c r="C179" i="1"/>
  <c r="C588" i="1"/>
  <c r="C857" i="1"/>
  <c r="C1095" i="1"/>
  <c r="C1320" i="1"/>
  <c r="C1618" i="1"/>
  <c r="C1840" i="1"/>
  <c r="C2039" i="1"/>
  <c r="C2243" i="1"/>
  <c r="C2451" i="1"/>
  <c r="C2559" i="1"/>
  <c r="C78" i="1"/>
  <c r="C180" i="1"/>
  <c r="C595" i="1"/>
  <c r="C858" i="1"/>
  <c r="C1096" i="1"/>
  <c r="C1321" i="1"/>
  <c r="C1614" i="1"/>
  <c r="C1841" i="1"/>
  <c r="C2027" i="1"/>
  <c r="C2249" i="1"/>
  <c r="C2456" i="1"/>
  <c r="C2563" i="1"/>
  <c r="C79" i="1"/>
  <c r="C181" i="1"/>
  <c r="C589" i="1"/>
  <c r="C859" i="1"/>
  <c r="C1088" i="1"/>
  <c r="C1322" i="1"/>
  <c r="C1615" i="1"/>
  <c r="C1842" i="1"/>
  <c r="C2037" i="1"/>
  <c r="C2244" i="1"/>
  <c r="C2457" i="1"/>
  <c r="C2564" i="1"/>
  <c r="C80" i="1"/>
  <c r="C187" i="1"/>
  <c r="C596" i="1"/>
  <c r="C850" i="1"/>
  <c r="C1097" i="1"/>
  <c r="C1323" i="1"/>
  <c r="C1608" i="1"/>
  <c r="C1833" i="1"/>
  <c r="C2028" i="1"/>
  <c r="C2237" i="1"/>
  <c r="C2452" i="1"/>
  <c r="C2569" i="1"/>
  <c r="C81" i="1"/>
  <c r="C188" i="1"/>
  <c r="C590" i="1"/>
  <c r="C860" i="1"/>
  <c r="C1098" i="1"/>
  <c r="C1313" i="1"/>
  <c r="C1616" i="1"/>
  <c r="C1834" i="1"/>
  <c r="C2029" i="1"/>
  <c r="C2238" i="1"/>
  <c r="C2447" i="1"/>
  <c r="C2565" i="1"/>
  <c r="C82" i="1"/>
  <c r="C182" i="1"/>
  <c r="C591" i="1"/>
  <c r="C861" i="1"/>
  <c r="C1089" i="1"/>
  <c r="C1314" i="1"/>
  <c r="C1609" i="1"/>
  <c r="C1835" i="1"/>
  <c r="C2030" i="1"/>
  <c r="C2236" i="1"/>
  <c r="C2448" i="1"/>
  <c r="C2560" i="1"/>
  <c r="C75" i="1"/>
  <c r="C174" i="1"/>
  <c r="C592" i="1"/>
  <c r="C862" i="1"/>
  <c r="C1099" i="1"/>
  <c r="C1312" i="1"/>
  <c r="C1610" i="1"/>
  <c r="C1836" i="1"/>
  <c r="C2031" i="1"/>
  <c r="C2239" i="1"/>
  <c r="C2446" i="1"/>
  <c r="C2561" i="1"/>
  <c r="C83" i="1"/>
  <c r="C183" i="1"/>
  <c r="C593" i="1"/>
  <c r="C863" i="1"/>
  <c r="C1100" i="1"/>
  <c r="C1324" i="1"/>
  <c r="C1606" i="1"/>
  <c r="C1837" i="1"/>
  <c r="C2032" i="1"/>
  <c r="C2240" i="1"/>
  <c r="C2449" i="1"/>
  <c r="C2562" i="1"/>
  <c r="C84" i="1"/>
  <c r="C189" i="1"/>
  <c r="C594" i="1"/>
  <c r="C851" i="1"/>
  <c r="C1090" i="1"/>
  <c r="C1315" i="1"/>
  <c r="C1611" i="1"/>
  <c r="C1838" i="1"/>
  <c r="C2033" i="1"/>
  <c r="C2245" i="1"/>
  <c r="C2450" i="1"/>
  <c r="C2558" i="1"/>
  <c r="C85" i="1"/>
  <c r="C184" i="1"/>
  <c r="C597" i="1"/>
  <c r="C852" i="1"/>
  <c r="C1101" i="1"/>
  <c r="C1325" i="1"/>
  <c r="C1617" i="1"/>
  <c r="C1843" i="1"/>
  <c r="C2038" i="1"/>
  <c r="C2246" i="1"/>
  <c r="C2458" i="1"/>
  <c r="C2570" i="1"/>
  <c r="C161" i="1"/>
  <c r="C299" i="1"/>
  <c r="C696" i="1"/>
  <c r="C1010" i="1"/>
  <c r="C1280" i="1"/>
  <c r="C1549" i="1"/>
  <c r="C1901" i="1"/>
  <c r="C2131" i="1"/>
  <c r="C2345" i="1"/>
  <c r="C2531" i="1"/>
  <c r="C2715" i="1"/>
  <c r="C2840" i="1"/>
  <c r="C162" i="1"/>
  <c r="C289" i="1"/>
  <c r="C697" i="1"/>
  <c r="C1011" i="1"/>
  <c r="C1272" i="1"/>
  <c r="C1556" i="1"/>
  <c r="C1900" i="1"/>
  <c r="C2128" i="1"/>
  <c r="C2334" i="1"/>
  <c r="C2542" i="1"/>
  <c r="C2712" i="1"/>
  <c r="C2841" i="1"/>
  <c r="C163" i="1"/>
  <c r="C300" i="1"/>
  <c r="C698" i="1"/>
  <c r="C1012" i="1"/>
  <c r="C1281" i="1"/>
  <c r="C1561" i="1"/>
  <c r="C1909" i="1"/>
  <c r="C2132" i="1"/>
  <c r="C2346" i="1"/>
  <c r="C2534" i="1"/>
  <c r="C2725" i="1"/>
  <c r="C2845" i="1"/>
  <c r="C164" i="1"/>
  <c r="C290" i="1"/>
  <c r="C699" i="1"/>
  <c r="C1013" i="1"/>
  <c r="C1282" i="1"/>
  <c r="C1562" i="1"/>
  <c r="C1905" i="1"/>
  <c r="C2133" i="1"/>
  <c r="C2347" i="1"/>
  <c r="C2535" i="1"/>
  <c r="C2716" i="1"/>
  <c r="C2849" i="1"/>
  <c r="C165" i="1"/>
  <c r="C291" i="1"/>
  <c r="C708" i="1"/>
  <c r="C1004" i="1"/>
  <c r="C1273" i="1"/>
  <c r="C1557" i="1"/>
  <c r="C1910" i="1"/>
  <c r="C2141" i="1"/>
  <c r="C2339" i="1"/>
  <c r="C2536" i="1"/>
  <c r="C2717" i="1"/>
  <c r="C2850" i="1"/>
  <c r="C166" i="1"/>
  <c r="C301" i="1"/>
  <c r="C700" i="1"/>
  <c r="C1014" i="1"/>
  <c r="C1283" i="1"/>
  <c r="C1558" i="1"/>
  <c r="C1906" i="1"/>
  <c r="C2134" i="1"/>
  <c r="C2335" i="1"/>
  <c r="C2537" i="1"/>
  <c r="C2718" i="1"/>
  <c r="C2851" i="1"/>
  <c r="C167" i="1"/>
  <c r="C292" i="1"/>
  <c r="C701" i="1"/>
  <c r="C1005" i="1"/>
  <c r="C1274" i="1"/>
  <c r="C1550" i="1"/>
  <c r="C1907" i="1"/>
  <c r="C2129" i="1"/>
  <c r="C2340" i="1"/>
  <c r="C2543" i="1"/>
  <c r="C2719" i="1"/>
  <c r="C2846" i="1"/>
  <c r="C168" i="1"/>
  <c r="C293" i="1"/>
  <c r="C702" i="1"/>
  <c r="C1015" i="1"/>
  <c r="C1275" i="1"/>
  <c r="C1553" i="1"/>
  <c r="C1902" i="1"/>
  <c r="C2126" i="1"/>
  <c r="C2341" i="1"/>
  <c r="C2538" i="1"/>
  <c r="C2724" i="1"/>
  <c r="C2842" i="1"/>
  <c r="C169" i="1"/>
  <c r="C294" i="1"/>
  <c r="C709" i="1"/>
  <c r="C1016" i="1"/>
  <c r="C1270" i="1"/>
  <c r="C1554" i="1"/>
  <c r="C1903" i="1"/>
  <c r="C2124" i="1"/>
  <c r="C2337" i="1"/>
  <c r="C2533" i="1"/>
  <c r="C2720" i="1"/>
  <c r="C2847" i="1"/>
  <c r="C170" i="1"/>
  <c r="C276" i="1"/>
  <c r="C703" i="1"/>
  <c r="C1006" i="1"/>
  <c r="C1276" i="1"/>
  <c r="C1551" i="1"/>
  <c r="C1904" i="1"/>
  <c r="C2127" i="1"/>
  <c r="C2336" i="1"/>
  <c r="C2539" i="1"/>
  <c r="C2721" i="1"/>
  <c r="C2843" i="1"/>
  <c r="C171" i="1"/>
  <c r="C295" i="1"/>
  <c r="C704" i="1"/>
  <c r="C1007" i="1"/>
  <c r="C1277" i="1"/>
  <c r="C1559" i="1"/>
  <c r="C1911" i="1"/>
  <c r="C2125" i="1"/>
  <c r="C2338" i="1"/>
  <c r="C2540" i="1"/>
  <c r="C2722" i="1"/>
  <c r="C2844" i="1"/>
  <c r="C172" i="1"/>
  <c r="C296" i="1"/>
  <c r="C705" i="1"/>
  <c r="C1008" i="1"/>
  <c r="C1271" i="1"/>
  <c r="C1555" i="1"/>
  <c r="C1908" i="1"/>
  <c r="C2130" i="1"/>
  <c r="C2342" i="1"/>
  <c r="C2532" i="1"/>
  <c r="C2713" i="1"/>
  <c r="C2838" i="1"/>
  <c r="C173" i="1"/>
  <c r="C297" i="1"/>
  <c r="C706" i="1"/>
  <c r="C1009" i="1"/>
  <c r="C1278" i="1"/>
  <c r="C1563" i="1"/>
  <c r="C1912" i="1"/>
  <c r="C2135" i="1"/>
  <c r="C2343" i="1"/>
  <c r="C2541" i="1"/>
  <c r="C2723" i="1"/>
  <c r="C2839" i="1"/>
  <c r="C156" i="1"/>
  <c r="C298" i="1"/>
  <c r="C707" i="1"/>
  <c r="C1017" i="1"/>
  <c r="C1279" i="1"/>
  <c r="C1560" i="1"/>
  <c r="C1913" i="1"/>
  <c r="C2136" i="1"/>
  <c r="C2344" i="1"/>
  <c r="C2529" i="1"/>
  <c r="C2711" i="1"/>
  <c r="C2848" i="1"/>
  <c r="C239" i="1"/>
  <c r="C390" i="1"/>
  <c r="C816" i="1"/>
  <c r="C1156" i="1"/>
  <c r="C1482" i="1"/>
  <c r="C1844" i="1"/>
  <c r="C2186" i="1"/>
  <c r="C2411" i="1"/>
  <c r="C2649" i="1"/>
  <c r="C2784" i="1"/>
  <c r="C2967" i="1"/>
  <c r="C3085" i="1"/>
  <c r="C240" i="1"/>
  <c r="C391" i="1"/>
  <c r="C817" i="1"/>
  <c r="C1146" i="1"/>
  <c r="C1483" i="1"/>
  <c r="C1845" i="1"/>
  <c r="C2183" i="1"/>
  <c r="C2416" i="1"/>
  <c r="C2650" i="1"/>
  <c r="C2785" i="1"/>
  <c r="C2966" i="1"/>
  <c r="C3080" i="1"/>
  <c r="C241" i="1"/>
  <c r="C392" i="1"/>
  <c r="C818" i="1"/>
  <c r="C1147" i="1"/>
  <c r="C1484" i="1"/>
  <c r="C1848" i="1"/>
  <c r="C2187" i="1"/>
  <c r="C2412" i="1"/>
  <c r="C2644" i="1"/>
  <c r="C2795" i="1"/>
  <c r="C2968" i="1"/>
  <c r="C3074" i="1"/>
  <c r="C242" i="1"/>
  <c r="C393" i="1"/>
  <c r="C819" i="1"/>
  <c r="C1148" i="1"/>
  <c r="C1485" i="1"/>
  <c r="C1849" i="1"/>
  <c r="C2188" i="1"/>
  <c r="C2407" i="1"/>
  <c r="C2655" i="1"/>
  <c r="C2783" i="1"/>
  <c r="C2969" i="1"/>
  <c r="C3081" i="1"/>
  <c r="C243" i="1"/>
  <c r="C394" i="1"/>
  <c r="C820" i="1"/>
  <c r="C1157" i="1"/>
  <c r="C1486" i="1"/>
  <c r="C1853" i="1"/>
  <c r="C2193" i="1"/>
  <c r="C2408" i="1"/>
  <c r="C2651" i="1"/>
  <c r="C2782" i="1"/>
  <c r="C2970" i="1"/>
  <c r="C3075" i="1"/>
  <c r="C244" i="1"/>
  <c r="C395" i="1"/>
  <c r="C808" i="1"/>
  <c r="C1144" i="1"/>
  <c r="C1487" i="1"/>
  <c r="C1850" i="1"/>
  <c r="C2184" i="1"/>
  <c r="C2405" i="1"/>
  <c r="C2652" i="1"/>
  <c r="C2786" i="1"/>
  <c r="C2964" i="1"/>
  <c r="C3076" i="1"/>
  <c r="C245" i="1"/>
  <c r="C387" i="1"/>
  <c r="C809" i="1"/>
  <c r="C1149" i="1"/>
  <c r="C1488" i="1"/>
  <c r="C1846" i="1"/>
  <c r="C2179" i="1"/>
  <c r="C2413" i="1"/>
  <c r="C2645" i="1"/>
  <c r="C2787" i="1"/>
  <c r="C2971" i="1"/>
  <c r="C3073" i="1"/>
  <c r="C246" i="1"/>
  <c r="C396" i="1"/>
  <c r="C821" i="1"/>
  <c r="C1150" i="1"/>
  <c r="C1480" i="1"/>
  <c r="C1847" i="1"/>
  <c r="C2189" i="1"/>
  <c r="C2409" i="1"/>
  <c r="C2646" i="1"/>
  <c r="C2788" i="1"/>
  <c r="C2972" i="1"/>
  <c r="C3082" i="1"/>
  <c r="C247" i="1"/>
  <c r="C397" i="1"/>
  <c r="C810" i="1"/>
  <c r="C1151" i="1"/>
  <c r="C1489" i="1"/>
  <c r="C1854" i="1"/>
  <c r="C2180" i="1"/>
  <c r="C2410" i="1"/>
  <c r="C2647" i="1"/>
  <c r="C2789" i="1"/>
  <c r="C2973" i="1"/>
  <c r="C3077" i="1"/>
  <c r="C248" i="1"/>
  <c r="C398" i="1"/>
  <c r="C811" i="1"/>
  <c r="C1152" i="1"/>
  <c r="C1490" i="1"/>
  <c r="C1855" i="1"/>
  <c r="C2181" i="1"/>
  <c r="C2414" i="1"/>
  <c r="C2653" i="1"/>
  <c r="C2790" i="1"/>
  <c r="C2974" i="1"/>
  <c r="C3083" i="1"/>
  <c r="C249" i="1"/>
  <c r="C399" i="1"/>
  <c r="C812" i="1"/>
  <c r="C1153" i="1"/>
  <c r="C1481" i="1"/>
  <c r="C1851" i="1"/>
  <c r="C2185" i="1"/>
  <c r="C2406" i="1"/>
  <c r="C2643" i="1"/>
  <c r="C2793" i="1"/>
  <c r="C2965" i="1"/>
  <c r="C3078" i="1"/>
  <c r="C250" i="1"/>
  <c r="C400" i="1"/>
  <c r="C813" i="1"/>
  <c r="C1154" i="1"/>
  <c r="C1491" i="1"/>
  <c r="C1852" i="1"/>
  <c r="C2190" i="1"/>
  <c r="C2415" i="1"/>
  <c r="C2648" i="1"/>
  <c r="C2791" i="1"/>
  <c r="C2975" i="1"/>
  <c r="C3079" i="1"/>
  <c r="C238" i="1"/>
  <c r="C388" i="1"/>
  <c r="C814" i="1"/>
  <c r="C1155" i="1"/>
  <c r="C1492" i="1"/>
  <c r="C1857" i="1"/>
  <c r="C2191" i="1"/>
  <c r="C2404" i="1"/>
  <c r="C2654" i="1"/>
  <c r="C2792" i="1"/>
  <c r="C2976" i="1"/>
  <c r="C3084" i="1"/>
  <c r="C251" i="1"/>
  <c r="C389" i="1"/>
  <c r="C815" i="1"/>
  <c r="C1145" i="1"/>
  <c r="C1493" i="1"/>
  <c r="C1858" i="1"/>
  <c r="C2192" i="1"/>
  <c r="C2417" i="1"/>
  <c r="C2642" i="1"/>
  <c r="C2794" i="1"/>
  <c r="C2977" i="1"/>
  <c r="C3086" i="1"/>
  <c r="C345" i="1"/>
  <c r="C494" i="1"/>
  <c r="C935" i="1"/>
  <c r="C1357" i="1"/>
  <c r="C1748" i="1"/>
  <c r="C2169" i="1"/>
  <c r="C2478" i="1"/>
  <c r="C2689" i="1"/>
  <c r="C2911" i="1"/>
  <c r="C3041" i="1"/>
  <c r="C3165" i="1"/>
  <c r="C3242" i="1"/>
  <c r="C346" i="1"/>
  <c r="C495" i="1"/>
  <c r="C936" i="1"/>
  <c r="C1358" i="1"/>
  <c r="C1749" i="1"/>
  <c r="C2168" i="1"/>
  <c r="C2487" i="1"/>
  <c r="C2690" i="1"/>
  <c r="C2912" i="1"/>
  <c r="C3042" i="1"/>
  <c r="C3167" i="1"/>
  <c r="C3241" i="1"/>
  <c r="C347" i="1"/>
  <c r="C496" i="1"/>
  <c r="C937" i="1"/>
  <c r="C1359" i="1"/>
  <c r="C1750" i="1"/>
  <c r="C2173" i="1"/>
  <c r="C2479" i="1"/>
  <c r="C2691" i="1"/>
  <c r="C2921" i="1"/>
  <c r="C3033" i="1"/>
  <c r="C3169" i="1"/>
  <c r="C3249" i="1"/>
  <c r="C356" i="1"/>
  <c r="C497" i="1"/>
  <c r="C938" i="1"/>
  <c r="C1360" i="1"/>
  <c r="C1752" i="1"/>
  <c r="C2182" i="1"/>
  <c r="C2475" i="1"/>
  <c r="C2685" i="1"/>
  <c r="C2908" i="1"/>
  <c r="C3034" i="1"/>
  <c r="C3170" i="1"/>
  <c r="C3244" i="1"/>
  <c r="C357" i="1"/>
  <c r="C486" i="1"/>
  <c r="C939" i="1"/>
  <c r="C1367" i="1"/>
  <c r="C1753" i="1"/>
  <c r="C2170" i="1"/>
  <c r="C2480" i="1"/>
  <c r="C2699" i="1"/>
  <c r="C2909" i="1"/>
  <c r="C3035" i="1"/>
  <c r="C3177" i="1"/>
  <c r="C3254" i="1"/>
  <c r="C348" i="1"/>
  <c r="C487" i="1"/>
  <c r="C940" i="1"/>
  <c r="C1361" i="1"/>
  <c r="C1751" i="1"/>
  <c r="C2171" i="1"/>
  <c r="C2481" i="1"/>
  <c r="C2692" i="1"/>
  <c r="C2913" i="1"/>
  <c r="C3036" i="1"/>
  <c r="C3171" i="1"/>
  <c r="C3243" i="1"/>
  <c r="C349" i="1"/>
  <c r="C488" i="1"/>
  <c r="C941" i="1"/>
  <c r="C1362" i="1"/>
  <c r="C1746" i="1"/>
  <c r="C2166" i="1"/>
  <c r="C2482" i="1"/>
  <c r="C2684" i="1"/>
  <c r="C2914" i="1"/>
  <c r="C3045" i="1"/>
  <c r="C3172" i="1"/>
  <c r="C3245" i="1"/>
  <c r="C350" i="1"/>
  <c r="C498" i="1"/>
  <c r="C934" i="1"/>
  <c r="C1363" i="1"/>
  <c r="C1754" i="1"/>
  <c r="C2167" i="1"/>
  <c r="C2483" i="1"/>
  <c r="C2696" i="1"/>
  <c r="C2915" i="1"/>
  <c r="C3037" i="1"/>
  <c r="C3178" i="1"/>
  <c r="C3253" i="1"/>
  <c r="C358" i="1"/>
  <c r="C489" i="1"/>
  <c r="C942" i="1"/>
  <c r="C1354" i="1"/>
  <c r="C1755" i="1"/>
  <c r="C2174" i="1"/>
  <c r="C2474" i="1"/>
  <c r="C2686" i="1"/>
  <c r="C2916" i="1"/>
  <c r="C3044" i="1"/>
  <c r="C3173" i="1"/>
  <c r="C3246" i="1"/>
  <c r="C351" i="1"/>
  <c r="C490" i="1"/>
  <c r="C943" i="1"/>
  <c r="C1355" i="1"/>
  <c r="C1747" i="1"/>
  <c r="C2175" i="1"/>
  <c r="C2476" i="1"/>
  <c r="C2693" i="1"/>
  <c r="C2917" i="1"/>
  <c r="C3038" i="1"/>
  <c r="C3166" i="1"/>
  <c r="C3250" i="1"/>
  <c r="C352" i="1"/>
  <c r="C491" i="1"/>
  <c r="C944" i="1"/>
  <c r="C1364" i="1"/>
  <c r="C1756" i="1"/>
  <c r="C2172" i="1"/>
  <c r="C2484" i="1"/>
  <c r="C2687" i="1"/>
  <c r="C2918" i="1"/>
  <c r="C3039" i="1"/>
  <c r="C3174" i="1"/>
  <c r="C3251" i="1"/>
  <c r="C353" i="1"/>
  <c r="C492" i="1"/>
  <c r="C945" i="1"/>
  <c r="C1365" i="1"/>
  <c r="C1757" i="1"/>
  <c r="C2177" i="1"/>
  <c r="C2486" i="1"/>
  <c r="C2694" i="1"/>
  <c r="C2919" i="1"/>
  <c r="C3040" i="1"/>
  <c r="C3175" i="1"/>
  <c r="C3247" i="1"/>
  <c r="C354" i="1"/>
  <c r="C499" i="1"/>
  <c r="C946" i="1"/>
  <c r="C1366" i="1"/>
  <c r="C1758" i="1"/>
  <c r="C2178" i="1"/>
  <c r="C2485" i="1"/>
  <c r="C2695" i="1"/>
  <c r="C2920" i="1"/>
  <c r="C3043" i="1"/>
  <c r="C3168" i="1"/>
  <c r="C3252" i="1"/>
  <c r="C355" i="1"/>
  <c r="C493" i="1"/>
  <c r="C947" i="1"/>
  <c r="C1356" i="1"/>
  <c r="C1759" i="1"/>
  <c r="C2176" i="1"/>
  <c r="C2477" i="1"/>
  <c r="C2688" i="1"/>
  <c r="C2910" i="1"/>
  <c r="C3032" i="1"/>
  <c r="C3176" i="1"/>
  <c r="C3248" i="1"/>
  <c r="C127" i="1"/>
  <c r="H268" i="1"/>
  <c r="H670" i="1"/>
  <c r="H980" i="1"/>
  <c r="H1242" i="1"/>
  <c r="H1526" i="1"/>
  <c r="H1873" i="1"/>
  <c r="H2097" i="1"/>
  <c r="H2304" i="1"/>
  <c r="H2503" i="1"/>
  <c r="H2672" i="1"/>
  <c r="H2812" i="1"/>
  <c r="H128" i="1"/>
  <c r="H253" i="1"/>
  <c r="H671" i="1"/>
  <c r="H981" i="1"/>
  <c r="H1247" i="1"/>
  <c r="H1522" i="1"/>
  <c r="H1876" i="1"/>
  <c r="H2098" i="1"/>
  <c r="H2292" i="1"/>
  <c r="H2504" i="1"/>
  <c r="H2673" i="1"/>
  <c r="H2811" i="1"/>
  <c r="H129" i="1"/>
  <c r="H254" i="1"/>
  <c r="H680" i="1"/>
  <c r="H982" i="1"/>
  <c r="H1255" i="1"/>
  <c r="H1527" i="1"/>
  <c r="H1872" i="1"/>
  <c r="H2109" i="1"/>
  <c r="H2293" i="1"/>
  <c r="H2502" i="1"/>
  <c r="H2674" i="1"/>
  <c r="H2813" i="1"/>
  <c r="H130" i="1"/>
  <c r="H269" i="1"/>
  <c r="H681" i="1"/>
  <c r="H983" i="1"/>
  <c r="H1248" i="1"/>
  <c r="H1535" i="1"/>
  <c r="H1877" i="1"/>
  <c r="H2099" i="1"/>
  <c r="H2294" i="1"/>
  <c r="H2505" i="1"/>
  <c r="H2670" i="1"/>
  <c r="H2814" i="1"/>
  <c r="H131" i="1"/>
  <c r="H255" i="1"/>
  <c r="H672" i="1"/>
  <c r="H984" i="1"/>
  <c r="H1249" i="1"/>
  <c r="H1528" i="1"/>
  <c r="H1874" i="1"/>
  <c r="H2100" i="1"/>
  <c r="H2305" i="1"/>
  <c r="H2515" i="1"/>
  <c r="H2675" i="1"/>
  <c r="H2815" i="1"/>
  <c r="H132" i="1"/>
  <c r="H256" i="1"/>
  <c r="H673" i="1"/>
  <c r="H989" i="1"/>
  <c r="H1250" i="1"/>
  <c r="H1529" i="1"/>
  <c r="H1875" i="1"/>
  <c r="H2096" i="1"/>
  <c r="H2295" i="1"/>
  <c r="H2514" i="1"/>
  <c r="H2671" i="1"/>
  <c r="H2816" i="1"/>
  <c r="H133" i="1"/>
  <c r="H257" i="1"/>
  <c r="H674" i="1"/>
  <c r="H985" i="1"/>
  <c r="H1251" i="1"/>
  <c r="H1523" i="1"/>
  <c r="H1878" i="1"/>
  <c r="H2101" i="1"/>
  <c r="H2296" i="1"/>
  <c r="H2506" i="1"/>
  <c r="H2676" i="1"/>
  <c r="H2817" i="1"/>
  <c r="H134" i="1"/>
  <c r="H258" i="1"/>
  <c r="H675" i="1"/>
  <c r="H986" i="1"/>
  <c r="H1252" i="1"/>
  <c r="H1524" i="1"/>
  <c r="H1879" i="1"/>
  <c r="H2102" i="1"/>
  <c r="H2297" i="1"/>
  <c r="H2507" i="1"/>
  <c r="H2677" i="1"/>
  <c r="H2823" i="1"/>
  <c r="H135" i="1"/>
  <c r="H259" i="1"/>
  <c r="H676" i="1"/>
  <c r="H987" i="1"/>
  <c r="H1243" i="1"/>
  <c r="H1530" i="1"/>
  <c r="H1880" i="1"/>
  <c r="H2103" i="1"/>
  <c r="H2298" i="1"/>
  <c r="H2508" i="1"/>
  <c r="H2678" i="1"/>
  <c r="H2810" i="1"/>
  <c r="H136" i="1"/>
  <c r="H260" i="1"/>
  <c r="H677" i="1"/>
  <c r="H976" i="1"/>
  <c r="H1253" i="1"/>
  <c r="H1531" i="1"/>
  <c r="H1881" i="1"/>
  <c r="H2104" i="1"/>
  <c r="H2299" i="1"/>
  <c r="H2509" i="1"/>
  <c r="H2679" i="1"/>
  <c r="H2818" i="1"/>
  <c r="H124" i="1"/>
  <c r="H261" i="1"/>
  <c r="H668" i="1"/>
  <c r="H977" i="1"/>
  <c r="H1244" i="1"/>
  <c r="H1532" i="1"/>
  <c r="H1882" i="1"/>
  <c r="H2105" i="1"/>
  <c r="H2300" i="1"/>
  <c r="H2510" i="1"/>
  <c r="H2680" i="1"/>
  <c r="H2819" i="1"/>
  <c r="H125" i="1"/>
  <c r="H262" i="1"/>
  <c r="H678" i="1"/>
  <c r="H978" i="1"/>
  <c r="H1245" i="1"/>
  <c r="H1525" i="1"/>
  <c r="H1883" i="1"/>
  <c r="H2106" i="1"/>
  <c r="H2301" i="1"/>
  <c r="H2511" i="1"/>
  <c r="H2681" i="1"/>
  <c r="H2820" i="1"/>
  <c r="H126" i="1"/>
  <c r="H263" i="1"/>
  <c r="H669" i="1"/>
  <c r="H979" i="1"/>
  <c r="H1246" i="1"/>
  <c r="H1533" i="1"/>
  <c r="H1884" i="1"/>
  <c r="H2107" i="1"/>
  <c r="H2302" i="1"/>
  <c r="H2512" i="1"/>
  <c r="H2682" i="1"/>
  <c r="H2821" i="1"/>
  <c r="H137" i="1"/>
  <c r="H252" i="1"/>
  <c r="H679" i="1"/>
  <c r="H988" i="1"/>
  <c r="H1254" i="1"/>
  <c r="H1534" i="1"/>
  <c r="H1885" i="1"/>
  <c r="H2108" i="1"/>
  <c r="H2303" i="1"/>
  <c r="H2513" i="1"/>
  <c r="H2683" i="1"/>
  <c r="H2822" i="1"/>
  <c r="H203" i="1"/>
  <c r="H369" i="1"/>
  <c r="H781" i="1"/>
  <c r="H1121" i="1"/>
  <c r="H1438" i="1"/>
  <c r="H1761" i="1"/>
  <c r="H2084" i="1"/>
  <c r="H2388" i="1"/>
  <c r="H2545" i="1"/>
  <c r="H2744" i="1"/>
  <c r="H2923" i="1"/>
  <c r="H3451" i="1"/>
  <c r="H204" i="1"/>
  <c r="H370" i="1"/>
  <c r="H782" i="1"/>
  <c r="H1122" i="1"/>
  <c r="H1445" i="1"/>
  <c r="H1762" i="1"/>
  <c r="H2085" i="1"/>
  <c r="H2365" i="1"/>
  <c r="H2546" i="1"/>
  <c r="H2745" i="1"/>
  <c r="H2924" i="1"/>
  <c r="H3023" i="1"/>
  <c r="H205" i="1"/>
  <c r="H371" i="1"/>
  <c r="H790" i="1"/>
  <c r="H1123" i="1"/>
  <c r="H1439" i="1"/>
  <c r="H1764" i="1"/>
  <c r="H2086" i="1"/>
  <c r="H2366" i="1"/>
  <c r="H2547" i="1"/>
  <c r="H2746" i="1"/>
  <c r="H2925" i="1"/>
  <c r="H3029" i="1"/>
  <c r="H221" i="1"/>
  <c r="H359" i="1"/>
  <c r="H791" i="1"/>
  <c r="H1129" i="1"/>
  <c r="H1446" i="1"/>
  <c r="H1765" i="1"/>
  <c r="H2082" i="1"/>
  <c r="H2367" i="1"/>
  <c r="H2552" i="1"/>
  <c r="H2741" i="1"/>
  <c r="H2926" i="1"/>
  <c r="H3021" i="1"/>
  <c r="H206" i="1"/>
  <c r="H360" i="1"/>
  <c r="H783" i="1"/>
  <c r="H1124" i="1"/>
  <c r="H1451" i="1"/>
  <c r="H1760" i="1"/>
  <c r="H2095" i="1"/>
  <c r="H2387" i="1"/>
  <c r="H2557" i="1"/>
  <c r="H2742" i="1"/>
  <c r="H2927" i="1"/>
  <c r="H3022" i="1"/>
  <c r="H207" i="1"/>
  <c r="H372" i="1"/>
  <c r="H784" i="1"/>
  <c r="H1125" i="1"/>
  <c r="H1447" i="1"/>
  <c r="H1763" i="1"/>
  <c r="H2087" i="1"/>
  <c r="H2362" i="1"/>
  <c r="H2553" i="1"/>
  <c r="H2743" i="1"/>
  <c r="H2928" i="1"/>
  <c r="H3030" i="1"/>
  <c r="H208" i="1"/>
  <c r="H361" i="1"/>
  <c r="H792" i="1"/>
  <c r="H1126" i="1"/>
  <c r="H1448" i="1"/>
  <c r="H1766" i="1"/>
  <c r="H2088" i="1"/>
  <c r="H2368" i="1"/>
  <c r="H2554" i="1"/>
  <c r="H2747" i="1"/>
  <c r="H2929" i="1"/>
  <c r="H3020" i="1"/>
  <c r="H209" i="1"/>
  <c r="H362" i="1"/>
  <c r="H785" i="1"/>
  <c r="H1127" i="1"/>
  <c r="H1440" i="1"/>
  <c r="H1767" i="1"/>
  <c r="H2089" i="1"/>
  <c r="H2369" i="1"/>
  <c r="H2548" i="1"/>
  <c r="H2748" i="1"/>
  <c r="H2935" i="1"/>
  <c r="H3024" i="1"/>
  <c r="H210" i="1"/>
  <c r="H363" i="1"/>
  <c r="H793" i="1"/>
  <c r="H1116" i="1"/>
  <c r="H1441" i="1"/>
  <c r="H1768" i="1"/>
  <c r="H2090" i="1"/>
  <c r="H2370" i="1"/>
  <c r="H2549" i="1"/>
  <c r="H2749" i="1"/>
  <c r="H2922" i="1"/>
  <c r="H3031" i="1"/>
  <c r="H211" i="1"/>
  <c r="H364" i="1"/>
  <c r="H786" i="1"/>
  <c r="H1117" i="1"/>
  <c r="H1442" i="1"/>
  <c r="H1769" i="1"/>
  <c r="H2091" i="1"/>
  <c r="H2371" i="1"/>
  <c r="H2550" i="1"/>
  <c r="H2750" i="1"/>
  <c r="H2930" i="1"/>
  <c r="H3019" i="1"/>
  <c r="H212" i="1"/>
  <c r="H365" i="1"/>
  <c r="H787" i="1"/>
  <c r="H1118" i="1"/>
  <c r="H1443" i="1"/>
  <c r="H1770" i="1"/>
  <c r="H2092" i="1"/>
  <c r="H2372" i="1"/>
  <c r="H2551" i="1"/>
  <c r="H2751" i="1"/>
  <c r="H2931" i="1"/>
  <c r="H3025" i="1"/>
  <c r="H202" i="1"/>
  <c r="H366" i="1"/>
  <c r="H780" i="1"/>
  <c r="H1119" i="1"/>
  <c r="H1444" i="1"/>
  <c r="H1771" i="1"/>
  <c r="H2093" i="1"/>
  <c r="H2373" i="1"/>
  <c r="H2555" i="1"/>
  <c r="H2752" i="1"/>
  <c r="H2932" i="1"/>
  <c r="H3026" i="1"/>
  <c r="H213" i="1"/>
  <c r="H367" i="1"/>
  <c r="H788" i="1"/>
  <c r="H1120" i="1"/>
  <c r="H1449" i="1"/>
  <c r="H1772" i="1"/>
  <c r="H2094" i="1"/>
  <c r="H2374" i="1"/>
  <c r="H2556" i="1"/>
  <c r="H2753" i="1"/>
  <c r="H2933" i="1"/>
  <c r="H3027" i="1"/>
  <c r="H214" i="1"/>
  <c r="H368" i="1"/>
  <c r="H789" i="1"/>
  <c r="H1128" i="1"/>
  <c r="H1450" i="1"/>
  <c r="H1775" i="1"/>
  <c r="H2081" i="1"/>
  <c r="H2364" i="1"/>
  <c r="H2544" i="1"/>
  <c r="H2740" i="1"/>
  <c r="H2934" i="1"/>
  <c r="H3028" i="1"/>
  <c r="H326" i="1"/>
  <c r="H453" i="1"/>
  <c r="H909" i="1"/>
  <c r="H1284" i="1"/>
  <c r="H1676" i="1"/>
  <c r="H2025" i="1"/>
  <c r="H2389" i="1"/>
  <c r="H2600" i="1"/>
  <c r="H2796" i="1"/>
  <c r="H2989" i="1"/>
  <c r="H3452" i="1"/>
  <c r="H3453" i="1"/>
  <c r="H327" i="1"/>
  <c r="H454" i="1"/>
  <c r="H910" i="1"/>
  <c r="H1289" i="1"/>
  <c r="H1677" i="1"/>
  <c r="H2016" i="1"/>
  <c r="H2375" i="1"/>
  <c r="H2602" i="1"/>
  <c r="H2798" i="1"/>
  <c r="H2990" i="1"/>
  <c r="H3454" i="1"/>
  <c r="H3185" i="1"/>
  <c r="H328" i="1"/>
  <c r="H455" i="1"/>
  <c r="H911" i="1"/>
  <c r="H1290" i="1"/>
  <c r="H1684" i="1"/>
  <c r="H2017" i="1"/>
  <c r="H2377" i="1"/>
  <c r="H2601" i="1"/>
  <c r="H2799" i="1"/>
  <c r="H2979" i="1"/>
  <c r="H3133" i="1"/>
  <c r="H3455" i="1"/>
  <c r="H317" i="1"/>
  <c r="H456" i="1"/>
  <c r="H912" i="1"/>
  <c r="H1291" i="1"/>
  <c r="H1678" i="1"/>
  <c r="H2018" i="1"/>
  <c r="H2376" i="1"/>
  <c r="H2603" i="1"/>
  <c r="H2797" i="1"/>
  <c r="H2980" i="1"/>
  <c r="H3129" i="1"/>
  <c r="H3188" i="1"/>
  <c r="H318" i="1"/>
  <c r="H470" i="1"/>
  <c r="H913" i="1"/>
  <c r="H1292" i="1"/>
  <c r="H1685" i="1"/>
  <c r="H2019" i="1"/>
  <c r="H2378" i="1"/>
  <c r="H2613" i="1"/>
  <c r="H2801" i="1"/>
  <c r="H2981" i="1"/>
  <c r="H3131" i="1"/>
  <c r="H3183" i="1"/>
  <c r="H319" i="1"/>
  <c r="H457" i="1"/>
  <c r="H914" i="1"/>
  <c r="H1293" i="1"/>
  <c r="H1679" i="1"/>
  <c r="H2012" i="1"/>
  <c r="H2379" i="1"/>
  <c r="H2612" i="1"/>
  <c r="H2802" i="1"/>
  <c r="H2982" i="1"/>
  <c r="H3138" i="1"/>
  <c r="H3189" i="1"/>
  <c r="H320" i="1"/>
  <c r="H458" i="1"/>
  <c r="H906" i="1"/>
  <c r="H1294" i="1"/>
  <c r="H1686" i="1"/>
  <c r="H2013" i="1"/>
  <c r="H2380" i="1"/>
  <c r="H2604" i="1"/>
  <c r="H2800" i="1"/>
  <c r="H2988" i="1"/>
  <c r="H3130" i="1"/>
  <c r="H3182" i="1"/>
  <c r="H329" i="1"/>
  <c r="H459" i="1"/>
  <c r="H915" i="1"/>
  <c r="H1297" i="1"/>
  <c r="H1687" i="1"/>
  <c r="H2014" i="1"/>
  <c r="H2381" i="1"/>
  <c r="H2605" i="1"/>
  <c r="H2803" i="1"/>
  <c r="H2991" i="1"/>
  <c r="H3137" i="1"/>
  <c r="H3181" i="1"/>
  <c r="H321" i="1"/>
  <c r="H460" i="1"/>
  <c r="H916" i="1"/>
  <c r="H1285" i="1"/>
  <c r="H1680" i="1"/>
  <c r="H2020" i="1"/>
  <c r="H2382" i="1"/>
  <c r="H2606" i="1"/>
  <c r="H2804" i="1"/>
  <c r="H2978" i="1"/>
  <c r="H3132" i="1"/>
  <c r="H3190" i="1"/>
  <c r="H316" i="1"/>
  <c r="H461" i="1"/>
  <c r="H907" i="1"/>
  <c r="H1286" i="1"/>
  <c r="H1681" i="1"/>
  <c r="H2021" i="1"/>
  <c r="H2383" i="1"/>
  <c r="H2607" i="1"/>
  <c r="H2805" i="1"/>
  <c r="H2983" i="1"/>
  <c r="H3127" i="1"/>
  <c r="H3184" i="1"/>
  <c r="H322" i="1"/>
  <c r="H462" i="1"/>
  <c r="H908" i="1"/>
  <c r="H1287" i="1"/>
  <c r="H1682" i="1"/>
  <c r="H2022" i="1"/>
  <c r="H2384" i="1"/>
  <c r="H2608" i="1"/>
  <c r="H2806" i="1"/>
  <c r="H2984" i="1"/>
  <c r="H3134" i="1"/>
  <c r="H3179" i="1"/>
  <c r="H323" i="1"/>
  <c r="H443" i="1"/>
  <c r="H917" i="1"/>
  <c r="H1295" i="1"/>
  <c r="H1688" i="1"/>
  <c r="H2023" i="1"/>
  <c r="H2385" i="1"/>
  <c r="H2609" i="1"/>
  <c r="H2807" i="1"/>
  <c r="H2985" i="1"/>
  <c r="H3135" i="1"/>
  <c r="H3186" i="1"/>
  <c r="H324" i="1"/>
  <c r="H471" i="1"/>
  <c r="H918" i="1"/>
  <c r="H1296" i="1"/>
  <c r="H1689" i="1"/>
  <c r="H2015" i="1"/>
  <c r="H2363" i="1"/>
  <c r="H2610" i="1"/>
  <c r="H2808" i="1"/>
  <c r="H2986" i="1"/>
  <c r="H3136" i="1"/>
  <c r="H3187" i="1"/>
  <c r="H325" i="1"/>
  <c r="H463" i="1"/>
  <c r="H919" i="1"/>
  <c r="H1288" i="1"/>
  <c r="H1683" i="1"/>
  <c r="H2024" i="1"/>
  <c r="H2386" i="1"/>
  <c r="H2611" i="1"/>
  <c r="H2809" i="1"/>
  <c r="H2987" i="1"/>
  <c r="H3128" i="1"/>
  <c r="H3180" i="1"/>
  <c r="H431" i="1"/>
  <c r="H544" i="1"/>
  <c r="H1056" i="1"/>
  <c r="H1470" i="1"/>
  <c r="H1946" i="1"/>
  <c r="H2275" i="1"/>
  <c r="H2629" i="1"/>
  <c r="H2865" i="1"/>
  <c r="H3456" i="1"/>
  <c r="H3457" i="1"/>
  <c r="H3458" i="1"/>
  <c r="H3459" i="1"/>
  <c r="H432" i="1"/>
  <c r="H545" i="1"/>
  <c r="H1057" i="1"/>
  <c r="H1476" i="1"/>
  <c r="H1947" i="1"/>
  <c r="H2265" i="1"/>
  <c r="H2630" i="1"/>
  <c r="H2855" i="1"/>
  <c r="H3007" i="1"/>
  <c r="H3460" i="1"/>
  <c r="H3461" i="1"/>
  <c r="H3313" i="1"/>
  <c r="H433" i="1"/>
  <c r="H546" i="1"/>
  <c r="H1049" i="1"/>
  <c r="H1477" i="1"/>
  <c r="H1944" i="1"/>
  <c r="H2276" i="1"/>
  <c r="H2628" i="1"/>
  <c r="H2857" i="1"/>
  <c r="H3005" i="1"/>
  <c r="H3161" i="1"/>
  <c r="H3462" i="1"/>
  <c r="H3463" i="1"/>
  <c r="H434" i="1"/>
  <c r="H547" i="1"/>
  <c r="H1050" i="1"/>
  <c r="H1478" i="1"/>
  <c r="H1948" i="1"/>
  <c r="H2266" i="1"/>
  <c r="H2631" i="1"/>
  <c r="H2853" i="1"/>
  <c r="H3018" i="1"/>
  <c r="H3154" i="1"/>
  <c r="H3263" i="1"/>
  <c r="H3464" i="1"/>
  <c r="H435" i="1"/>
  <c r="H555" i="1"/>
  <c r="H1058" i="1"/>
  <c r="H1466" i="1"/>
  <c r="H1945" i="1"/>
  <c r="H2277" i="1"/>
  <c r="H2641" i="1"/>
  <c r="H2852" i="1"/>
  <c r="H3010" i="1"/>
  <c r="H3156" i="1"/>
  <c r="H3258" i="1"/>
  <c r="H3307" i="1"/>
  <c r="H436" i="1"/>
  <c r="H548" i="1"/>
  <c r="H1046" i="1"/>
  <c r="H1467" i="1"/>
  <c r="H1949" i="1"/>
  <c r="H2267" i="1"/>
  <c r="H2632" i="1"/>
  <c r="H2864" i="1"/>
  <c r="H3004" i="1"/>
  <c r="H3163" i="1"/>
  <c r="H3264" i="1"/>
  <c r="H3304" i="1"/>
  <c r="H437" i="1"/>
  <c r="H549" i="1"/>
  <c r="H1059" i="1"/>
  <c r="H1468" i="1"/>
  <c r="H1950" i="1"/>
  <c r="H2268" i="1"/>
  <c r="H2633" i="1"/>
  <c r="H2854" i="1"/>
  <c r="H3017" i="1"/>
  <c r="H3157" i="1"/>
  <c r="H3259" i="1"/>
  <c r="H3314" i="1"/>
  <c r="H438" i="1"/>
  <c r="H550" i="1"/>
  <c r="H1051" i="1"/>
  <c r="H1471" i="1"/>
  <c r="H1951" i="1"/>
  <c r="H2269" i="1"/>
  <c r="H2634" i="1"/>
  <c r="H2858" i="1"/>
  <c r="H3008" i="1"/>
  <c r="H3164" i="1"/>
  <c r="H3257" i="1"/>
  <c r="H3305" i="1"/>
  <c r="H429" i="1"/>
  <c r="H542" i="1"/>
  <c r="H1052" i="1"/>
  <c r="H1472" i="1"/>
  <c r="H1952" i="1"/>
  <c r="H2270" i="1"/>
  <c r="H2635" i="1"/>
  <c r="H2859" i="1"/>
  <c r="H3012" i="1"/>
  <c r="H3155" i="1"/>
  <c r="H3265" i="1"/>
  <c r="H3308" i="1"/>
  <c r="H439" i="1"/>
  <c r="H551" i="1"/>
  <c r="H1047" i="1"/>
  <c r="H1473" i="1"/>
  <c r="H1953" i="1"/>
  <c r="H2271" i="1"/>
  <c r="H2636" i="1"/>
  <c r="H2860" i="1"/>
  <c r="H3013" i="1"/>
  <c r="H3158" i="1"/>
  <c r="H3256" i="1"/>
  <c r="H3306" i="1"/>
  <c r="H430" i="1"/>
  <c r="H543" i="1"/>
  <c r="H1053" i="1"/>
  <c r="H1474" i="1"/>
  <c r="H1954" i="1"/>
  <c r="H2272" i="1"/>
  <c r="H2637" i="1"/>
  <c r="H2861" i="1"/>
  <c r="H3014" i="1"/>
  <c r="H3159" i="1"/>
  <c r="H3260" i="1"/>
  <c r="H3312" i="1"/>
  <c r="H440" i="1"/>
  <c r="H552" i="1"/>
  <c r="H1048" i="1"/>
  <c r="H1469" i="1"/>
  <c r="H1942" i="1"/>
  <c r="H2273" i="1"/>
  <c r="H2638" i="1"/>
  <c r="H2862" i="1"/>
  <c r="H3015" i="1"/>
  <c r="H3160" i="1"/>
  <c r="H3261" i="1"/>
  <c r="H3309" i="1"/>
  <c r="H441" i="1"/>
  <c r="H553" i="1"/>
  <c r="H1054" i="1"/>
  <c r="H1475" i="1"/>
  <c r="H1955" i="1"/>
  <c r="H2274" i="1"/>
  <c r="H2639" i="1"/>
  <c r="H2863" i="1"/>
  <c r="H3009" i="1"/>
  <c r="H3153" i="1"/>
  <c r="H3262" i="1"/>
  <c r="H3310" i="1"/>
  <c r="H442" i="1"/>
  <c r="H554" i="1"/>
  <c r="H1055" i="1"/>
  <c r="H1479" i="1"/>
  <c r="H1943" i="1"/>
  <c r="H2264" i="1"/>
  <c r="H2640" i="1"/>
  <c r="H2856" i="1"/>
  <c r="H3016" i="1"/>
  <c r="H3162" i="1"/>
  <c r="H3255" i="1"/>
  <c r="H3311" i="1"/>
  <c r="H531" i="1"/>
  <c r="H642" i="1"/>
  <c r="H1209" i="1"/>
  <c r="H1707" i="1"/>
  <c r="H2231" i="1"/>
  <c r="H2574" i="1"/>
  <c r="H2892" i="1"/>
  <c r="H3465" i="1"/>
  <c r="H3466" i="1"/>
  <c r="H3285" i="1"/>
  <c r="H3467" i="1"/>
  <c r="H3375" i="1"/>
  <c r="H532" i="1"/>
  <c r="H653" i="1"/>
  <c r="H1210" i="1"/>
  <c r="H1713" i="1"/>
  <c r="H2222" i="1"/>
  <c r="H2575" i="1"/>
  <c r="H2880" i="1"/>
  <c r="H3062" i="1"/>
  <c r="H3468" i="1"/>
  <c r="H3282" i="1"/>
  <c r="H3358" i="1"/>
  <c r="H3376" i="1"/>
  <c r="H533" i="1"/>
  <c r="H643" i="1"/>
  <c r="H1225" i="1"/>
  <c r="H1717" i="1"/>
  <c r="H2223" i="1"/>
  <c r="H2572" i="1"/>
  <c r="H2882" i="1"/>
  <c r="H3063" i="1"/>
  <c r="H3469" i="1"/>
  <c r="H3470" i="1"/>
  <c r="H3471" i="1"/>
  <c r="H3472" i="1"/>
  <c r="H534" i="1"/>
  <c r="H644" i="1"/>
  <c r="H1211" i="1"/>
  <c r="H1704" i="1"/>
  <c r="H2235" i="1"/>
  <c r="H2584" i="1"/>
  <c r="H2883" i="1"/>
  <c r="H3064" i="1"/>
  <c r="H3193" i="1"/>
  <c r="H3473" i="1"/>
  <c r="H3474" i="1"/>
  <c r="H3372" i="1"/>
  <c r="H535" i="1"/>
  <c r="H645" i="1"/>
  <c r="H1212" i="1"/>
  <c r="H1705" i="1"/>
  <c r="H2232" i="1"/>
  <c r="H2585" i="1"/>
  <c r="H2881" i="1"/>
  <c r="H3061" i="1"/>
  <c r="H3194" i="1"/>
  <c r="H3279" i="1"/>
  <c r="H3475" i="1"/>
  <c r="H3476" i="1"/>
  <c r="H536" i="1"/>
  <c r="H646" i="1"/>
  <c r="H1213" i="1"/>
  <c r="H1714" i="1"/>
  <c r="H2224" i="1"/>
  <c r="H2576" i="1"/>
  <c r="H2891" i="1"/>
  <c r="H3065" i="1"/>
  <c r="H3192" i="1"/>
  <c r="H3290" i="1"/>
  <c r="H3351" i="1"/>
  <c r="H3477" i="1"/>
  <c r="H537" i="1"/>
  <c r="H647" i="1"/>
  <c r="H1214" i="1"/>
  <c r="H1708" i="1"/>
  <c r="H2225" i="1"/>
  <c r="H2577" i="1"/>
  <c r="H2884" i="1"/>
  <c r="H3072" i="1"/>
  <c r="H3195" i="1"/>
  <c r="H3284" i="1"/>
  <c r="H3359" i="1"/>
  <c r="H3377" i="1"/>
  <c r="H538" i="1"/>
  <c r="H640" i="1"/>
  <c r="H1201" i="1"/>
  <c r="H1709" i="1"/>
  <c r="H2226" i="1"/>
  <c r="H2578" i="1"/>
  <c r="H2885" i="1"/>
  <c r="H3066" i="1"/>
  <c r="H3201" i="1"/>
  <c r="H3280" i="1"/>
  <c r="H3350" i="1"/>
  <c r="H3371" i="1"/>
  <c r="H539" i="1"/>
  <c r="H648" i="1"/>
  <c r="H1202" i="1"/>
  <c r="H1710" i="1"/>
  <c r="H2227" i="1"/>
  <c r="H2579" i="1"/>
  <c r="H2886" i="1"/>
  <c r="H3067" i="1"/>
  <c r="H3196" i="1"/>
  <c r="H3283" i="1"/>
  <c r="H3354" i="1"/>
  <c r="H3378" i="1"/>
  <c r="H528" i="1"/>
  <c r="H641" i="1"/>
  <c r="H1203" i="1"/>
  <c r="H1711" i="1"/>
  <c r="H2228" i="1"/>
  <c r="H2580" i="1"/>
  <c r="H2887" i="1"/>
  <c r="H3068" i="1"/>
  <c r="H3197" i="1"/>
  <c r="H3286" i="1"/>
  <c r="H3355" i="1"/>
  <c r="H3381" i="1"/>
  <c r="H529" i="1"/>
  <c r="H649" i="1"/>
  <c r="H1215" i="1"/>
  <c r="H1715" i="1"/>
  <c r="H2233" i="1"/>
  <c r="H2583" i="1"/>
  <c r="H2888" i="1"/>
  <c r="H3069" i="1"/>
  <c r="H3198" i="1"/>
  <c r="H3287" i="1"/>
  <c r="H3356" i="1"/>
  <c r="H3373" i="1"/>
  <c r="H540" i="1"/>
  <c r="H650" i="1"/>
  <c r="H1204" i="1"/>
  <c r="H1712" i="1"/>
  <c r="H2229" i="1"/>
  <c r="H2581" i="1"/>
  <c r="H2893" i="1"/>
  <c r="H3060" i="1"/>
  <c r="H3199" i="1"/>
  <c r="H3288" i="1"/>
  <c r="H3357" i="1"/>
  <c r="H3379" i="1"/>
  <c r="H530" i="1"/>
  <c r="H651" i="1"/>
  <c r="H1216" i="1"/>
  <c r="H1716" i="1"/>
  <c r="H2230" i="1"/>
  <c r="H2582" i="1"/>
  <c r="H2889" i="1"/>
  <c r="H3070" i="1"/>
  <c r="H3191" i="1"/>
  <c r="H3289" i="1"/>
  <c r="H3353" i="1"/>
  <c r="H3380" i="1"/>
  <c r="H541" i="1"/>
  <c r="H652" i="1"/>
  <c r="H1217" i="1"/>
  <c r="H1706" i="1"/>
  <c r="H2234" i="1"/>
  <c r="H2573" i="1"/>
  <c r="H2890" i="1"/>
  <c r="H3071" i="1"/>
  <c r="H3200" i="1"/>
  <c r="H3281" i="1"/>
  <c r="H3352" i="1"/>
  <c r="H3374" i="1"/>
  <c r="H625" i="1"/>
  <c r="H766" i="1"/>
  <c r="H1428" i="1"/>
  <c r="H1986" i="1"/>
  <c r="H2490" i="1"/>
  <c r="H2878" i="1"/>
  <c r="H3478" i="1"/>
  <c r="H3234" i="1"/>
  <c r="H3479" i="1"/>
  <c r="H3369" i="1"/>
  <c r="H3393" i="1"/>
  <c r="H3423" i="1"/>
  <c r="H612" i="1"/>
  <c r="H767" i="1"/>
  <c r="H1429" i="1"/>
  <c r="H1984" i="1"/>
  <c r="H2501" i="1"/>
  <c r="H2869" i="1"/>
  <c r="H3102" i="1"/>
  <c r="H3480" i="1"/>
  <c r="H3481" i="1"/>
  <c r="H3482" i="1"/>
  <c r="H3394" i="1"/>
  <c r="H3419" i="1"/>
  <c r="H613" i="1"/>
  <c r="H768" i="1"/>
  <c r="H1430" i="1"/>
  <c r="H1987" i="1"/>
  <c r="H2488" i="1"/>
  <c r="H2870" i="1"/>
  <c r="H3101" i="1"/>
  <c r="H3483" i="1"/>
  <c r="H3484" i="1"/>
  <c r="H3363" i="1"/>
  <c r="H3399" i="1"/>
  <c r="H3424" i="1"/>
  <c r="H614" i="1"/>
  <c r="H769" i="1"/>
  <c r="H1431" i="1"/>
  <c r="H1988" i="1"/>
  <c r="H2491" i="1"/>
  <c r="H2879" i="1"/>
  <c r="H3104" i="1"/>
  <c r="H3230" i="1"/>
  <c r="H3485" i="1"/>
  <c r="H3486" i="1"/>
  <c r="H3400" i="1"/>
  <c r="H3487" i="1"/>
  <c r="H615" i="1"/>
  <c r="H770" i="1"/>
  <c r="H1432" i="1"/>
  <c r="H1989" i="1"/>
  <c r="H2492" i="1"/>
  <c r="H2868" i="1"/>
  <c r="H3105" i="1"/>
  <c r="H3239" i="1"/>
  <c r="H3316" i="1"/>
  <c r="H3488" i="1"/>
  <c r="H3489" i="1"/>
  <c r="H3425" i="1"/>
  <c r="H616" i="1"/>
  <c r="H771" i="1"/>
  <c r="H1424" i="1"/>
  <c r="H1990" i="1"/>
  <c r="H2493" i="1"/>
  <c r="H2866" i="1"/>
  <c r="H3112" i="1"/>
  <c r="H3232" i="1"/>
  <c r="H3324" i="1"/>
  <c r="H3360" i="1"/>
  <c r="H3490" i="1"/>
  <c r="H3427" i="1"/>
  <c r="H617" i="1"/>
  <c r="H772" i="1"/>
  <c r="H1433" i="1"/>
  <c r="H1991" i="1"/>
  <c r="H2494" i="1"/>
  <c r="H2871" i="1"/>
  <c r="H3103" i="1"/>
  <c r="H3233" i="1"/>
  <c r="H3315" i="1"/>
  <c r="H3365" i="1"/>
  <c r="H3401" i="1"/>
  <c r="H3426" i="1"/>
  <c r="H618" i="1"/>
  <c r="H773" i="1"/>
  <c r="H1426" i="1"/>
  <c r="H1992" i="1"/>
  <c r="H2495" i="1"/>
  <c r="H2872" i="1"/>
  <c r="H3106" i="1"/>
  <c r="H3231" i="1"/>
  <c r="H3317" i="1"/>
  <c r="H3366" i="1"/>
  <c r="H3395" i="1"/>
  <c r="H3428" i="1"/>
  <c r="H619" i="1"/>
  <c r="H774" i="1"/>
  <c r="H1427" i="1"/>
  <c r="H1993" i="1"/>
  <c r="H2496" i="1"/>
  <c r="H2873" i="1"/>
  <c r="H3107" i="1"/>
  <c r="H3235" i="1"/>
  <c r="H3323" i="1"/>
  <c r="H3370" i="1"/>
  <c r="H3402" i="1"/>
  <c r="H3429" i="1"/>
  <c r="H620" i="1"/>
  <c r="H775" i="1"/>
  <c r="H1434" i="1"/>
  <c r="H1994" i="1"/>
  <c r="H2497" i="1"/>
  <c r="H2874" i="1"/>
  <c r="H3108" i="1"/>
  <c r="H3236" i="1"/>
  <c r="H3320" i="1"/>
  <c r="H3367" i="1"/>
  <c r="H3396" i="1"/>
  <c r="H3420" i="1"/>
  <c r="H621" i="1"/>
  <c r="H776" i="1"/>
  <c r="H1435" i="1"/>
  <c r="H1995" i="1"/>
  <c r="H2498" i="1"/>
  <c r="H2877" i="1"/>
  <c r="H3099" i="1"/>
  <c r="H3237" i="1"/>
  <c r="H3321" i="1"/>
  <c r="H3368" i="1"/>
  <c r="H3404" i="1"/>
  <c r="H3418" i="1"/>
  <c r="H622" i="1"/>
  <c r="H777" i="1"/>
  <c r="H1436" i="1"/>
  <c r="H1985" i="1"/>
  <c r="H2499" i="1"/>
  <c r="H2875" i="1"/>
  <c r="H3109" i="1"/>
  <c r="H3229" i="1"/>
  <c r="H3318" i="1"/>
  <c r="H3364" i="1"/>
  <c r="H3397" i="1"/>
  <c r="H3421" i="1"/>
  <c r="H623" i="1"/>
  <c r="H778" i="1"/>
  <c r="H1437" i="1"/>
  <c r="H1996" i="1"/>
  <c r="H2489" i="1"/>
  <c r="H2876" i="1"/>
  <c r="H3110" i="1"/>
  <c r="H3240" i="1"/>
  <c r="H3322" i="1"/>
  <c r="H3361" i="1"/>
  <c r="H3403" i="1"/>
  <c r="H3430" i="1"/>
  <c r="H624" i="1"/>
  <c r="H779" i="1"/>
  <c r="H1425" i="1"/>
  <c r="H1997" i="1"/>
  <c r="H2500" i="1"/>
  <c r="H2867" i="1"/>
  <c r="H3111" i="1"/>
  <c r="H3238" i="1"/>
  <c r="H3319" i="1"/>
  <c r="H3362" i="1"/>
  <c r="H3398" i="1"/>
  <c r="H3422" i="1"/>
  <c r="H716" i="1"/>
  <c r="H883" i="1"/>
  <c r="H1649" i="1"/>
  <c r="H2316" i="1"/>
  <c r="H2764" i="1"/>
  <c r="H3491" i="1"/>
  <c r="H3269" i="1"/>
  <c r="H3492" i="1"/>
  <c r="H3388" i="1"/>
  <c r="H3412" i="1"/>
  <c r="H3433" i="1"/>
  <c r="H3446" i="1"/>
  <c r="H717" i="1"/>
  <c r="H884" i="1"/>
  <c r="H1652" i="1"/>
  <c r="H2306" i="1"/>
  <c r="H2768" i="1"/>
  <c r="H3088" i="1"/>
  <c r="H3270" i="1"/>
  <c r="H3347" i="1"/>
  <c r="H3385" i="1"/>
  <c r="H3414" i="1"/>
  <c r="H3434" i="1"/>
  <c r="H3493" i="1"/>
  <c r="H718" i="1"/>
  <c r="H885" i="1"/>
  <c r="H1653" i="1"/>
  <c r="H2307" i="1"/>
  <c r="H2769" i="1"/>
  <c r="H3087" i="1"/>
  <c r="H3494" i="1"/>
  <c r="H3341" i="1"/>
  <c r="H3495" i="1"/>
  <c r="H3413" i="1"/>
  <c r="H3441" i="1"/>
  <c r="H3496" i="1"/>
  <c r="H719" i="1"/>
  <c r="H886" i="1"/>
  <c r="H1654" i="1"/>
  <c r="H2317" i="1"/>
  <c r="H2770" i="1"/>
  <c r="H3094" i="1"/>
  <c r="H3278" i="1"/>
  <c r="H3497" i="1"/>
  <c r="H3498" i="1"/>
  <c r="H3416" i="1"/>
  <c r="H3432" i="1"/>
  <c r="H3499" i="1"/>
  <c r="H720" i="1"/>
  <c r="H887" i="1"/>
  <c r="H1648" i="1"/>
  <c r="H2308" i="1"/>
  <c r="H2773" i="1"/>
  <c r="H3090" i="1"/>
  <c r="H3272" i="1"/>
  <c r="H3342" i="1"/>
  <c r="H3500" i="1"/>
  <c r="H3501" i="1"/>
  <c r="H3502" i="1"/>
  <c r="H3503" i="1"/>
  <c r="H721" i="1"/>
  <c r="H888" i="1"/>
  <c r="H1655" i="1"/>
  <c r="H2309" i="1"/>
  <c r="H2774" i="1"/>
  <c r="H3098" i="1"/>
  <c r="H3268" i="1"/>
  <c r="H3348" i="1"/>
  <c r="H3382" i="1"/>
  <c r="H3409" i="1"/>
  <c r="H3504" i="1"/>
  <c r="H3505" i="1"/>
  <c r="H710" i="1"/>
  <c r="H878" i="1"/>
  <c r="H1656" i="1"/>
  <c r="H2310" i="1"/>
  <c r="H2775" i="1"/>
  <c r="H3095" i="1"/>
  <c r="H3273" i="1"/>
  <c r="H3339" i="1"/>
  <c r="H3383" i="1"/>
  <c r="H3407" i="1"/>
  <c r="H3442" i="1"/>
  <c r="H3506" i="1"/>
  <c r="H711" i="1"/>
  <c r="H889" i="1"/>
  <c r="H1650" i="1"/>
  <c r="H2311" i="1"/>
  <c r="H2776" i="1"/>
  <c r="H3091" i="1"/>
  <c r="H3274" i="1"/>
  <c r="H3349" i="1"/>
  <c r="H3392" i="1"/>
  <c r="H3408" i="1"/>
  <c r="H3440" i="1"/>
  <c r="H3444" i="1"/>
  <c r="H712" i="1"/>
  <c r="H879" i="1"/>
  <c r="H1657" i="1"/>
  <c r="H2312" i="1"/>
  <c r="H2777" i="1"/>
  <c r="H3092" i="1"/>
  <c r="H3275" i="1"/>
  <c r="H3343" i="1"/>
  <c r="H3386" i="1"/>
  <c r="H3410" i="1"/>
  <c r="H3438" i="1"/>
  <c r="H3450" i="1"/>
  <c r="H713" i="1"/>
  <c r="H880" i="1"/>
  <c r="H1658" i="1"/>
  <c r="H2313" i="1"/>
  <c r="H2771" i="1"/>
  <c r="H3096" i="1"/>
  <c r="H3276" i="1"/>
  <c r="H3344" i="1"/>
  <c r="H3384" i="1"/>
  <c r="H3405" i="1"/>
  <c r="H3431" i="1"/>
  <c r="H3448" i="1"/>
  <c r="H722" i="1"/>
  <c r="H890" i="1"/>
  <c r="H1659" i="1"/>
  <c r="H2314" i="1"/>
  <c r="H2778" i="1"/>
  <c r="H3100" i="1"/>
  <c r="H3271" i="1"/>
  <c r="H3345" i="1"/>
  <c r="H3389" i="1"/>
  <c r="H3411" i="1"/>
  <c r="H3435" i="1"/>
  <c r="H3449" i="1"/>
  <c r="H714" i="1"/>
  <c r="H891" i="1"/>
  <c r="H1660" i="1"/>
  <c r="H2318" i="1"/>
  <c r="H2779" i="1"/>
  <c r="H3093" i="1"/>
  <c r="H3267" i="1"/>
  <c r="H3338" i="1"/>
  <c r="H3390" i="1"/>
  <c r="H3406" i="1"/>
  <c r="H3436" i="1"/>
  <c r="H3443" i="1"/>
  <c r="H723" i="1"/>
  <c r="H881" i="1"/>
  <c r="H1651" i="1"/>
  <c r="H2315" i="1"/>
  <c r="H2781" i="1"/>
  <c r="H3097" i="1"/>
  <c r="H3266" i="1"/>
  <c r="H3340" i="1"/>
  <c r="H3387" i="1"/>
  <c r="H3415" i="1"/>
  <c r="H3439" i="1"/>
  <c r="H3445" i="1"/>
  <c r="H715" i="1"/>
  <c r="H882" i="1"/>
  <c r="H1661" i="1"/>
  <c r="H2319" i="1"/>
  <c r="H2780" i="1"/>
  <c r="H3089" i="1"/>
  <c r="H3277" i="1"/>
  <c r="H3346" i="1"/>
  <c r="H3391" i="1"/>
  <c r="H3417" i="1"/>
  <c r="H3437" i="1"/>
  <c r="H3447" i="1"/>
  <c r="H138" i="1"/>
  <c r="H270" i="1"/>
  <c r="H417" i="1"/>
  <c r="H664" i="1"/>
  <c r="H836" i="1"/>
  <c r="H1032" i="1"/>
  <c r="H1232" i="1"/>
  <c r="H1414" i="1"/>
  <c r="H1564" i="1"/>
  <c r="H1735" i="1"/>
  <c r="H1929" i="1"/>
  <c r="H2068" i="1"/>
  <c r="H139" i="1"/>
  <c r="H264" i="1"/>
  <c r="H418" i="1"/>
  <c r="H665" i="1"/>
  <c r="H837" i="1"/>
  <c r="H1033" i="1"/>
  <c r="H1233" i="1"/>
  <c r="H1423" i="1"/>
  <c r="H1576" i="1"/>
  <c r="H1732" i="1"/>
  <c r="H1930" i="1"/>
  <c r="H2070" i="1"/>
  <c r="H140" i="1"/>
  <c r="H265" i="1"/>
  <c r="H419" i="1"/>
  <c r="H666" i="1"/>
  <c r="H838" i="1"/>
  <c r="H1045" i="1"/>
  <c r="H1234" i="1"/>
  <c r="H1415" i="1"/>
  <c r="H1567" i="1"/>
  <c r="H1733" i="1"/>
  <c r="H1939" i="1"/>
  <c r="H2071" i="1"/>
  <c r="H141" i="1"/>
  <c r="H271" i="1"/>
  <c r="H420" i="1"/>
  <c r="H655" i="1"/>
  <c r="H839" i="1"/>
  <c r="H1034" i="1"/>
  <c r="H1235" i="1"/>
  <c r="H1416" i="1"/>
  <c r="H1568" i="1"/>
  <c r="H1736" i="1"/>
  <c r="H1940" i="1"/>
  <c r="H2069" i="1"/>
  <c r="H3507" i="1"/>
  <c r="H65" i="1"/>
  <c r="H421" i="1"/>
  <c r="H656" i="1"/>
  <c r="H840" i="1"/>
  <c r="H1035" i="1"/>
  <c r="H1241" i="1"/>
  <c r="H1417" i="1"/>
  <c r="H1577" i="1"/>
  <c r="H1737" i="1"/>
  <c r="H1941" i="1"/>
  <c r="H2083" i="1"/>
  <c r="H19" i="1"/>
  <c r="H66" i="1"/>
  <c r="H422" i="1"/>
  <c r="H667" i="1"/>
  <c r="H841" i="1"/>
  <c r="H1036" i="1"/>
  <c r="H1236" i="1"/>
  <c r="H1418" i="1"/>
  <c r="H1569" i="1"/>
  <c r="H1744" i="1"/>
  <c r="H1928" i="1"/>
  <c r="H2072" i="1"/>
  <c r="H20" i="1"/>
  <c r="H67" i="1"/>
  <c r="H423" i="1"/>
  <c r="H657" i="1"/>
  <c r="H842" i="1"/>
  <c r="H1042" i="1"/>
  <c r="H1237" i="1"/>
  <c r="H1419" i="1"/>
  <c r="H1570" i="1"/>
  <c r="H1745" i="1"/>
  <c r="H1931" i="1"/>
  <c r="H2073" i="1"/>
  <c r="H26" i="1"/>
  <c r="H73" i="1"/>
  <c r="H424" i="1"/>
  <c r="H658" i="1"/>
  <c r="H849" i="1"/>
  <c r="H1037" i="1"/>
  <c r="H1238" i="1"/>
  <c r="H1420" i="1"/>
  <c r="H1571" i="1"/>
  <c r="H1734" i="1"/>
  <c r="H1932" i="1"/>
  <c r="H2074" i="1"/>
  <c r="H21" i="1"/>
  <c r="H68" i="1"/>
  <c r="H425" i="1"/>
  <c r="H659" i="1"/>
  <c r="H843" i="1"/>
  <c r="H1038" i="1"/>
  <c r="H1239" i="1"/>
  <c r="H1421" i="1"/>
  <c r="H1572" i="1"/>
  <c r="H1738" i="1"/>
  <c r="H1933" i="1"/>
  <c r="H2075" i="1"/>
  <c r="H27" i="1"/>
  <c r="H74" i="1"/>
  <c r="H426" i="1"/>
  <c r="H654" i="1"/>
  <c r="H844" i="1"/>
  <c r="H1043" i="1"/>
  <c r="H1240" i="1"/>
  <c r="H1410" i="1"/>
  <c r="H1573" i="1"/>
  <c r="H1739" i="1"/>
  <c r="H1934" i="1"/>
  <c r="H2076" i="1"/>
  <c r="H22" i="1"/>
  <c r="H69" i="1"/>
  <c r="H415" i="1"/>
  <c r="H660" i="1"/>
  <c r="H845" i="1"/>
  <c r="H1044" i="1"/>
  <c r="H1228" i="1"/>
  <c r="H1422" i="1"/>
  <c r="H1574" i="1"/>
  <c r="H1740" i="1"/>
  <c r="H1935" i="1"/>
  <c r="H2077" i="1"/>
  <c r="H23" i="1"/>
  <c r="H70" i="1"/>
  <c r="H416" i="1"/>
  <c r="H661" i="1"/>
  <c r="H846" i="1"/>
  <c r="H1039" i="1"/>
  <c r="H1231" i="1"/>
  <c r="H1411" i="1"/>
  <c r="H1575" i="1"/>
  <c r="H1741" i="1"/>
  <c r="H1936" i="1"/>
  <c r="H2078" i="1"/>
  <c r="H24" i="1"/>
  <c r="H71" i="1"/>
  <c r="H427" i="1"/>
  <c r="H662" i="1"/>
  <c r="H847" i="1"/>
  <c r="H1040" i="1"/>
  <c r="H1229" i="1"/>
  <c r="H1412" i="1"/>
  <c r="H1565" i="1"/>
  <c r="H1742" i="1"/>
  <c r="H1937" i="1"/>
  <c r="H2079" i="1"/>
  <c r="H25" i="1"/>
  <c r="H72" i="1"/>
  <c r="H428" i="1"/>
  <c r="H663" i="1"/>
  <c r="H848" i="1"/>
  <c r="H1041" i="1"/>
  <c r="H1230" i="1"/>
  <c r="H1413" i="1"/>
  <c r="H1566" i="1"/>
  <c r="H1743" i="1"/>
  <c r="H1938" i="1"/>
  <c r="H2080" i="1"/>
  <c r="H215" i="1"/>
  <c r="H107" i="1"/>
  <c r="H514" i="1"/>
  <c r="H756" i="1"/>
  <c r="H963" i="1"/>
  <c r="H1175" i="1"/>
  <c r="H1400" i="1"/>
  <c r="H1621" i="1"/>
  <c r="H1788" i="1"/>
  <c r="H1971" i="1"/>
  <c r="H2211" i="1"/>
  <c r="H2360" i="1"/>
  <c r="H216" i="1"/>
  <c r="H108" i="1"/>
  <c r="H515" i="1"/>
  <c r="H757" i="1"/>
  <c r="H964" i="1"/>
  <c r="H1182" i="1"/>
  <c r="H1409" i="1"/>
  <c r="H1634" i="1"/>
  <c r="H1791" i="1"/>
  <c r="H1972" i="1"/>
  <c r="H2212" i="1"/>
  <c r="H2353" i="1"/>
  <c r="H217" i="1"/>
  <c r="H121" i="1"/>
  <c r="H516" i="1"/>
  <c r="H758" i="1"/>
  <c r="H965" i="1"/>
  <c r="H1176" i="1"/>
  <c r="H1401" i="1"/>
  <c r="H1635" i="1"/>
  <c r="H1792" i="1"/>
  <c r="H1983" i="1"/>
  <c r="H2213" i="1"/>
  <c r="H2354" i="1"/>
  <c r="H222" i="1"/>
  <c r="H109" i="1"/>
  <c r="H517" i="1"/>
  <c r="H759" i="1"/>
  <c r="H966" i="1"/>
  <c r="H1183" i="1"/>
  <c r="H1402" i="1"/>
  <c r="H1636" i="1"/>
  <c r="H1789" i="1"/>
  <c r="H1973" i="1"/>
  <c r="H2209" i="1"/>
  <c r="H2361" i="1"/>
  <c r="H51" i="1"/>
  <c r="H110" i="1"/>
  <c r="H518" i="1"/>
  <c r="H760" i="1"/>
  <c r="H967" i="1"/>
  <c r="H1184" i="1"/>
  <c r="H1403" i="1"/>
  <c r="H1637" i="1"/>
  <c r="H1790" i="1"/>
  <c r="H1970" i="1"/>
  <c r="H2214" i="1"/>
  <c r="H2348" i="1"/>
  <c r="H52" i="1"/>
  <c r="H111" i="1"/>
  <c r="H519" i="1"/>
  <c r="H761" i="1"/>
  <c r="H968" i="1"/>
  <c r="H1185" i="1"/>
  <c r="H1404" i="1"/>
  <c r="H1620" i="1"/>
  <c r="H1793" i="1"/>
  <c r="H1974" i="1"/>
  <c r="H2208" i="1"/>
  <c r="H2355" i="1"/>
  <c r="H46" i="1"/>
  <c r="H112" i="1"/>
  <c r="H520" i="1"/>
  <c r="H753" i="1"/>
  <c r="H975" i="1"/>
  <c r="H1177" i="1"/>
  <c r="H1405" i="1"/>
  <c r="H1638" i="1"/>
  <c r="H1794" i="1"/>
  <c r="H1975" i="1"/>
  <c r="H2215" i="1"/>
  <c r="H2356" i="1"/>
  <c r="H53" i="1"/>
  <c r="H113" i="1"/>
  <c r="H521" i="1"/>
  <c r="H762" i="1"/>
  <c r="H969" i="1"/>
  <c r="H1178" i="1"/>
  <c r="H1406" i="1"/>
  <c r="H1622" i="1"/>
  <c r="H1795" i="1"/>
  <c r="H1976" i="1"/>
  <c r="H2210" i="1"/>
  <c r="H2349" i="1"/>
  <c r="H47" i="1"/>
  <c r="H122" i="1"/>
  <c r="H522" i="1"/>
  <c r="H763" i="1"/>
  <c r="H970" i="1"/>
  <c r="H1179" i="1"/>
  <c r="H1407" i="1"/>
  <c r="H1623" i="1"/>
  <c r="H1796" i="1"/>
  <c r="H1977" i="1"/>
  <c r="H2216" i="1"/>
  <c r="H2350" i="1"/>
  <c r="H48" i="1"/>
  <c r="H114" i="1"/>
  <c r="H523" i="1"/>
  <c r="H764" i="1"/>
  <c r="H971" i="1"/>
  <c r="H1180" i="1"/>
  <c r="H1408" i="1"/>
  <c r="H1624" i="1"/>
  <c r="H1797" i="1"/>
  <c r="H1978" i="1"/>
  <c r="H2217" i="1"/>
  <c r="H2351" i="1"/>
  <c r="H54" i="1"/>
  <c r="H115" i="1"/>
  <c r="H524" i="1"/>
  <c r="H765" i="1"/>
  <c r="H972" i="1"/>
  <c r="H1172" i="1"/>
  <c r="H1396" i="1"/>
  <c r="H1625" i="1"/>
  <c r="H1798" i="1"/>
  <c r="H1979" i="1"/>
  <c r="H2218" i="1"/>
  <c r="H2352" i="1"/>
  <c r="H49" i="1"/>
  <c r="H116" i="1"/>
  <c r="H525" i="1"/>
  <c r="H754" i="1"/>
  <c r="H973" i="1"/>
  <c r="H1173" i="1"/>
  <c r="H1397" i="1"/>
  <c r="H1626" i="1"/>
  <c r="H1799" i="1"/>
  <c r="H1980" i="1"/>
  <c r="H2219" i="1"/>
  <c r="H2357" i="1"/>
  <c r="H50" i="1"/>
  <c r="H106" i="1"/>
  <c r="H526" i="1"/>
  <c r="H755" i="1"/>
  <c r="H974" i="1"/>
  <c r="H1181" i="1"/>
  <c r="H1398" i="1"/>
  <c r="H1627" i="1"/>
  <c r="H1800" i="1"/>
  <c r="H1981" i="1"/>
  <c r="H2220" i="1"/>
  <c r="H2358" i="1"/>
  <c r="H55" i="1"/>
  <c r="H117" i="1"/>
  <c r="H527" i="1"/>
  <c r="H752" i="1"/>
  <c r="H962" i="1"/>
  <c r="H1174" i="1"/>
  <c r="H1399" i="1"/>
  <c r="H1628" i="1"/>
  <c r="H1801" i="1"/>
  <c r="H1982" i="1"/>
  <c r="H2221" i="1"/>
  <c r="H2359" i="1"/>
  <c r="H330" i="1"/>
  <c r="H190" i="1"/>
  <c r="H600" i="1"/>
  <c r="H865" i="1"/>
  <c r="H1106" i="1"/>
  <c r="H1329" i="1"/>
  <c r="H1639" i="1"/>
  <c r="H1861" i="1"/>
  <c r="H2055" i="1"/>
  <c r="H2259" i="1"/>
  <c r="H2461" i="1"/>
  <c r="H2586" i="1"/>
  <c r="H464" i="1"/>
  <c r="H191" i="1"/>
  <c r="H601" i="1"/>
  <c r="H866" i="1"/>
  <c r="H1113" i="1"/>
  <c r="H1330" i="1"/>
  <c r="H1640" i="1"/>
  <c r="H1862" i="1"/>
  <c r="H2056" i="1"/>
  <c r="H2263" i="1"/>
  <c r="H2472" i="1"/>
  <c r="H2599" i="1"/>
  <c r="H3508" i="1"/>
  <c r="H192" i="1"/>
  <c r="H602" i="1"/>
  <c r="H867" i="1"/>
  <c r="H1114" i="1"/>
  <c r="H1331" i="1"/>
  <c r="H1641" i="1"/>
  <c r="H1863" i="1"/>
  <c r="H2065" i="1"/>
  <c r="H2260" i="1"/>
  <c r="H2465" i="1"/>
  <c r="H2592" i="1"/>
  <c r="H86" i="1"/>
  <c r="H193" i="1"/>
  <c r="H603" i="1"/>
  <c r="H868" i="1"/>
  <c r="H1107" i="1"/>
  <c r="H1332" i="1"/>
  <c r="H1642" i="1"/>
  <c r="H1859" i="1"/>
  <c r="H2052" i="1"/>
  <c r="H2250" i="1"/>
  <c r="H2473" i="1"/>
  <c r="H2593" i="1"/>
  <c r="H87" i="1"/>
  <c r="H194" i="1"/>
  <c r="H604" i="1"/>
  <c r="H869" i="1"/>
  <c r="H1108" i="1"/>
  <c r="H1333" i="1"/>
  <c r="H1643" i="1"/>
  <c r="H1860" i="1"/>
  <c r="H2066" i="1"/>
  <c r="H2251" i="1"/>
  <c r="H2460" i="1"/>
  <c r="H2594" i="1"/>
  <c r="H88" i="1"/>
  <c r="H195" i="1"/>
  <c r="H605" i="1"/>
  <c r="H870" i="1"/>
  <c r="H1109" i="1"/>
  <c r="H1334" i="1"/>
  <c r="H1644" i="1"/>
  <c r="H1856" i="1"/>
  <c r="H2057" i="1"/>
  <c r="H2261" i="1"/>
  <c r="H2466" i="1"/>
  <c r="H2587" i="1"/>
  <c r="H89" i="1"/>
  <c r="H196" i="1"/>
  <c r="H606" i="1"/>
  <c r="H877" i="1"/>
  <c r="H1115" i="1"/>
  <c r="H1335" i="1"/>
  <c r="H1645" i="1"/>
  <c r="H1864" i="1"/>
  <c r="H2053" i="1"/>
  <c r="H2252" i="1"/>
  <c r="H2467" i="1"/>
  <c r="H2595" i="1"/>
  <c r="H90" i="1"/>
  <c r="H197" i="1"/>
  <c r="H611" i="1"/>
  <c r="H871" i="1"/>
  <c r="H1110" i="1"/>
  <c r="H1336" i="1"/>
  <c r="H1629" i="1"/>
  <c r="H1865" i="1"/>
  <c r="H2058" i="1"/>
  <c r="H2253" i="1"/>
  <c r="H2462" i="1"/>
  <c r="H2596" i="1"/>
  <c r="H91" i="1"/>
  <c r="H198" i="1"/>
  <c r="H607" i="1"/>
  <c r="H872" i="1"/>
  <c r="H1111" i="1"/>
  <c r="H1337" i="1"/>
  <c r="H1646" i="1"/>
  <c r="H1866" i="1"/>
  <c r="H2059" i="1"/>
  <c r="H2254" i="1"/>
  <c r="H2463" i="1"/>
  <c r="H2588" i="1"/>
  <c r="H92" i="1"/>
  <c r="H185" i="1"/>
  <c r="H608" i="1"/>
  <c r="H873" i="1"/>
  <c r="H1104" i="1"/>
  <c r="H1338" i="1"/>
  <c r="H1630" i="1"/>
  <c r="H1867" i="1"/>
  <c r="H2060" i="1"/>
  <c r="H2255" i="1"/>
  <c r="H2464" i="1"/>
  <c r="H2589" i="1"/>
  <c r="H93" i="1"/>
  <c r="H199" i="1"/>
  <c r="H598" i="1"/>
  <c r="H874" i="1"/>
  <c r="H1102" i="1"/>
  <c r="H1326" i="1"/>
  <c r="H1631" i="1"/>
  <c r="H1868" i="1"/>
  <c r="H2061" i="1"/>
  <c r="H2256" i="1"/>
  <c r="H2468" i="1"/>
  <c r="H2590" i="1"/>
  <c r="H76" i="1"/>
  <c r="H186" i="1"/>
  <c r="H609" i="1"/>
  <c r="H875" i="1"/>
  <c r="H1112" i="1"/>
  <c r="H1327" i="1"/>
  <c r="H1632" i="1"/>
  <c r="H1869" i="1"/>
  <c r="H2062" i="1"/>
  <c r="H2257" i="1"/>
  <c r="H2469" i="1"/>
  <c r="H2591" i="1"/>
  <c r="H94" i="1"/>
  <c r="H200" i="1"/>
  <c r="H599" i="1"/>
  <c r="H864" i="1"/>
  <c r="H1103" i="1"/>
  <c r="H1328" i="1"/>
  <c r="H1633" i="1"/>
  <c r="H1870" i="1"/>
  <c r="H2063" i="1"/>
  <c r="H2258" i="1"/>
  <c r="H2470" i="1"/>
  <c r="H2597" i="1"/>
  <c r="H95" i="1"/>
  <c r="H201" i="1"/>
  <c r="H610" i="1"/>
  <c r="H876" i="1"/>
  <c r="H1105" i="1"/>
  <c r="H1339" i="1"/>
  <c r="H1647" i="1"/>
  <c r="H1871" i="1"/>
  <c r="H2064" i="1"/>
  <c r="H2262" i="1"/>
  <c r="H2471" i="1"/>
  <c r="H2598" i="1"/>
  <c r="H146" i="1"/>
  <c r="H277" i="1"/>
  <c r="H689" i="1"/>
  <c r="H992" i="1"/>
  <c r="H1261" i="1"/>
  <c r="H1541" i="1"/>
  <c r="H1886" i="1"/>
  <c r="H2121" i="1"/>
  <c r="H2333" i="1"/>
  <c r="H2524" i="1"/>
  <c r="H2697" i="1"/>
  <c r="H2827" i="1"/>
  <c r="H147" i="1"/>
  <c r="H278" i="1"/>
  <c r="H690" i="1"/>
  <c r="H993" i="1"/>
  <c r="H1262" i="1"/>
  <c r="H1548" i="1"/>
  <c r="H1896" i="1"/>
  <c r="H2111" i="1"/>
  <c r="H2325" i="1"/>
  <c r="H2530" i="1"/>
  <c r="H2701" i="1"/>
  <c r="H2828" i="1"/>
  <c r="H148" i="1"/>
  <c r="H279" i="1"/>
  <c r="H691" i="1"/>
  <c r="H994" i="1"/>
  <c r="H1263" i="1"/>
  <c r="H1542" i="1"/>
  <c r="H1887" i="1"/>
  <c r="H2122" i="1"/>
  <c r="H2326" i="1"/>
  <c r="H2518" i="1"/>
  <c r="H2714" i="1"/>
  <c r="H2824" i="1"/>
  <c r="H157" i="1"/>
  <c r="H280" i="1"/>
  <c r="H682" i="1"/>
  <c r="H995" i="1"/>
  <c r="H1264" i="1"/>
  <c r="H1552" i="1"/>
  <c r="H1888" i="1"/>
  <c r="H2110" i="1"/>
  <c r="H2327" i="1"/>
  <c r="H2519" i="1"/>
  <c r="H2700" i="1"/>
  <c r="H2837" i="1"/>
  <c r="H158" i="1"/>
  <c r="H281" i="1"/>
  <c r="H692" i="1"/>
  <c r="H996" i="1"/>
  <c r="H1265" i="1"/>
  <c r="H1537" i="1"/>
  <c r="H1897" i="1"/>
  <c r="H2112" i="1"/>
  <c r="H2320" i="1"/>
  <c r="H2516" i="1"/>
  <c r="H2710" i="1"/>
  <c r="H2829" i="1"/>
  <c r="H149" i="1"/>
  <c r="H282" i="1"/>
  <c r="H683" i="1"/>
  <c r="H1002" i="1"/>
  <c r="H1266" i="1"/>
  <c r="H1543" i="1"/>
  <c r="H1889" i="1"/>
  <c r="H2113" i="1"/>
  <c r="H2328" i="1"/>
  <c r="H2528" i="1"/>
  <c r="H2702" i="1"/>
  <c r="H2830" i="1"/>
  <c r="H150" i="1"/>
  <c r="H283" i="1"/>
  <c r="H693" i="1"/>
  <c r="H1003" i="1"/>
  <c r="H1267" i="1"/>
  <c r="H1538" i="1"/>
  <c r="H1890" i="1"/>
  <c r="H2114" i="1"/>
  <c r="H2321" i="1"/>
  <c r="H2525" i="1"/>
  <c r="H2698" i="1"/>
  <c r="H2836" i="1"/>
  <c r="H159" i="1"/>
  <c r="H284" i="1"/>
  <c r="H694" i="1"/>
  <c r="H997" i="1"/>
  <c r="H1268" i="1"/>
  <c r="H1544" i="1"/>
  <c r="H1891" i="1"/>
  <c r="H2115" i="1"/>
  <c r="H2322" i="1"/>
  <c r="H2520" i="1"/>
  <c r="H2703" i="1"/>
  <c r="H2831" i="1"/>
  <c r="H151" i="1"/>
  <c r="H285" i="1"/>
  <c r="H695" i="1"/>
  <c r="H998" i="1"/>
  <c r="H1258" i="1"/>
  <c r="H1545" i="1"/>
  <c r="H1892" i="1"/>
  <c r="H2116" i="1"/>
  <c r="H2323" i="1"/>
  <c r="H2521" i="1"/>
  <c r="H2704" i="1"/>
  <c r="H2832" i="1"/>
  <c r="H152" i="1"/>
  <c r="H286" i="1"/>
  <c r="H684" i="1"/>
  <c r="H990" i="1"/>
  <c r="H1259" i="1"/>
  <c r="H1546" i="1"/>
  <c r="H1893" i="1"/>
  <c r="H2117" i="1"/>
  <c r="H2324" i="1"/>
  <c r="H2517" i="1"/>
  <c r="H2705" i="1"/>
  <c r="H2833" i="1"/>
  <c r="H153" i="1"/>
  <c r="H272" i="1"/>
  <c r="H685" i="1"/>
  <c r="H999" i="1"/>
  <c r="H1269" i="1"/>
  <c r="H1539" i="1"/>
  <c r="H1894" i="1"/>
  <c r="H2118" i="1"/>
  <c r="H2329" i="1"/>
  <c r="H2522" i="1"/>
  <c r="H2706" i="1"/>
  <c r="H2834" i="1"/>
  <c r="H154" i="1"/>
  <c r="H273" i="1"/>
  <c r="H686" i="1"/>
  <c r="H991" i="1"/>
  <c r="H1256" i="1"/>
  <c r="H1540" i="1"/>
  <c r="H1895" i="1"/>
  <c r="H2119" i="1"/>
  <c r="H2330" i="1"/>
  <c r="H2526" i="1"/>
  <c r="H2707" i="1"/>
  <c r="H2825" i="1"/>
  <c r="H160" i="1"/>
  <c r="H287" i="1"/>
  <c r="H687" i="1"/>
  <c r="H1000" i="1"/>
  <c r="H1260" i="1"/>
  <c r="H1547" i="1"/>
  <c r="H1898" i="1"/>
  <c r="H2120" i="1"/>
  <c r="H2331" i="1"/>
  <c r="H2527" i="1"/>
  <c r="H2708" i="1"/>
  <c r="H2826" i="1"/>
  <c r="H155" i="1"/>
  <c r="H288" i="1"/>
  <c r="H688" i="1"/>
  <c r="H1001" i="1"/>
  <c r="H1257" i="1"/>
  <c r="H1536" i="1"/>
  <c r="H1899" i="1"/>
  <c r="H2123" i="1"/>
  <c r="H2332" i="1"/>
  <c r="H2523" i="1"/>
  <c r="H2709" i="1"/>
  <c r="H2835" i="1"/>
  <c r="H224" i="1"/>
  <c r="H373" i="1"/>
  <c r="H796" i="1"/>
  <c r="H1140" i="1"/>
  <c r="H1464" i="1"/>
  <c r="H1816" i="1"/>
  <c r="H2161" i="1"/>
  <c r="H2403" i="1"/>
  <c r="H2614" i="1"/>
  <c r="H2765" i="1"/>
  <c r="H2950" i="1"/>
  <c r="H3047" i="1"/>
  <c r="H225" i="1"/>
  <c r="H374" i="1"/>
  <c r="H797" i="1"/>
  <c r="H1141" i="1"/>
  <c r="H1452" i="1"/>
  <c r="H1817" i="1"/>
  <c r="H2153" i="1"/>
  <c r="H2397" i="1"/>
  <c r="H2625" i="1"/>
  <c r="H2760" i="1"/>
  <c r="H2953" i="1"/>
  <c r="H3048" i="1"/>
  <c r="H234" i="1"/>
  <c r="H375" i="1"/>
  <c r="H798" i="1"/>
  <c r="H1142" i="1"/>
  <c r="H1455" i="1"/>
  <c r="H1826" i="1"/>
  <c r="H2162" i="1"/>
  <c r="H2390" i="1"/>
  <c r="H2615" i="1"/>
  <c r="H2766" i="1"/>
  <c r="H2951" i="1"/>
  <c r="H3049" i="1"/>
  <c r="H226" i="1"/>
  <c r="H384" i="1"/>
  <c r="H799" i="1"/>
  <c r="H1131" i="1"/>
  <c r="H1456" i="1"/>
  <c r="H1827" i="1"/>
  <c r="H2154" i="1"/>
  <c r="H2398" i="1"/>
  <c r="H2616" i="1"/>
  <c r="H2755" i="1"/>
  <c r="H2954" i="1"/>
  <c r="H3058" i="1"/>
  <c r="H227" i="1"/>
  <c r="H376" i="1"/>
  <c r="H800" i="1"/>
  <c r="H1143" i="1"/>
  <c r="H1465" i="1"/>
  <c r="H1828" i="1"/>
  <c r="H2163" i="1"/>
  <c r="H2393" i="1"/>
  <c r="H2617" i="1"/>
  <c r="H2756" i="1"/>
  <c r="H2955" i="1"/>
  <c r="H3057" i="1"/>
  <c r="H235" i="1"/>
  <c r="H385" i="1"/>
  <c r="H801" i="1"/>
  <c r="H1132" i="1"/>
  <c r="H1457" i="1"/>
  <c r="H1818" i="1"/>
  <c r="H2155" i="1"/>
  <c r="H2399" i="1"/>
  <c r="H2626" i="1"/>
  <c r="H2772" i="1"/>
  <c r="H2956" i="1"/>
  <c r="H3050" i="1"/>
  <c r="H228" i="1"/>
  <c r="H377" i="1"/>
  <c r="H802" i="1"/>
  <c r="H1133" i="1"/>
  <c r="H1458" i="1"/>
  <c r="H1819" i="1"/>
  <c r="H2152" i="1"/>
  <c r="H2400" i="1"/>
  <c r="H2618" i="1"/>
  <c r="H2754" i="1"/>
  <c r="H2963" i="1"/>
  <c r="H3051" i="1"/>
  <c r="H236" i="1"/>
  <c r="H378" i="1"/>
  <c r="H803" i="1"/>
  <c r="H1134" i="1"/>
  <c r="H1459" i="1"/>
  <c r="H1820" i="1"/>
  <c r="H2156" i="1"/>
  <c r="H2394" i="1"/>
  <c r="H2619" i="1"/>
  <c r="H2761" i="1"/>
  <c r="H2957" i="1"/>
  <c r="H3059" i="1"/>
  <c r="H229" i="1"/>
  <c r="H386" i="1"/>
  <c r="H794" i="1"/>
  <c r="H1130" i="1"/>
  <c r="H1460" i="1"/>
  <c r="H1821" i="1"/>
  <c r="H2157" i="1"/>
  <c r="H2391" i="1"/>
  <c r="H2620" i="1"/>
  <c r="H2762" i="1"/>
  <c r="H2958" i="1"/>
  <c r="H3046" i="1"/>
  <c r="H230" i="1"/>
  <c r="H379" i="1"/>
  <c r="H804" i="1"/>
  <c r="H1135" i="1"/>
  <c r="H1453" i="1"/>
  <c r="H1822" i="1"/>
  <c r="H2158" i="1"/>
  <c r="H2395" i="1"/>
  <c r="H2621" i="1"/>
  <c r="H2757" i="1"/>
  <c r="H2959" i="1"/>
  <c r="H3052" i="1"/>
  <c r="H231" i="1"/>
  <c r="H380" i="1"/>
  <c r="H805" i="1"/>
  <c r="H1136" i="1"/>
  <c r="H1454" i="1"/>
  <c r="H1823" i="1"/>
  <c r="H2159" i="1"/>
  <c r="H2401" i="1"/>
  <c r="H2622" i="1"/>
  <c r="H2758" i="1"/>
  <c r="H2960" i="1"/>
  <c r="H3053" i="1"/>
  <c r="H237" i="1"/>
  <c r="H381" i="1"/>
  <c r="H795" i="1"/>
  <c r="H1137" i="1"/>
  <c r="H1461" i="1"/>
  <c r="H1824" i="1"/>
  <c r="H2160" i="1"/>
  <c r="H2396" i="1"/>
  <c r="H2623" i="1"/>
  <c r="H2759" i="1"/>
  <c r="H2961" i="1"/>
  <c r="H3054" i="1"/>
  <c r="H232" i="1"/>
  <c r="H382" i="1"/>
  <c r="H806" i="1"/>
  <c r="H1138" i="1"/>
  <c r="H1462" i="1"/>
  <c r="H1825" i="1"/>
  <c r="H2164" i="1"/>
  <c r="H2402" i="1"/>
  <c r="H2624" i="1"/>
  <c r="H2767" i="1"/>
  <c r="H2952" i="1"/>
  <c r="H3055" i="1"/>
  <c r="H233" i="1"/>
  <c r="H383" i="1"/>
  <c r="H807" i="1"/>
  <c r="H1139" i="1"/>
  <c r="H1463" i="1"/>
  <c r="H1829" i="1"/>
  <c r="H2165" i="1"/>
  <c r="H2392" i="1"/>
  <c r="H2627" i="1"/>
  <c r="H2763" i="1"/>
  <c r="H2962" i="1"/>
  <c r="H3056" i="1"/>
  <c r="H332" i="1"/>
  <c r="H475" i="1"/>
  <c r="H922" i="1"/>
  <c r="H1301" i="1"/>
  <c r="H1722" i="1"/>
  <c r="H2146" i="1"/>
  <c r="H2444" i="1"/>
  <c r="H2661" i="1"/>
  <c r="H2894" i="1"/>
  <c r="H2998" i="1"/>
  <c r="H3139" i="1"/>
  <c r="H3509" i="1"/>
  <c r="H333" i="1"/>
  <c r="H476" i="1"/>
  <c r="H923" i="1"/>
  <c r="H1308" i="1"/>
  <c r="H1730" i="1"/>
  <c r="H2142" i="1"/>
  <c r="H2439" i="1"/>
  <c r="H2666" i="1"/>
  <c r="H2898" i="1"/>
  <c r="H2995" i="1"/>
  <c r="H3142" i="1"/>
  <c r="H3216" i="1"/>
  <c r="H334" i="1"/>
  <c r="H477" i="1"/>
  <c r="H924" i="1"/>
  <c r="H1309" i="1"/>
  <c r="H1723" i="1"/>
  <c r="H2151" i="1"/>
  <c r="H2432" i="1"/>
  <c r="H2662" i="1"/>
  <c r="H2907" i="1"/>
  <c r="H2993" i="1"/>
  <c r="H3143" i="1"/>
  <c r="H3223" i="1"/>
  <c r="H335" i="1"/>
  <c r="H478" i="1"/>
  <c r="H925" i="1"/>
  <c r="H1310" i="1"/>
  <c r="H1724" i="1"/>
  <c r="H2149" i="1"/>
  <c r="H2436" i="1"/>
  <c r="H2667" i="1"/>
  <c r="H2895" i="1"/>
  <c r="H2999" i="1"/>
  <c r="H3144" i="1"/>
  <c r="H3220" i="1"/>
  <c r="H336" i="1"/>
  <c r="H479" i="1"/>
  <c r="H926" i="1"/>
  <c r="H1302" i="1"/>
  <c r="H1725" i="1"/>
  <c r="H2137" i="1"/>
  <c r="H2440" i="1"/>
  <c r="H2663" i="1"/>
  <c r="H2896" i="1"/>
  <c r="H2996" i="1"/>
  <c r="H3150" i="1"/>
  <c r="H3224" i="1"/>
  <c r="H337" i="1"/>
  <c r="H480" i="1"/>
  <c r="H927" i="1"/>
  <c r="H1303" i="1"/>
  <c r="H1726" i="1"/>
  <c r="H2138" i="1"/>
  <c r="H2441" i="1"/>
  <c r="H2658" i="1"/>
  <c r="H2900" i="1"/>
  <c r="H2997" i="1"/>
  <c r="H3145" i="1"/>
  <c r="H3221" i="1"/>
  <c r="H338" i="1"/>
  <c r="H481" i="1"/>
  <c r="H928" i="1"/>
  <c r="H1311" i="1"/>
  <c r="H1727" i="1"/>
  <c r="H2139" i="1"/>
  <c r="H2437" i="1"/>
  <c r="H2664" i="1"/>
  <c r="H2897" i="1"/>
  <c r="H3006" i="1"/>
  <c r="H3146" i="1"/>
  <c r="H3225" i="1"/>
  <c r="H339" i="1"/>
  <c r="H482" i="1"/>
  <c r="H929" i="1"/>
  <c r="H1304" i="1"/>
  <c r="H1718" i="1"/>
  <c r="H2143" i="1"/>
  <c r="H2433" i="1"/>
  <c r="H2659" i="1"/>
  <c r="H2901" i="1"/>
  <c r="H3011" i="1"/>
  <c r="H3147" i="1"/>
  <c r="H3222" i="1"/>
  <c r="H331" i="1"/>
  <c r="H483" i="1"/>
  <c r="H930" i="1"/>
  <c r="H1298" i="1"/>
  <c r="H1719" i="1"/>
  <c r="H2144" i="1"/>
  <c r="H2434" i="1"/>
  <c r="H2656" i="1"/>
  <c r="H2902" i="1"/>
  <c r="H3000" i="1"/>
  <c r="H3152" i="1"/>
  <c r="H3226" i="1"/>
  <c r="H340" i="1"/>
  <c r="H472" i="1"/>
  <c r="H931" i="1"/>
  <c r="H1299" i="1"/>
  <c r="H1720" i="1"/>
  <c r="H2145" i="1"/>
  <c r="H2435" i="1"/>
  <c r="H2657" i="1"/>
  <c r="H2903" i="1"/>
  <c r="H3001" i="1"/>
  <c r="H3141" i="1"/>
  <c r="H3217" i="1"/>
  <c r="H344" i="1"/>
  <c r="H473" i="1"/>
  <c r="H920" i="1"/>
  <c r="H1305" i="1"/>
  <c r="H1728" i="1"/>
  <c r="H2140" i="1"/>
  <c r="H2438" i="1"/>
  <c r="H2660" i="1"/>
  <c r="H2906" i="1"/>
  <c r="H3002" i="1"/>
  <c r="H3148" i="1"/>
  <c r="H3219" i="1"/>
  <c r="H341" i="1"/>
  <c r="H484" i="1"/>
  <c r="H932" i="1"/>
  <c r="H1306" i="1"/>
  <c r="H1721" i="1"/>
  <c r="H2147" i="1"/>
  <c r="H2442" i="1"/>
  <c r="H2665" i="1"/>
  <c r="H2904" i="1"/>
  <c r="H2992" i="1"/>
  <c r="H3140" i="1"/>
  <c r="H3227" i="1"/>
  <c r="H342" i="1"/>
  <c r="H474" i="1"/>
  <c r="H933" i="1"/>
  <c r="H1300" i="1"/>
  <c r="H1729" i="1"/>
  <c r="H2150" i="1"/>
  <c r="H2445" i="1"/>
  <c r="H2668" i="1"/>
  <c r="H2899" i="1"/>
  <c r="H2994" i="1"/>
  <c r="H3149" i="1"/>
  <c r="H3228" i="1"/>
  <c r="H343" i="1"/>
  <c r="H485" i="1"/>
  <c r="H921" i="1"/>
  <c r="H1307" i="1"/>
  <c r="H1731" i="1"/>
  <c r="H2148" i="1"/>
  <c r="H2443" i="1"/>
  <c r="H2669" i="1"/>
  <c r="H2905" i="1"/>
  <c r="H3003" i="1"/>
  <c r="H3151" i="1"/>
  <c r="H3218" i="1"/>
  <c r="H465" i="1"/>
  <c r="H578" i="1"/>
  <c r="H1075" i="1"/>
  <c r="H1579" i="1"/>
  <c r="H2004" i="1"/>
  <c r="H2430" i="1"/>
  <c r="H2728" i="1"/>
  <c r="H2937" i="1"/>
  <c r="H3125" i="1"/>
  <c r="H3203" i="1"/>
  <c r="H3510" i="1"/>
  <c r="H3327" i="1"/>
  <c r="H466" i="1"/>
  <c r="H579" i="1"/>
  <c r="H1076" i="1"/>
  <c r="H1581" i="1"/>
  <c r="H2006" i="1"/>
  <c r="H2424" i="1"/>
  <c r="H2729" i="1"/>
  <c r="H2938" i="1"/>
  <c r="H3126" i="1"/>
  <c r="H3202" i="1"/>
  <c r="H3293" i="1"/>
  <c r="H3511" i="1"/>
  <c r="H467" i="1"/>
  <c r="H580" i="1"/>
  <c r="H1077" i="1"/>
  <c r="H1590" i="1"/>
  <c r="H2007" i="1"/>
  <c r="H2428" i="1"/>
  <c r="H2730" i="1"/>
  <c r="H2947" i="1"/>
  <c r="H3113" i="1"/>
  <c r="H3207" i="1"/>
  <c r="H3294" i="1"/>
  <c r="H3325" i="1"/>
  <c r="H444" i="1"/>
  <c r="H571" i="1"/>
  <c r="H1078" i="1"/>
  <c r="H1591" i="1"/>
  <c r="H2008" i="1"/>
  <c r="H2420" i="1"/>
  <c r="H2735" i="1"/>
  <c r="H2939" i="1"/>
  <c r="H3116" i="1"/>
  <c r="H3205" i="1"/>
  <c r="H3303" i="1"/>
  <c r="H3337" i="1"/>
  <c r="H445" i="1"/>
  <c r="H581" i="1"/>
  <c r="H1079" i="1"/>
  <c r="H1582" i="1"/>
  <c r="H2009" i="1"/>
  <c r="H2425" i="1"/>
  <c r="H2736" i="1"/>
  <c r="H2936" i="1"/>
  <c r="H3115" i="1"/>
  <c r="H3215" i="1"/>
  <c r="H3291" i="1"/>
  <c r="H3330" i="1"/>
  <c r="H446" i="1"/>
  <c r="H572" i="1"/>
  <c r="H1080" i="1"/>
  <c r="H1583" i="1"/>
  <c r="H1999" i="1"/>
  <c r="H2421" i="1"/>
  <c r="H2726" i="1"/>
  <c r="H2948" i="1"/>
  <c r="H3117" i="1"/>
  <c r="H3208" i="1"/>
  <c r="H3292" i="1"/>
  <c r="H3331" i="1"/>
  <c r="H447" i="1"/>
  <c r="H573" i="1"/>
  <c r="H1081" i="1"/>
  <c r="H1584" i="1"/>
  <c r="H2000" i="1"/>
  <c r="H2422" i="1"/>
  <c r="H2737" i="1"/>
  <c r="H2942" i="1"/>
  <c r="H3118" i="1"/>
  <c r="H3204" i="1"/>
  <c r="H3295" i="1"/>
  <c r="H3335" i="1"/>
  <c r="H448" i="1"/>
  <c r="H574" i="1"/>
  <c r="H1082" i="1"/>
  <c r="H1580" i="1"/>
  <c r="H2001" i="1"/>
  <c r="H2418" i="1"/>
  <c r="H2731" i="1"/>
  <c r="H2943" i="1"/>
  <c r="H3114" i="1"/>
  <c r="H3209" i="1"/>
  <c r="H3296" i="1"/>
  <c r="H3326" i="1"/>
  <c r="H449" i="1"/>
  <c r="H570" i="1"/>
  <c r="H1083" i="1"/>
  <c r="H1578" i="1"/>
  <c r="H2002" i="1"/>
  <c r="H2419" i="1"/>
  <c r="H2732" i="1"/>
  <c r="H2944" i="1"/>
  <c r="H3121" i="1"/>
  <c r="H3206" i="1"/>
  <c r="H3297" i="1"/>
  <c r="H3332" i="1"/>
  <c r="H450" i="1"/>
  <c r="H575" i="1"/>
  <c r="H1074" i="1"/>
  <c r="H1585" i="1"/>
  <c r="H2005" i="1"/>
  <c r="H2423" i="1"/>
  <c r="H2727" i="1"/>
  <c r="H2940" i="1"/>
  <c r="H3122" i="1"/>
  <c r="H3210" i="1"/>
  <c r="H3298" i="1"/>
  <c r="H3328" i="1"/>
  <c r="H468" i="1"/>
  <c r="H582" i="1"/>
  <c r="H1084" i="1"/>
  <c r="H1586" i="1"/>
  <c r="H2003" i="1"/>
  <c r="H2426" i="1"/>
  <c r="H2733" i="1"/>
  <c r="H2945" i="1"/>
  <c r="H3123" i="1"/>
  <c r="H3211" i="1"/>
  <c r="H3299" i="1"/>
  <c r="H3333" i="1"/>
  <c r="H469" i="1"/>
  <c r="H576" i="1"/>
  <c r="H1085" i="1"/>
  <c r="H1587" i="1"/>
  <c r="H2010" i="1"/>
  <c r="H2427" i="1"/>
  <c r="H2734" i="1"/>
  <c r="H2941" i="1"/>
  <c r="H3119" i="1"/>
  <c r="H3212" i="1"/>
  <c r="H3300" i="1"/>
  <c r="H3329" i="1"/>
  <c r="H451" i="1"/>
  <c r="H577" i="1"/>
  <c r="H1086" i="1"/>
  <c r="H1588" i="1"/>
  <c r="H2011" i="1"/>
  <c r="H2431" i="1"/>
  <c r="H2738" i="1"/>
  <c r="H2946" i="1"/>
  <c r="H3120" i="1"/>
  <c r="H3213" i="1"/>
  <c r="H3301" i="1"/>
  <c r="H3336" i="1"/>
  <c r="H452" i="1"/>
  <c r="H583" i="1"/>
  <c r="H1087" i="1"/>
  <c r="H1589" i="1"/>
  <c r="H1998" i="1"/>
  <c r="H2429" i="1"/>
  <c r="H2739" i="1"/>
  <c r="H2949" i="1"/>
  <c r="H3124" i="1"/>
  <c r="H3214" i="1"/>
  <c r="H3302" i="1"/>
  <c r="H3334" i="1"/>
  <c r="H142" i="1"/>
  <c r="H274" i="1"/>
  <c r="H302" i="1"/>
  <c r="H556" i="1"/>
  <c r="H725" i="1"/>
  <c r="H892" i="1"/>
  <c r="H1062" i="1"/>
  <c r="H1218" i="1"/>
  <c r="H1343" i="1"/>
  <c r="H1501" i="1"/>
  <c r="H1662" i="1"/>
  <c r="H1802" i="1"/>
  <c r="H143" i="1"/>
  <c r="H266" i="1"/>
  <c r="H303" i="1"/>
  <c r="H557" i="1"/>
  <c r="H726" i="1"/>
  <c r="H893" i="1"/>
  <c r="H1063" i="1"/>
  <c r="H1226" i="1"/>
  <c r="H1344" i="1"/>
  <c r="H1502" i="1"/>
  <c r="H1667" i="1"/>
  <c r="H1803" i="1"/>
  <c r="H144" i="1"/>
  <c r="H267" i="1"/>
  <c r="H304" i="1"/>
  <c r="H558" i="1"/>
  <c r="H727" i="1"/>
  <c r="H894" i="1"/>
  <c r="H1064" i="1"/>
  <c r="H1219" i="1"/>
  <c r="H1345" i="1"/>
  <c r="H1494" i="1"/>
  <c r="H1675" i="1"/>
  <c r="H1810" i="1"/>
  <c r="H145" i="1"/>
  <c r="H275" i="1"/>
  <c r="H305" i="1"/>
  <c r="H559" i="1"/>
  <c r="H728" i="1"/>
  <c r="H895" i="1"/>
  <c r="H1065" i="1"/>
  <c r="H1220" i="1"/>
  <c r="H1346" i="1"/>
  <c r="H1503" i="1"/>
  <c r="H1663" i="1"/>
  <c r="H1811" i="1"/>
  <c r="H3512" i="1"/>
  <c r="H3513" i="1"/>
  <c r="H306" i="1"/>
  <c r="H560" i="1"/>
  <c r="H729" i="1"/>
  <c r="H896" i="1"/>
  <c r="H1066" i="1"/>
  <c r="H1227" i="1"/>
  <c r="H1347" i="1"/>
  <c r="H1504" i="1"/>
  <c r="H1668" i="1"/>
  <c r="H1804" i="1"/>
  <c r="H3514" i="1"/>
  <c r="H28" i="1"/>
  <c r="H312" i="1"/>
  <c r="H561" i="1"/>
  <c r="H730" i="1"/>
  <c r="H897" i="1"/>
  <c r="H1067" i="1"/>
  <c r="H1221" i="1"/>
  <c r="H1348" i="1"/>
  <c r="H1505" i="1"/>
  <c r="H1664" i="1"/>
  <c r="H1812" i="1"/>
  <c r="H2" i="1"/>
  <c r="H36" i="1"/>
  <c r="H307" i="1"/>
  <c r="H562" i="1"/>
  <c r="H731" i="1"/>
  <c r="H898" i="1"/>
  <c r="H1073" i="1"/>
  <c r="H1222" i="1"/>
  <c r="H1349" i="1"/>
  <c r="H1496" i="1"/>
  <c r="H1669" i="1"/>
  <c r="H1813" i="1"/>
  <c r="H3" i="1"/>
  <c r="H29" i="1"/>
  <c r="H313" i="1"/>
  <c r="H563" i="1"/>
  <c r="H732" i="1"/>
  <c r="H899" i="1"/>
  <c r="H1068" i="1"/>
  <c r="H1205" i="1"/>
  <c r="H1350" i="1"/>
  <c r="H1506" i="1"/>
  <c r="H1670" i="1"/>
  <c r="H1814" i="1"/>
  <c r="H4" i="1"/>
  <c r="H30" i="1"/>
  <c r="H308" i="1"/>
  <c r="H564" i="1"/>
  <c r="H733" i="1"/>
  <c r="H900" i="1"/>
  <c r="H1069" i="1"/>
  <c r="H1206" i="1"/>
  <c r="H1351" i="1"/>
  <c r="H1507" i="1"/>
  <c r="H1665" i="1"/>
  <c r="H1815" i="1"/>
  <c r="H5" i="1"/>
  <c r="H31" i="1"/>
  <c r="H309" i="1"/>
  <c r="H565" i="1"/>
  <c r="H734" i="1"/>
  <c r="H901" i="1"/>
  <c r="H1070" i="1"/>
  <c r="H1223" i="1"/>
  <c r="H1352" i="1"/>
  <c r="H1497" i="1"/>
  <c r="H1671" i="1"/>
  <c r="H1805" i="1"/>
  <c r="H6" i="1"/>
  <c r="H32" i="1"/>
  <c r="H310" i="1"/>
  <c r="H566" i="1"/>
  <c r="H735" i="1"/>
  <c r="H902" i="1"/>
  <c r="H1071" i="1"/>
  <c r="H1224" i="1"/>
  <c r="H1341" i="1"/>
  <c r="H1498" i="1"/>
  <c r="H1672" i="1"/>
  <c r="H1806" i="1"/>
  <c r="H7" i="1"/>
  <c r="H33" i="1"/>
  <c r="H314" i="1"/>
  <c r="H567" i="1"/>
  <c r="H736" i="1"/>
  <c r="H903" i="1"/>
  <c r="H1060" i="1"/>
  <c r="H1207" i="1"/>
  <c r="H1353" i="1"/>
  <c r="H1499" i="1"/>
  <c r="H1673" i="1"/>
  <c r="H1807" i="1"/>
  <c r="H8" i="1"/>
  <c r="H34" i="1"/>
  <c r="H315" i="1"/>
  <c r="H569" i="1"/>
  <c r="H724" i="1"/>
  <c r="H904" i="1"/>
  <c r="H1061" i="1"/>
  <c r="H1200" i="1"/>
  <c r="H1342" i="1"/>
  <c r="H1500" i="1"/>
  <c r="H1674" i="1"/>
  <c r="H1808" i="1"/>
  <c r="H9" i="1"/>
  <c r="H35" i="1"/>
  <c r="H311" i="1"/>
  <c r="H568" i="1"/>
  <c r="H737" i="1"/>
  <c r="H905" i="1"/>
  <c r="H1072" i="1"/>
  <c r="H1208" i="1"/>
  <c r="H1340" i="1"/>
  <c r="H1495" i="1"/>
  <c r="H1666" i="1"/>
  <c r="H1809" i="1"/>
  <c r="H218" i="1"/>
  <c r="H118" i="1"/>
  <c r="H405" i="1"/>
  <c r="H626" i="1"/>
  <c r="H823" i="1"/>
  <c r="H1019" i="1"/>
  <c r="H1189" i="1"/>
  <c r="H1375" i="1"/>
  <c r="H1514" i="1"/>
  <c r="H1692" i="1"/>
  <c r="H1916" i="1"/>
  <c r="H2045" i="1"/>
  <c r="H219" i="1"/>
  <c r="H119" i="1"/>
  <c r="H406" i="1"/>
  <c r="H627" i="1"/>
  <c r="H824" i="1"/>
  <c r="H1020" i="1"/>
  <c r="H1190" i="1"/>
  <c r="H1376" i="1"/>
  <c r="H1508" i="1"/>
  <c r="H1693" i="1"/>
  <c r="H1917" i="1"/>
  <c r="H2046" i="1"/>
  <c r="H220" i="1"/>
  <c r="H123" i="1"/>
  <c r="H407" i="1"/>
  <c r="H628" i="1"/>
  <c r="H825" i="1"/>
  <c r="H1021" i="1"/>
  <c r="H1191" i="1"/>
  <c r="H1377" i="1"/>
  <c r="H1509" i="1"/>
  <c r="H1700" i="1"/>
  <c r="H1918" i="1"/>
  <c r="H2047" i="1"/>
  <c r="H223" i="1"/>
  <c r="H120" i="1"/>
  <c r="H408" i="1"/>
  <c r="H629" i="1"/>
  <c r="H826" i="1"/>
  <c r="H1022" i="1"/>
  <c r="H1198" i="1"/>
  <c r="H1378" i="1"/>
  <c r="H1520" i="1"/>
  <c r="H1701" i="1"/>
  <c r="H1914" i="1"/>
  <c r="H2048" i="1"/>
  <c r="H3515" i="1"/>
  <c r="H3516" i="1"/>
  <c r="H409" i="1"/>
  <c r="H630" i="1"/>
  <c r="H827" i="1"/>
  <c r="H1023" i="1"/>
  <c r="H1199" i="1"/>
  <c r="H1387" i="1"/>
  <c r="H1521" i="1"/>
  <c r="H1690" i="1"/>
  <c r="H1915" i="1"/>
  <c r="H2067" i="1"/>
  <c r="H10" i="1"/>
  <c r="H56" i="1"/>
  <c r="H410" i="1"/>
  <c r="H638" i="1"/>
  <c r="H828" i="1"/>
  <c r="H1024" i="1"/>
  <c r="H1192" i="1"/>
  <c r="H1379" i="1"/>
  <c r="H1515" i="1"/>
  <c r="H1702" i="1"/>
  <c r="H1927" i="1"/>
  <c r="H2054" i="1"/>
  <c r="H16" i="1"/>
  <c r="H57" i="1"/>
  <c r="H411" i="1"/>
  <c r="H631" i="1"/>
  <c r="H829" i="1"/>
  <c r="H1031" i="1"/>
  <c r="H1193" i="1"/>
  <c r="H1388" i="1"/>
  <c r="H1516" i="1"/>
  <c r="H1703" i="1"/>
  <c r="H1919" i="1"/>
  <c r="H2049" i="1"/>
  <c r="H17" i="1"/>
  <c r="H58" i="1"/>
  <c r="H412" i="1"/>
  <c r="H632" i="1"/>
  <c r="H835" i="1"/>
  <c r="H1025" i="1"/>
  <c r="H1194" i="1"/>
  <c r="H1380" i="1"/>
  <c r="H1517" i="1"/>
  <c r="H1691" i="1"/>
  <c r="H1920" i="1"/>
  <c r="H2040" i="1"/>
  <c r="H11" i="1"/>
  <c r="H59" i="1"/>
  <c r="H401" i="1"/>
  <c r="H639" i="1"/>
  <c r="H830" i="1"/>
  <c r="H1026" i="1"/>
  <c r="H1195" i="1"/>
  <c r="H1381" i="1"/>
  <c r="H1510" i="1"/>
  <c r="H1694" i="1"/>
  <c r="H1921" i="1"/>
  <c r="H2041" i="1"/>
  <c r="H18" i="1"/>
  <c r="H60" i="1"/>
  <c r="H402" i="1"/>
  <c r="H633" i="1"/>
  <c r="H831" i="1"/>
  <c r="H1027" i="1"/>
  <c r="H1196" i="1"/>
  <c r="H1368" i="1"/>
  <c r="H1518" i="1"/>
  <c r="H1695" i="1"/>
  <c r="H1922" i="1"/>
  <c r="H2042" i="1"/>
  <c r="H12" i="1"/>
  <c r="H61" i="1"/>
  <c r="H403" i="1"/>
  <c r="H634" i="1"/>
  <c r="H832" i="1"/>
  <c r="H1028" i="1"/>
  <c r="H1187" i="1"/>
  <c r="H1382" i="1"/>
  <c r="H1519" i="1"/>
  <c r="H1696" i="1"/>
  <c r="H1923" i="1"/>
  <c r="H2043" i="1"/>
  <c r="H13" i="1"/>
  <c r="H62" i="1"/>
  <c r="H413" i="1"/>
  <c r="H635" i="1"/>
  <c r="H822" i="1"/>
  <c r="H1018" i="1"/>
  <c r="H1186" i="1"/>
  <c r="H1369" i="1"/>
  <c r="H1511" i="1"/>
  <c r="H1697" i="1"/>
  <c r="H1924" i="1"/>
  <c r="H2044" i="1"/>
  <c r="H14" i="1"/>
  <c r="H63" i="1"/>
  <c r="H414" i="1"/>
  <c r="H636" i="1"/>
  <c r="H833" i="1"/>
  <c r="H1029" i="1"/>
  <c r="H1188" i="1"/>
  <c r="H1370" i="1"/>
  <c r="H1512" i="1"/>
  <c r="H1698" i="1"/>
  <c r="H1925" i="1"/>
  <c r="H2050" i="1"/>
  <c r="H15" i="1"/>
  <c r="H64" i="1"/>
  <c r="H404" i="1"/>
  <c r="H637" i="1"/>
  <c r="H834" i="1"/>
  <c r="H1030" i="1"/>
  <c r="H1197" i="1"/>
  <c r="H1371" i="1"/>
  <c r="H1513" i="1"/>
  <c r="H1699" i="1"/>
  <c r="H1926" i="1"/>
  <c r="H2051" i="1"/>
  <c r="H3517" i="1"/>
  <c r="H3518" i="1"/>
  <c r="H501" i="1"/>
  <c r="H746" i="1"/>
  <c r="H949" i="1"/>
  <c r="H1167" i="1"/>
  <c r="H1389" i="1"/>
  <c r="H1601" i="1"/>
  <c r="H1776" i="1"/>
  <c r="H1958" i="1"/>
  <c r="H2205" i="1"/>
  <c r="H2286" i="1"/>
  <c r="H3519" i="1"/>
  <c r="H3520" i="1"/>
  <c r="H512" i="1"/>
  <c r="H747" i="1"/>
  <c r="H950" i="1"/>
  <c r="H1160" i="1"/>
  <c r="H1383" i="1"/>
  <c r="H1602" i="1"/>
  <c r="H1777" i="1"/>
  <c r="H1959" i="1"/>
  <c r="H2199" i="1"/>
  <c r="H2287" i="1"/>
  <c r="H3521" i="1"/>
  <c r="H3522" i="1"/>
  <c r="H513" i="1"/>
  <c r="H748" i="1"/>
  <c r="H951" i="1"/>
  <c r="H1170" i="1"/>
  <c r="H1390" i="1"/>
  <c r="H1592" i="1"/>
  <c r="H1778" i="1"/>
  <c r="H1968" i="1"/>
  <c r="H2194" i="1"/>
  <c r="H2288" i="1"/>
  <c r="H3523" i="1"/>
  <c r="H3524" i="1"/>
  <c r="H502" i="1"/>
  <c r="H749" i="1"/>
  <c r="H952" i="1"/>
  <c r="H1161" i="1"/>
  <c r="H1391" i="1"/>
  <c r="H1604" i="1"/>
  <c r="H1773" i="1"/>
  <c r="H1969" i="1"/>
  <c r="H2206" i="1"/>
  <c r="H2289" i="1"/>
  <c r="H3525" i="1"/>
  <c r="H96" i="1"/>
  <c r="H503" i="1"/>
  <c r="H750" i="1"/>
  <c r="H953" i="1"/>
  <c r="H1171" i="1"/>
  <c r="H1392" i="1"/>
  <c r="H1605" i="1"/>
  <c r="H1786" i="1"/>
  <c r="H1960" i="1"/>
  <c r="H2200" i="1"/>
  <c r="H2278" i="1"/>
  <c r="H37" i="1"/>
  <c r="H104" i="1"/>
  <c r="H504" i="1"/>
  <c r="H738" i="1"/>
  <c r="H954" i="1"/>
  <c r="H1168" i="1"/>
  <c r="H1393" i="1"/>
  <c r="H1593" i="1"/>
  <c r="H1787" i="1"/>
  <c r="H1961" i="1"/>
  <c r="H2207" i="1"/>
  <c r="H2290" i="1"/>
  <c r="H38" i="1"/>
  <c r="H97" i="1"/>
  <c r="H505" i="1"/>
  <c r="H739" i="1"/>
  <c r="H959" i="1"/>
  <c r="H1162" i="1"/>
  <c r="H1384" i="1"/>
  <c r="H1603" i="1"/>
  <c r="H1779" i="1"/>
  <c r="H1962" i="1"/>
  <c r="H2201" i="1"/>
  <c r="H2291" i="1"/>
  <c r="H43" i="1"/>
  <c r="H98" i="1"/>
  <c r="H506" i="1"/>
  <c r="H751" i="1"/>
  <c r="H960" i="1"/>
  <c r="H1163" i="1"/>
  <c r="H1394" i="1"/>
  <c r="H1594" i="1"/>
  <c r="H1780" i="1"/>
  <c r="H1956" i="1"/>
  <c r="H2195" i="1"/>
  <c r="H2279" i="1"/>
  <c r="H39" i="1"/>
  <c r="H99" i="1"/>
  <c r="H507" i="1"/>
  <c r="H740" i="1"/>
  <c r="H955" i="1"/>
  <c r="H1169" i="1"/>
  <c r="H1395" i="1"/>
  <c r="H1597" i="1"/>
  <c r="H1781" i="1"/>
  <c r="H1957" i="1"/>
  <c r="H2196" i="1"/>
  <c r="H2280" i="1"/>
  <c r="H44" i="1"/>
  <c r="H100" i="1"/>
  <c r="H508" i="1"/>
  <c r="H741" i="1"/>
  <c r="H961" i="1"/>
  <c r="H1164" i="1"/>
  <c r="H1385" i="1"/>
  <c r="H1598" i="1"/>
  <c r="H1782" i="1"/>
  <c r="H1963" i="1"/>
  <c r="H2197" i="1"/>
  <c r="H2281" i="1"/>
  <c r="H40" i="1"/>
  <c r="H101" i="1"/>
  <c r="H509" i="1"/>
  <c r="H742" i="1"/>
  <c r="H948" i="1"/>
  <c r="H1158" i="1"/>
  <c r="H1372" i="1"/>
  <c r="H1599" i="1"/>
  <c r="H1783" i="1"/>
  <c r="H1964" i="1"/>
  <c r="H2198" i="1"/>
  <c r="H2282" i="1"/>
  <c r="H41" i="1"/>
  <c r="H102" i="1"/>
  <c r="H510" i="1"/>
  <c r="H743" i="1"/>
  <c r="H956" i="1"/>
  <c r="H1165" i="1"/>
  <c r="H1373" i="1"/>
  <c r="H1595" i="1"/>
  <c r="H1784" i="1"/>
  <c r="H1965" i="1"/>
  <c r="H2202" i="1"/>
  <c r="H2283" i="1"/>
  <c r="H42" i="1"/>
  <c r="H103" i="1"/>
  <c r="H500" i="1"/>
  <c r="H744" i="1"/>
  <c r="H957" i="1"/>
  <c r="H1166" i="1"/>
  <c r="H1374" i="1"/>
  <c r="H1596" i="1"/>
  <c r="H1774" i="1"/>
  <c r="H1966" i="1"/>
  <c r="H2203" i="1"/>
  <c r="H2284" i="1"/>
  <c r="H45" i="1"/>
  <c r="H105" i="1"/>
  <c r="H511" i="1"/>
  <c r="H745" i="1"/>
  <c r="H958" i="1"/>
  <c r="H1159" i="1"/>
  <c r="H1386" i="1"/>
  <c r="H1600" i="1"/>
  <c r="H1785" i="1"/>
  <c r="H1967" i="1"/>
  <c r="H2204" i="1"/>
  <c r="H2285" i="1"/>
  <c r="H3526" i="1"/>
  <c r="H175" i="1"/>
  <c r="H584" i="1"/>
  <c r="H853" i="1"/>
  <c r="H1091" i="1"/>
  <c r="H1316" i="1"/>
  <c r="H1612" i="1"/>
  <c r="H1831" i="1"/>
  <c r="H2034" i="1"/>
  <c r="H2247" i="1"/>
  <c r="H2453" i="1"/>
  <c r="H2566" i="1"/>
  <c r="H3527" i="1"/>
  <c r="H176" i="1"/>
  <c r="H585" i="1"/>
  <c r="H854" i="1"/>
  <c r="H1092" i="1"/>
  <c r="H1317" i="1"/>
  <c r="H1613" i="1"/>
  <c r="H1830" i="1"/>
  <c r="H2026" i="1"/>
  <c r="H2248" i="1"/>
  <c r="H2454" i="1"/>
  <c r="H2571" i="1"/>
  <c r="H3528" i="1"/>
  <c r="H177" i="1"/>
  <c r="H586" i="1"/>
  <c r="H855" i="1"/>
  <c r="H1093" i="1"/>
  <c r="H1318" i="1"/>
  <c r="H1607" i="1"/>
  <c r="H1839" i="1"/>
  <c r="H2035" i="1"/>
  <c r="H2241" i="1"/>
  <c r="H2459" i="1"/>
  <c r="H2567" i="1"/>
  <c r="H3529" i="1"/>
  <c r="H178" i="1"/>
  <c r="H587" i="1"/>
  <c r="H856" i="1"/>
  <c r="H1094" i="1"/>
  <c r="H1319" i="1"/>
  <c r="H1619" i="1"/>
  <c r="H1832" i="1"/>
  <c r="H2036" i="1"/>
  <c r="H2242" i="1"/>
  <c r="H2455" i="1"/>
  <c r="H2568" i="1"/>
  <c r="H77" i="1"/>
  <c r="H179" i="1"/>
  <c r="H588" i="1"/>
  <c r="H857" i="1"/>
  <c r="H1095" i="1"/>
  <c r="H1320" i="1"/>
  <c r="H1618" i="1"/>
  <c r="H1840" i="1"/>
  <c r="H2039" i="1"/>
  <c r="H2243" i="1"/>
  <c r="H2451" i="1"/>
  <c r="H2559" i="1"/>
  <c r="H78" i="1"/>
  <c r="H180" i="1"/>
  <c r="H595" i="1"/>
  <c r="H858" i="1"/>
  <c r="H1096" i="1"/>
  <c r="H1321" i="1"/>
  <c r="H1614" i="1"/>
  <c r="H1841" i="1"/>
  <c r="H2027" i="1"/>
  <c r="H2249" i="1"/>
  <c r="H2456" i="1"/>
  <c r="H2563" i="1"/>
  <c r="H79" i="1"/>
  <c r="H181" i="1"/>
  <c r="H589" i="1"/>
  <c r="H859" i="1"/>
  <c r="H1088" i="1"/>
  <c r="H1322" i="1"/>
  <c r="H1615" i="1"/>
  <c r="H1842" i="1"/>
  <c r="H2037" i="1"/>
  <c r="H2244" i="1"/>
  <c r="H2457" i="1"/>
  <c r="H2564" i="1"/>
  <c r="H80" i="1"/>
  <c r="H187" i="1"/>
  <c r="H596" i="1"/>
  <c r="H850" i="1"/>
  <c r="H1097" i="1"/>
  <c r="H1323" i="1"/>
  <c r="H1608" i="1"/>
  <c r="H1833" i="1"/>
  <c r="H2028" i="1"/>
  <c r="H2237" i="1"/>
  <c r="H2452" i="1"/>
  <c r="H2569" i="1"/>
  <c r="H81" i="1"/>
  <c r="H188" i="1"/>
  <c r="H590" i="1"/>
  <c r="H860" i="1"/>
  <c r="H1098" i="1"/>
  <c r="H1313" i="1"/>
  <c r="H1616" i="1"/>
  <c r="H1834" i="1"/>
  <c r="H2029" i="1"/>
  <c r="H2238" i="1"/>
  <c r="H2447" i="1"/>
  <c r="H2565" i="1"/>
  <c r="H82" i="1"/>
  <c r="H182" i="1"/>
  <c r="H591" i="1"/>
  <c r="H861" i="1"/>
  <c r="H1089" i="1"/>
  <c r="H1314" i="1"/>
  <c r="H1609" i="1"/>
  <c r="H1835" i="1"/>
  <c r="H2030" i="1"/>
  <c r="H2236" i="1"/>
  <c r="H2448" i="1"/>
  <c r="H2560" i="1"/>
  <c r="H75" i="1"/>
  <c r="H174" i="1"/>
  <c r="H592" i="1"/>
  <c r="H862" i="1"/>
  <c r="H1099" i="1"/>
  <c r="H1312" i="1"/>
  <c r="H1610" i="1"/>
  <c r="H1836" i="1"/>
  <c r="H2031" i="1"/>
  <c r="H2239" i="1"/>
  <c r="H2446" i="1"/>
  <c r="H2561" i="1"/>
  <c r="H83" i="1"/>
  <c r="H183" i="1"/>
  <c r="H593" i="1"/>
  <c r="H863" i="1"/>
  <c r="H1100" i="1"/>
  <c r="H1324" i="1"/>
  <c r="H1606" i="1"/>
  <c r="H1837" i="1"/>
  <c r="H2032" i="1"/>
  <c r="H2240" i="1"/>
  <c r="H2449" i="1"/>
  <c r="H2562" i="1"/>
  <c r="H84" i="1"/>
  <c r="H189" i="1"/>
  <c r="H594" i="1"/>
  <c r="H851" i="1"/>
  <c r="H1090" i="1"/>
  <c r="H1315" i="1"/>
  <c r="H1611" i="1"/>
  <c r="H1838" i="1"/>
  <c r="H2033" i="1"/>
  <c r="H2245" i="1"/>
  <c r="H2450" i="1"/>
  <c r="H2558" i="1"/>
  <c r="H85" i="1"/>
  <c r="H184" i="1"/>
  <c r="H597" i="1"/>
  <c r="H852" i="1"/>
  <c r="H1101" i="1"/>
  <c r="H1325" i="1"/>
  <c r="H1617" i="1"/>
  <c r="H1843" i="1"/>
  <c r="H2038" i="1"/>
  <c r="H2246" i="1"/>
  <c r="H2458" i="1"/>
  <c r="H2570" i="1"/>
  <c r="H161" i="1"/>
  <c r="H299" i="1"/>
  <c r="H696" i="1"/>
  <c r="H1010" i="1"/>
  <c r="H1280" i="1"/>
  <c r="H1549" i="1"/>
  <c r="H1901" i="1"/>
  <c r="H2131" i="1"/>
  <c r="H2345" i="1"/>
  <c r="H2531" i="1"/>
  <c r="H2715" i="1"/>
  <c r="H2840" i="1"/>
  <c r="H162" i="1"/>
  <c r="H289" i="1"/>
  <c r="H697" i="1"/>
  <c r="H1011" i="1"/>
  <c r="H1272" i="1"/>
  <c r="H1556" i="1"/>
  <c r="H1900" i="1"/>
  <c r="H2128" i="1"/>
  <c r="H2334" i="1"/>
  <c r="H2542" i="1"/>
  <c r="H2712" i="1"/>
  <c r="H2841" i="1"/>
  <c r="H163" i="1"/>
  <c r="H300" i="1"/>
  <c r="H698" i="1"/>
  <c r="H1012" i="1"/>
  <c r="H1281" i="1"/>
  <c r="H1561" i="1"/>
  <c r="H1909" i="1"/>
  <c r="H2132" i="1"/>
  <c r="H2346" i="1"/>
  <c r="H2534" i="1"/>
  <c r="H2725" i="1"/>
  <c r="H2845" i="1"/>
  <c r="H164" i="1"/>
  <c r="H290" i="1"/>
  <c r="H699" i="1"/>
  <c r="H1013" i="1"/>
  <c r="H1282" i="1"/>
  <c r="H1562" i="1"/>
  <c r="H1905" i="1"/>
  <c r="H2133" i="1"/>
  <c r="H2347" i="1"/>
  <c r="H2535" i="1"/>
  <c r="H2716" i="1"/>
  <c r="H2849" i="1"/>
  <c r="H165" i="1"/>
  <c r="H291" i="1"/>
  <c r="H708" i="1"/>
  <c r="H1004" i="1"/>
  <c r="H1273" i="1"/>
  <c r="H1557" i="1"/>
  <c r="H1910" i="1"/>
  <c r="H2141" i="1"/>
  <c r="H2339" i="1"/>
  <c r="H2536" i="1"/>
  <c r="H2717" i="1"/>
  <c r="H2850" i="1"/>
  <c r="H166" i="1"/>
  <c r="H301" i="1"/>
  <c r="H700" i="1"/>
  <c r="H1014" i="1"/>
  <c r="H1283" i="1"/>
  <c r="H1558" i="1"/>
  <c r="H1906" i="1"/>
  <c r="H2134" i="1"/>
  <c r="H2335" i="1"/>
  <c r="H2537" i="1"/>
  <c r="H2718" i="1"/>
  <c r="H2851" i="1"/>
  <c r="H167" i="1"/>
  <c r="H292" i="1"/>
  <c r="H701" i="1"/>
  <c r="H1005" i="1"/>
  <c r="H1274" i="1"/>
  <c r="H1550" i="1"/>
  <c r="H1907" i="1"/>
  <c r="H2129" i="1"/>
  <c r="H2340" i="1"/>
  <c r="H2543" i="1"/>
  <c r="H2719" i="1"/>
  <c r="H2846" i="1"/>
  <c r="H168" i="1"/>
  <c r="H293" i="1"/>
  <c r="H702" i="1"/>
  <c r="H1015" i="1"/>
  <c r="H1275" i="1"/>
  <c r="H1553" i="1"/>
  <c r="H1902" i="1"/>
  <c r="H2126" i="1"/>
  <c r="H2341" i="1"/>
  <c r="H2538" i="1"/>
  <c r="H2724" i="1"/>
  <c r="H2842" i="1"/>
  <c r="H169" i="1"/>
  <c r="H294" i="1"/>
  <c r="H709" i="1"/>
  <c r="H1016" i="1"/>
  <c r="H1270" i="1"/>
  <c r="H1554" i="1"/>
  <c r="H1903" i="1"/>
  <c r="H2124" i="1"/>
  <c r="H2337" i="1"/>
  <c r="H2533" i="1"/>
  <c r="H2720" i="1"/>
  <c r="H2847" i="1"/>
  <c r="H170" i="1"/>
  <c r="H276" i="1"/>
  <c r="H703" i="1"/>
  <c r="H1006" i="1"/>
  <c r="H1276" i="1"/>
  <c r="H1551" i="1"/>
  <c r="H1904" i="1"/>
  <c r="H2127" i="1"/>
  <c r="H2336" i="1"/>
  <c r="H2539" i="1"/>
  <c r="H2721" i="1"/>
  <c r="H2843" i="1"/>
  <c r="H171" i="1"/>
  <c r="H295" i="1"/>
  <c r="H704" i="1"/>
  <c r="H1007" i="1"/>
  <c r="H1277" i="1"/>
  <c r="H1559" i="1"/>
  <c r="H1911" i="1"/>
  <c r="H2125" i="1"/>
  <c r="H2338" i="1"/>
  <c r="H2540" i="1"/>
  <c r="H2722" i="1"/>
  <c r="H2844" i="1"/>
  <c r="H172" i="1"/>
  <c r="H296" i="1"/>
  <c r="H705" i="1"/>
  <c r="H1008" i="1"/>
  <c r="H1271" i="1"/>
  <c r="H1555" i="1"/>
  <c r="H1908" i="1"/>
  <c r="H2130" i="1"/>
  <c r="H2342" i="1"/>
  <c r="H2532" i="1"/>
  <c r="H2713" i="1"/>
  <c r="H2838" i="1"/>
  <c r="H173" i="1"/>
  <c r="H297" i="1"/>
  <c r="H706" i="1"/>
  <c r="H1009" i="1"/>
  <c r="H1278" i="1"/>
  <c r="H1563" i="1"/>
  <c r="H1912" i="1"/>
  <c r="H2135" i="1"/>
  <c r="H2343" i="1"/>
  <c r="H2541" i="1"/>
  <c r="H2723" i="1"/>
  <c r="H2839" i="1"/>
  <c r="H156" i="1"/>
  <c r="H298" i="1"/>
  <c r="H707" i="1"/>
  <c r="H1017" i="1"/>
  <c r="H1279" i="1"/>
  <c r="H1560" i="1"/>
  <c r="H1913" i="1"/>
  <c r="H2136" i="1"/>
  <c r="H2344" i="1"/>
  <c r="H2529" i="1"/>
  <c r="H2711" i="1"/>
  <c r="H2848" i="1"/>
  <c r="H239" i="1"/>
  <c r="H390" i="1"/>
  <c r="H816" i="1"/>
  <c r="H1156" i="1"/>
  <c r="H1482" i="1"/>
  <c r="H1844" i="1"/>
  <c r="H2186" i="1"/>
  <c r="H2411" i="1"/>
  <c r="H2649" i="1"/>
  <c r="H2784" i="1"/>
  <c r="H2967" i="1"/>
  <c r="H3085" i="1"/>
  <c r="H240" i="1"/>
  <c r="H391" i="1"/>
  <c r="H817" i="1"/>
  <c r="H1146" i="1"/>
  <c r="H1483" i="1"/>
  <c r="H1845" i="1"/>
  <c r="H2183" i="1"/>
  <c r="H2416" i="1"/>
  <c r="H2650" i="1"/>
  <c r="H2785" i="1"/>
  <c r="H2966" i="1"/>
  <c r="H3080" i="1"/>
  <c r="H241" i="1"/>
  <c r="H392" i="1"/>
  <c r="H818" i="1"/>
  <c r="H1147" i="1"/>
  <c r="H1484" i="1"/>
  <c r="H1848" i="1"/>
  <c r="H2187" i="1"/>
  <c r="H2412" i="1"/>
  <c r="H2644" i="1"/>
  <c r="H2795" i="1"/>
  <c r="H2968" i="1"/>
  <c r="H3074" i="1"/>
  <c r="H242" i="1"/>
  <c r="H393" i="1"/>
  <c r="H819" i="1"/>
  <c r="H1148" i="1"/>
  <c r="H1485" i="1"/>
  <c r="H1849" i="1"/>
  <c r="H2188" i="1"/>
  <c r="H2407" i="1"/>
  <c r="H2655" i="1"/>
  <c r="H2783" i="1"/>
  <c r="H2969" i="1"/>
  <c r="H3081" i="1"/>
  <c r="H243" i="1"/>
  <c r="H394" i="1"/>
  <c r="H820" i="1"/>
  <c r="H1157" i="1"/>
  <c r="H1486" i="1"/>
  <c r="H1853" i="1"/>
  <c r="H2193" i="1"/>
  <c r="H2408" i="1"/>
  <c r="H2651" i="1"/>
  <c r="H2782" i="1"/>
  <c r="H2970" i="1"/>
  <c r="H3075" i="1"/>
  <c r="H244" i="1"/>
  <c r="H395" i="1"/>
  <c r="H808" i="1"/>
  <c r="H1144" i="1"/>
  <c r="H1487" i="1"/>
  <c r="H1850" i="1"/>
  <c r="H2184" i="1"/>
  <c r="H2405" i="1"/>
  <c r="H2652" i="1"/>
  <c r="H2786" i="1"/>
  <c r="H2964" i="1"/>
  <c r="H3076" i="1"/>
  <c r="H245" i="1"/>
  <c r="H387" i="1"/>
  <c r="H809" i="1"/>
  <c r="H1149" i="1"/>
  <c r="H1488" i="1"/>
  <c r="H1846" i="1"/>
  <c r="H2179" i="1"/>
  <c r="H2413" i="1"/>
  <c r="H2645" i="1"/>
  <c r="H2787" i="1"/>
  <c r="H2971" i="1"/>
  <c r="H3073" i="1"/>
  <c r="H246" i="1"/>
  <c r="H396" i="1"/>
  <c r="H821" i="1"/>
  <c r="H1150" i="1"/>
  <c r="H1480" i="1"/>
  <c r="H1847" i="1"/>
  <c r="H2189" i="1"/>
  <c r="H2409" i="1"/>
  <c r="H2646" i="1"/>
  <c r="H2788" i="1"/>
  <c r="H2972" i="1"/>
  <c r="H3082" i="1"/>
  <c r="H247" i="1"/>
  <c r="H397" i="1"/>
  <c r="H810" i="1"/>
  <c r="H1151" i="1"/>
  <c r="H1489" i="1"/>
  <c r="H1854" i="1"/>
  <c r="H2180" i="1"/>
  <c r="H2410" i="1"/>
  <c r="H2647" i="1"/>
  <c r="H2789" i="1"/>
  <c r="H2973" i="1"/>
  <c r="H3077" i="1"/>
  <c r="H248" i="1"/>
  <c r="H398" i="1"/>
  <c r="H811" i="1"/>
  <c r="H1152" i="1"/>
  <c r="H1490" i="1"/>
  <c r="H1855" i="1"/>
  <c r="H2181" i="1"/>
  <c r="H2414" i="1"/>
  <c r="H2653" i="1"/>
  <c r="H2790" i="1"/>
  <c r="H2974" i="1"/>
  <c r="H3083" i="1"/>
  <c r="H249" i="1"/>
  <c r="H399" i="1"/>
  <c r="H812" i="1"/>
  <c r="H1153" i="1"/>
  <c r="H1481" i="1"/>
  <c r="H1851" i="1"/>
  <c r="H2185" i="1"/>
  <c r="H2406" i="1"/>
  <c r="H2643" i="1"/>
  <c r="H2793" i="1"/>
  <c r="H2965" i="1"/>
  <c r="H3078" i="1"/>
  <c r="H250" i="1"/>
  <c r="H400" i="1"/>
  <c r="H813" i="1"/>
  <c r="H1154" i="1"/>
  <c r="H1491" i="1"/>
  <c r="H1852" i="1"/>
  <c r="H2190" i="1"/>
  <c r="H2415" i="1"/>
  <c r="H2648" i="1"/>
  <c r="H2791" i="1"/>
  <c r="H2975" i="1"/>
  <c r="H3079" i="1"/>
  <c r="H238" i="1"/>
  <c r="H388" i="1"/>
  <c r="H814" i="1"/>
  <c r="H1155" i="1"/>
  <c r="H1492" i="1"/>
  <c r="H1857" i="1"/>
  <c r="H2191" i="1"/>
  <c r="H2404" i="1"/>
  <c r="H2654" i="1"/>
  <c r="H2792" i="1"/>
  <c r="H2976" i="1"/>
  <c r="H3084" i="1"/>
  <c r="H251" i="1"/>
  <c r="H389" i="1"/>
  <c r="H815" i="1"/>
  <c r="H1145" i="1"/>
  <c r="H1493" i="1"/>
  <c r="H1858" i="1"/>
  <c r="H2192" i="1"/>
  <c r="H2417" i="1"/>
  <c r="H2642" i="1"/>
  <c r="H2794" i="1"/>
  <c r="H2977" i="1"/>
  <c r="H3086" i="1"/>
  <c r="H345" i="1"/>
  <c r="H494" i="1"/>
  <c r="H935" i="1"/>
  <c r="H1357" i="1"/>
  <c r="H1748" i="1"/>
  <c r="H2169" i="1"/>
  <c r="H2478" i="1"/>
  <c r="H2689" i="1"/>
  <c r="H2911" i="1"/>
  <c r="H3041" i="1"/>
  <c r="H3165" i="1"/>
  <c r="H3242" i="1"/>
  <c r="H346" i="1"/>
  <c r="H495" i="1"/>
  <c r="H936" i="1"/>
  <c r="H1358" i="1"/>
  <c r="H1749" i="1"/>
  <c r="H2168" i="1"/>
  <c r="H2487" i="1"/>
  <c r="H2690" i="1"/>
  <c r="H2912" i="1"/>
  <c r="H3042" i="1"/>
  <c r="H3167" i="1"/>
  <c r="H3241" i="1"/>
  <c r="H347" i="1"/>
  <c r="H496" i="1"/>
  <c r="H937" i="1"/>
  <c r="H1359" i="1"/>
  <c r="H1750" i="1"/>
  <c r="H2173" i="1"/>
  <c r="H2479" i="1"/>
  <c r="H2691" i="1"/>
  <c r="H2921" i="1"/>
  <c r="H3033" i="1"/>
  <c r="H3169" i="1"/>
  <c r="H3249" i="1"/>
  <c r="H356" i="1"/>
  <c r="H497" i="1"/>
  <c r="H938" i="1"/>
  <c r="H1360" i="1"/>
  <c r="H1752" i="1"/>
  <c r="H2182" i="1"/>
  <c r="H2475" i="1"/>
  <c r="H2685" i="1"/>
  <c r="H2908" i="1"/>
  <c r="H3034" i="1"/>
  <c r="H3170" i="1"/>
  <c r="H3244" i="1"/>
  <c r="H357" i="1"/>
  <c r="H486" i="1"/>
  <c r="H939" i="1"/>
  <c r="H1367" i="1"/>
  <c r="H1753" i="1"/>
  <c r="H2170" i="1"/>
  <c r="H2480" i="1"/>
  <c r="H2699" i="1"/>
  <c r="H2909" i="1"/>
  <c r="H3035" i="1"/>
  <c r="H3177" i="1"/>
  <c r="H3254" i="1"/>
  <c r="H348" i="1"/>
  <c r="H487" i="1"/>
  <c r="H940" i="1"/>
  <c r="H1361" i="1"/>
  <c r="H1751" i="1"/>
  <c r="H2171" i="1"/>
  <c r="H2481" i="1"/>
  <c r="H2692" i="1"/>
  <c r="H2913" i="1"/>
  <c r="H3036" i="1"/>
  <c r="H3171" i="1"/>
  <c r="H3243" i="1"/>
  <c r="H349" i="1"/>
  <c r="H488" i="1"/>
  <c r="H941" i="1"/>
  <c r="H1362" i="1"/>
  <c r="H1746" i="1"/>
  <c r="H2166" i="1"/>
  <c r="H2482" i="1"/>
  <c r="H2684" i="1"/>
  <c r="H2914" i="1"/>
  <c r="H3045" i="1"/>
  <c r="H3172" i="1"/>
  <c r="H3245" i="1"/>
  <c r="H350" i="1"/>
  <c r="H498" i="1"/>
  <c r="H934" i="1"/>
  <c r="H1363" i="1"/>
  <c r="H1754" i="1"/>
  <c r="H2167" i="1"/>
  <c r="H2483" i="1"/>
  <c r="H2696" i="1"/>
  <c r="H2915" i="1"/>
  <c r="H3037" i="1"/>
  <c r="H3178" i="1"/>
  <c r="H3253" i="1"/>
  <c r="H358" i="1"/>
  <c r="H489" i="1"/>
  <c r="H942" i="1"/>
  <c r="H1354" i="1"/>
  <c r="H1755" i="1"/>
  <c r="H2174" i="1"/>
  <c r="H2474" i="1"/>
  <c r="H2686" i="1"/>
  <c r="H2916" i="1"/>
  <c r="H3044" i="1"/>
  <c r="H3173" i="1"/>
  <c r="H3246" i="1"/>
  <c r="H351" i="1"/>
  <c r="H490" i="1"/>
  <c r="H943" i="1"/>
  <c r="H1355" i="1"/>
  <c r="H1747" i="1"/>
  <c r="H2175" i="1"/>
  <c r="H2476" i="1"/>
  <c r="H2693" i="1"/>
  <c r="H2917" i="1"/>
  <c r="H3038" i="1"/>
  <c r="H3166" i="1"/>
  <c r="H3250" i="1"/>
  <c r="H352" i="1"/>
  <c r="H491" i="1"/>
  <c r="H944" i="1"/>
  <c r="H1364" i="1"/>
  <c r="H1756" i="1"/>
  <c r="H2172" i="1"/>
  <c r="H2484" i="1"/>
  <c r="H2687" i="1"/>
  <c r="H2918" i="1"/>
  <c r="H3039" i="1"/>
  <c r="H3174" i="1"/>
  <c r="H3251" i="1"/>
  <c r="H353" i="1"/>
  <c r="H492" i="1"/>
  <c r="H945" i="1"/>
  <c r="H1365" i="1"/>
  <c r="H1757" i="1"/>
  <c r="H2177" i="1"/>
  <c r="H2486" i="1"/>
  <c r="H2694" i="1"/>
  <c r="H2919" i="1"/>
  <c r="H3040" i="1"/>
  <c r="H3175" i="1"/>
  <c r="H3247" i="1"/>
  <c r="H354" i="1"/>
  <c r="H499" i="1"/>
  <c r="H946" i="1"/>
  <c r="H1366" i="1"/>
  <c r="H1758" i="1"/>
  <c r="H2178" i="1"/>
  <c r="H2485" i="1"/>
  <c r="H2695" i="1"/>
  <c r="H2920" i="1"/>
  <c r="H3043" i="1"/>
  <c r="H3168" i="1"/>
  <c r="H3252" i="1"/>
  <c r="H355" i="1"/>
  <c r="H493" i="1"/>
  <c r="H947" i="1"/>
  <c r="H1356" i="1"/>
  <c r="H1759" i="1"/>
  <c r="H2176" i="1"/>
  <c r="H2477" i="1"/>
  <c r="H2688" i="1"/>
  <c r="H2910" i="1"/>
  <c r="H3032" i="1"/>
  <c r="H3176" i="1"/>
  <c r="H3248" i="1"/>
  <c r="H12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2" i="1"/>
  <c r="P144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5" i="1"/>
  <c r="P267" i="1"/>
  <c r="P268" i="1"/>
  <c r="P269" i="1"/>
  <c r="P272" i="1"/>
  <c r="P273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80" i="1"/>
  <c r="P1181" i="1"/>
  <c r="P1182" i="1"/>
  <c r="P1183" i="1"/>
  <c r="P1184" i="1"/>
  <c r="P1185" i="1"/>
  <c r="P1186" i="1"/>
  <c r="P1187" i="1"/>
  <c r="P1188" i="1"/>
  <c r="P1189" i="1"/>
  <c r="P1192" i="1"/>
  <c r="P1193" i="1"/>
  <c r="P1194" i="1"/>
  <c r="P1195" i="1"/>
  <c r="P1196" i="1"/>
  <c r="P1197" i="1"/>
  <c r="P1198" i="1"/>
  <c r="P1199" i="1"/>
  <c r="P1200" i="1"/>
  <c r="P1201" i="1"/>
  <c r="P1204" i="1"/>
  <c r="P1205" i="1"/>
  <c r="P1206" i="1"/>
  <c r="P1207" i="1"/>
  <c r="P1208" i="1"/>
  <c r="P1209" i="1"/>
  <c r="P1210" i="1"/>
  <c r="P1211" i="1"/>
  <c r="P1212" i="1"/>
  <c r="P1213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7" i="1"/>
  <c r="P1348" i="1"/>
  <c r="P1349" i="1"/>
  <c r="P1350" i="1"/>
  <c r="P1351" i="1"/>
  <c r="P1352" i="1"/>
  <c r="P1353" i="1"/>
  <c r="P1354" i="1"/>
  <c r="P1355" i="1"/>
  <c r="P1356" i="1"/>
  <c r="P1357" i="1"/>
  <c r="P1359" i="1"/>
  <c r="P1360" i="1"/>
  <c r="P1361" i="1"/>
  <c r="P1362" i="1"/>
  <c r="P1363" i="1"/>
  <c r="P1364" i="1"/>
  <c r="P1365" i="1"/>
  <c r="P1366" i="1"/>
  <c r="P1367" i="1"/>
  <c r="P1368" i="1"/>
  <c r="P1369" i="1"/>
  <c r="P1371" i="1"/>
  <c r="P1372" i="1"/>
  <c r="P1373" i="1"/>
  <c r="P1374" i="1"/>
  <c r="P1375" i="1"/>
  <c r="P1376" i="1"/>
  <c r="P1377" i="1"/>
  <c r="P1378" i="1"/>
  <c r="P1379" i="1"/>
  <c r="P1380" i="1"/>
  <c r="P1381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5" i="1"/>
  <c r="P1516" i="1"/>
  <c r="P1517" i="1"/>
  <c r="P1518" i="1"/>
  <c r="P1519" i="1"/>
  <c r="P1520" i="1"/>
  <c r="P1521" i="1"/>
  <c r="P1522" i="1"/>
  <c r="P1523" i="1"/>
  <c r="P1524" i="1"/>
  <c r="P1525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6" i="1"/>
  <c r="P2357" i="1"/>
  <c r="P2358" i="1"/>
  <c r="P2359" i="1"/>
  <c r="P2360" i="1"/>
  <c r="P2361" i="1"/>
  <c r="P2362" i="1"/>
  <c r="P2363" i="1"/>
  <c r="P2364" i="1"/>
  <c r="P2365" i="1"/>
  <c r="P2368" i="1"/>
  <c r="P2369" i="1"/>
  <c r="P2370" i="1"/>
  <c r="P2371" i="1"/>
  <c r="P2372" i="1"/>
  <c r="P2373" i="1"/>
  <c r="P2374" i="1"/>
  <c r="P2375" i="1"/>
  <c r="P2376" i="1"/>
  <c r="P2377" i="1"/>
  <c r="P2380" i="1"/>
  <c r="P2381" i="1"/>
  <c r="P2382" i="1"/>
  <c r="P2383" i="1"/>
  <c r="P2384" i="1"/>
  <c r="P2385" i="1"/>
  <c r="P2386" i="1"/>
  <c r="P2387" i="1"/>
  <c r="P2388" i="1"/>
  <c r="P2389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4" i="1"/>
  <c r="P2525" i="1"/>
  <c r="P2526" i="1"/>
  <c r="P2527" i="1"/>
  <c r="P2528" i="1"/>
  <c r="P2529" i="1"/>
  <c r="P2530" i="1"/>
  <c r="P2531" i="1"/>
  <c r="P2532" i="1"/>
  <c r="P2533" i="1"/>
  <c r="P2536" i="1"/>
  <c r="P2537" i="1"/>
  <c r="P2538" i="1"/>
  <c r="P2539" i="1"/>
  <c r="P2540" i="1"/>
  <c r="P2541" i="1"/>
  <c r="P2542" i="1"/>
  <c r="P2543" i="1"/>
  <c r="P2544" i="1"/>
  <c r="P2545" i="1"/>
  <c r="P2548" i="1"/>
  <c r="P2549" i="1"/>
  <c r="P2550" i="1"/>
  <c r="P2551" i="1"/>
  <c r="P2552" i="1"/>
  <c r="P2553" i="1"/>
  <c r="P2554" i="1"/>
  <c r="P2555" i="1"/>
  <c r="P2556" i="1"/>
  <c r="P2557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O120" i="1"/>
  <c r="N120" i="1" s="1"/>
  <c r="I120" i="1"/>
  <c r="M120" i="1"/>
  <c r="P120" i="1" s="1"/>
  <c r="L120" i="1"/>
  <c r="K120" i="1"/>
  <c r="O123" i="1"/>
  <c r="N123" i="1" s="1"/>
  <c r="I123" i="1"/>
  <c r="M123" i="1"/>
  <c r="L123" i="1"/>
  <c r="K123" i="1"/>
  <c r="O119" i="1"/>
  <c r="N119" i="1" s="1"/>
  <c r="I119" i="1"/>
  <c r="M119" i="1"/>
  <c r="P119" i="1" s="1"/>
  <c r="L119" i="1"/>
  <c r="K119" i="1"/>
  <c r="O118" i="1"/>
  <c r="N118" i="1" s="1"/>
  <c r="I118" i="1"/>
  <c r="M118" i="1"/>
  <c r="P118" i="1" s="1"/>
  <c r="L118" i="1"/>
  <c r="K118" i="1"/>
  <c r="O222" i="1"/>
  <c r="O223" i="1" s="1"/>
  <c r="I222" i="1"/>
  <c r="I223" i="1" s="1"/>
  <c r="M222" i="1"/>
  <c r="M223" i="1" s="1"/>
  <c r="L222" i="1"/>
  <c r="L223" i="1" s="1"/>
  <c r="K222" i="1"/>
  <c r="K223" i="1" s="1"/>
  <c r="O217" i="1"/>
  <c r="O220" i="1" s="1"/>
  <c r="N220" i="1" s="1"/>
  <c r="I217" i="1"/>
  <c r="I220" i="1" s="1"/>
  <c r="M217" i="1"/>
  <c r="M220" i="1" s="1"/>
  <c r="P220" i="1" s="1"/>
  <c r="L217" i="1"/>
  <c r="L220" i="1" s="1"/>
  <c r="K217" i="1"/>
  <c r="K220" i="1" s="1"/>
  <c r="O271" i="1"/>
  <c r="O275" i="1" s="1"/>
  <c r="N275" i="1" s="1"/>
  <c r="I271" i="1"/>
  <c r="I275" i="1" s="1"/>
  <c r="M271" i="1"/>
  <c r="M275" i="1" s="1"/>
  <c r="P275" i="1" s="1"/>
  <c r="L271" i="1"/>
  <c r="L275" i="1" s="1"/>
  <c r="K271" i="1"/>
  <c r="K275" i="1" s="1"/>
  <c r="O265" i="1"/>
  <c r="O267" i="1" s="1"/>
  <c r="N267" i="1" s="1"/>
  <c r="I265" i="1"/>
  <c r="I267" i="1" s="1"/>
  <c r="M265" i="1"/>
  <c r="M267" i="1" s="1"/>
  <c r="L265" i="1"/>
  <c r="L267" i="1" s="1"/>
  <c r="K265" i="1"/>
  <c r="K267" i="1" s="1"/>
  <c r="O141" i="1"/>
  <c r="O145" i="1" s="1"/>
  <c r="N145" i="1" s="1"/>
  <c r="I141" i="1"/>
  <c r="I145" i="1" s="1"/>
  <c r="M141" i="1"/>
  <c r="M145" i="1" s="1"/>
  <c r="P145" i="1" s="1"/>
  <c r="L141" i="1"/>
  <c r="L145" i="1" s="1"/>
  <c r="K141" i="1"/>
  <c r="K145" i="1" s="1"/>
  <c r="O140" i="1"/>
  <c r="O144" i="1" s="1"/>
  <c r="N144" i="1" s="1"/>
  <c r="I140" i="1"/>
  <c r="I144" i="1" s="1"/>
  <c r="M140" i="1"/>
  <c r="M144" i="1" s="1"/>
  <c r="L140" i="1"/>
  <c r="L144" i="1" s="1"/>
  <c r="K140" i="1"/>
  <c r="K144" i="1" s="1"/>
  <c r="O464" i="1"/>
  <c r="I464" i="1"/>
  <c r="M464" i="1"/>
  <c r="L464" i="1"/>
  <c r="K464" i="1"/>
  <c r="O330" i="1"/>
  <c r="N330" i="1" s="1"/>
  <c r="I330" i="1"/>
  <c r="M330" i="1"/>
  <c r="P330" i="1" s="1"/>
  <c r="L330" i="1"/>
  <c r="K330" i="1"/>
  <c r="O216" i="1"/>
  <c r="O219" i="1" s="1"/>
  <c r="I216" i="1"/>
  <c r="I219" i="1" s="1"/>
  <c r="M216" i="1"/>
  <c r="M219" i="1" s="1"/>
  <c r="P219" i="1" s="1"/>
  <c r="L216" i="1"/>
  <c r="L219" i="1" s="1"/>
  <c r="K216" i="1"/>
  <c r="K219" i="1" s="1"/>
  <c r="O215" i="1"/>
  <c r="O218" i="1" s="1"/>
  <c r="N218" i="1" s="1"/>
  <c r="I215" i="1"/>
  <c r="I218" i="1" s="1"/>
  <c r="M215" i="1"/>
  <c r="M218" i="1" s="1"/>
  <c r="P218" i="1" s="1"/>
  <c r="L215" i="1"/>
  <c r="L218" i="1" s="1"/>
  <c r="K215" i="1"/>
  <c r="K218" i="1" s="1"/>
  <c r="O264" i="1"/>
  <c r="O266" i="1" s="1"/>
  <c r="N266" i="1" s="1"/>
  <c r="I264" i="1"/>
  <c r="I266" i="1" s="1"/>
  <c r="M264" i="1"/>
  <c r="M266" i="1" s="1"/>
  <c r="P266" i="1" s="1"/>
  <c r="L264" i="1"/>
  <c r="L266" i="1" s="1"/>
  <c r="K264" i="1"/>
  <c r="K266" i="1" s="1"/>
  <c r="O139" i="1"/>
  <c r="O143" i="1" s="1"/>
  <c r="I139" i="1"/>
  <c r="I143" i="1" s="1"/>
  <c r="M139" i="1"/>
  <c r="M143" i="1" s="1"/>
  <c r="L139" i="1"/>
  <c r="L143" i="1" s="1"/>
  <c r="P143" i="1" s="1"/>
  <c r="K139" i="1"/>
  <c r="K143" i="1" s="1"/>
  <c r="O270" i="1"/>
  <c r="O274" i="1" s="1"/>
  <c r="N274" i="1" s="1"/>
  <c r="I270" i="1"/>
  <c r="I274" i="1" s="1"/>
  <c r="M270" i="1"/>
  <c r="M274" i="1" s="1"/>
  <c r="P274" i="1" s="1"/>
  <c r="L270" i="1"/>
  <c r="L274" i="1" s="1"/>
  <c r="K270" i="1"/>
  <c r="K274" i="1" s="1"/>
  <c r="O138" i="1"/>
  <c r="O142" i="1" s="1"/>
  <c r="N142" i="1" s="1"/>
  <c r="I138" i="1"/>
  <c r="I142" i="1" s="1"/>
  <c r="M138" i="1"/>
  <c r="M142" i="1" s="1"/>
  <c r="L138" i="1"/>
  <c r="L142" i="1" s="1"/>
  <c r="K138" i="1"/>
  <c r="K142" i="1" s="1"/>
  <c r="E2" i="2"/>
  <c r="D2827" i="1" l="1"/>
  <c r="N215" i="1"/>
  <c r="N138" i="1"/>
  <c r="N264" i="1"/>
  <c r="N139" i="1"/>
  <c r="P141" i="1"/>
  <c r="N265" i="1"/>
  <c r="N217" i="1"/>
  <c r="N140" i="1"/>
  <c r="N271" i="1"/>
  <c r="N222" i="1"/>
  <c r="N141" i="1"/>
  <c r="P264" i="1"/>
  <c r="P217" i="1"/>
  <c r="P216" i="1"/>
  <c r="P271" i="1"/>
  <c r="P215" i="1"/>
  <c r="P270" i="1"/>
  <c r="N270" i="1"/>
  <c r="D1372" i="1"/>
  <c r="D40" i="1"/>
  <c r="D512" i="1"/>
  <c r="D1027" i="1"/>
  <c r="D627" i="1"/>
  <c r="D3297" i="1"/>
  <c r="D2441" i="1"/>
  <c r="D893" i="1"/>
  <c r="D1143" i="1"/>
  <c r="D900" i="1"/>
  <c r="D1131" i="1"/>
  <c r="D2697" i="1"/>
  <c r="D1196" i="1"/>
  <c r="D733" i="1"/>
  <c r="D447" i="1"/>
  <c r="D1234" i="1"/>
  <c r="D2350" i="1"/>
  <c r="D1776" i="1"/>
  <c r="D1514" i="1"/>
  <c r="D3336" i="1"/>
  <c r="D2996" i="1"/>
  <c r="D2462" i="1"/>
  <c r="D2247" i="1"/>
  <c r="D833" i="1"/>
  <c r="D823" i="1"/>
  <c r="D2011" i="1"/>
  <c r="D2896" i="1"/>
  <c r="D2253" i="1"/>
  <c r="D3248" i="1"/>
  <c r="D3043" i="1"/>
  <c r="D2694" i="1"/>
  <c r="D2172" i="1"/>
  <c r="D1355" i="1"/>
  <c r="D489" i="1"/>
  <c r="D3245" i="1"/>
  <c r="D3036" i="1"/>
  <c r="D2699" i="1"/>
  <c r="D2182" i="1"/>
  <c r="D1359" i="1"/>
  <c r="D495" i="1"/>
  <c r="D3086" i="1"/>
  <c r="D2792" i="1"/>
  <c r="D2415" i="1"/>
  <c r="D1851" i="1"/>
  <c r="D1152" i="1"/>
  <c r="D397" i="1"/>
  <c r="D3073" i="1"/>
  <c r="D2786" i="1"/>
  <c r="D2408" i="1"/>
  <c r="D1849" i="1"/>
  <c r="D1147" i="1"/>
  <c r="D391" i="1"/>
  <c r="D2848" i="1"/>
  <c r="D2541" i="1"/>
  <c r="D2130" i="1"/>
  <c r="D1559" i="1"/>
  <c r="D1006" i="1"/>
  <c r="D294" i="1"/>
  <c r="D2846" i="1"/>
  <c r="D2537" i="1"/>
  <c r="D2141" i="1"/>
  <c r="D1562" i="1"/>
  <c r="D1012" i="1"/>
  <c r="D289" i="1"/>
  <c r="D2570" i="1"/>
  <c r="D2245" i="1"/>
  <c r="D1837" i="1"/>
  <c r="D1312" i="1"/>
  <c r="D861" i="1"/>
  <c r="D188" i="1"/>
  <c r="D2564" i="1"/>
  <c r="D2249" i="1"/>
  <c r="D1840" i="1"/>
  <c r="D1319" i="1"/>
  <c r="D855" i="1"/>
  <c r="D176" i="1"/>
  <c r="D1966" i="1"/>
  <c r="D1158" i="1"/>
  <c r="D99" i="1"/>
  <c r="D1961" i="1"/>
  <c r="D1161" i="1"/>
  <c r="D3520" i="1"/>
  <c r="D2665" i="1"/>
  <c r="D3377" i="1"/>
  <c r="D2034" i="1"/>
  <c r="D14" i="1"/>
  <c r="D1673" i="1"/>
  <c r="D451" i="1"/>
  <c r="D2164" i="1"/>
  <c r="D89" i="1"/>
  <c r="D3176" i="1"/>
  <c r="D2920" i="1"/>
  <c r="D2486" i="1"/>
  <c r="D1756" i="1"/>
  <c r="D943" i="1"/>
  <c r="D358" i="1"/>
  <c r="D3172" i="1"/>
  <c r="D2913" i="1"/>
  <c r="D2480" i="1"/>
  <c r="D1752" i="1"/>
  <c r="D937" i="1"/>
  <c r="D346" i="1"/>
  <c r="D2977" i="1"/>
  <c r="D2654" i="1"/>
  <c r="D2190" i="1"/>
  <c r="D1481" i="1"/>
  <c r="D811" i="1"/>
  <c r="D247" i="1"/>
  <c r="D2971" i="1"/>
  <c r="D2652" i="1"/>
  <c r="D2193" i="1"/>
  <c r="D1485" i="1"/>
  <c r="D818" i="1"/>
  <c r="D240" i="1"/>
  <c r="D2711" i="1"/>
  <c r="D2343" i="1"/>
  <c r="D1908" i="1"/>
  <c r="D1277" i="1"/>
  <c r="D703" i="1"/>
  <c r="D169" i="1"/>
  <c r="D2719" i="1"/>
  <c r="D2335" i="1"/>
  <c r="D1910" i="1"/>
  <c r="D1282" i="1"/>
  <c r="D698" i="1"/>
  <c r="D162" i="1"/>
  <c r="D2458" i="1"/>
  <c r="D2033" i="1"/>
  <c r="D1606" i="1"/>
  <c r="D1099" i="1"/>
  <c r="D591" i="1"/>
  <c r="D81" i="1"/>
  <c r="D2457" i="1"/>
  <c r="D2027" i="1"/>
  <c r="D1618" i="1"/>
  <c r="D1094" i="1"/>
  <c r="D586" i="1"/>
  <c r="D2442" i="1"/>
  <c r="D2203" i="1"/>
  <c r="D2044" i="1"/>
  <c r="D1499" i="1"/>
  <c r="D2727" i="1"/>
  <c r="D1825" i="1"/>
  <c r="D765" i="1"/>
  <c r="D3032" i="1"/>
  <c r="D2695" i="1"/>
  <c r="D2177" i="1"/>
  <c r="D1364" i="1"/>
  <c r="D490" i="1"/>
  <c r="D3253" i="1"/>
  <c r="D3045" i="1"/>
  <c r="D2692" i="1"/>
  <c r="D2170" i="1"/>
  <c r="D1360" i="1"/>
  <c r="D496" i="1"/>
  <c r="D3242" i="1"/>
  <c r="D2794" i="1"/>
  <c r="D2404" i="1"/>
  <c r="D1852" i="1"/>
  <c r="D1153" i="1"/>
  <c r="D398" i="1"/>
  <c r="D3082" i="1"/>
  <c r="D2787" i="1"/>
  <c r="D2405" i="1"/>
  <c r="D1853" i="1"/>
  <c r="D1148" i="1"/>
  <c r="D392" i="1"/>
  <c r="D3085" i="1"/>
  <c r="D2529" i="1"/>
  <c r="D2135" i="1"/>
  <c r="D1555" i="1"/>
  <c r="D1007" i="1"/>
  <c r="D276" i="1"/>
  <c r="D2842" i="1"/>
  <c r="D2543" i="1"/>
  <c r="D2134" i="1"/>
  <c r="D1557" i="1"/>
  <c r="D1013" i="1"/>
  <c r="D300" i="1"/>
  <c r="D2840" i="1"/>
  <c r="D2246" i="1"/>
  <c r="D1838" i="1"/>
  <c r="D1324" i="1"/>
  <c r="D862" i="1"/>
  <c r="D182" i="1"/>
  <c r="D2569" i="1"/>
  <c r="D2244" i="1"/>
  <c r="D1841" i="1"/>
  <c r="D1320" i="1"/>
  <c r="D856" i="1"/>
  <c r="D177" i="1"/>
  <c r="D957" i="1"/>
  <c r="D1368" i="1"/>
  <c r="D314" i="1"/>
  <c r="D2423" i="1"/>
  <c r="D1137" i="1"/>
  <c r="D48" i="1"/>
  <c r="D507" i="1"/>
  <c r="D58" i="1"/>
  <c r="D564" i="1"/>
  <c r="D3331" i="1"/>
  <c r="D799" i="1"/>
  <c r="D1045" i="1"/>
  <c r="D1780" i="1"/>
  <c r="D17" i="1"/>
  <c r="D3514" i="1"/>
  <c r="D1999" i="1"/>
  <c r="D685" i="1"/>
  <c r="D3266" i="1"/>
  <c r="D2207" i="1"/>
  <c r="D1193" i="1"/>
  <c r="D1804" i="1"/>
  <c r="D3293" i="1"/>
  <c r="D272" i="1"/>
  <c r="D3375" i="1"/>
  <c r="D954" i="1"/>
  <c r="D409" i="1"/>
  <c r="D1668" i="1"/>
  <c r="D2424" i="1"/>
  <c r="D2832" i="1"/>
  <c r="D2640" i="1"/>
  <c r="D1391" i="1"/>
  <c r="D1914" i="1"/>
  <c r="D1667" i="1"/>
  <c r="D2006" i="1"/>
  <c r="D2828" i="1"/>
  <c r="D3523" i="1"/>
  <c r="D1701" i="1"/>
  <c r="D1063" i="1"/>
  <c r="D2906" i="1"/>
  <c r="D268" i="1"/>
  <c r="D670" i="1"/>
  <c r="D980" i="1"/>
  <c r="D1242" i="1"/>
  <c r="D1876" i="1"/>
  <c r="D2293" i="1"/>
  <c r="D2670" i="1"/>
  <c r="D132" i="1"/>
  <c r="D674" i="1"/>
  <c r="D1252" i="1"/>
  <c r="D1880" i="1"/>
  <c r="D2299" i="1"/>
  <c r="D2680" i="1"/>
  <c r="D126" i="1"/>
  <c r="D679" i="1"/>
  <c r="D1438" i="1"/>
  <c r="D2085" i="1"/>
  <c r="D2547" i="1"/>
  <c r="D2926" i="1"/>
  <c r="D207" i="1"/>
  <c r="D792" i="1"/>
  <c r="D1440" i="1"/>
  <c r="D2090" i="1"/>
  <c r="D2550" i="1"/>
  <c r="D2931" i="1"/>
  <c r="D213" i="1"/>
  <c r="D789" i="1"/>
  <c r="D1676" i="1"/>
  <c r="D2375" i="1"/>
  <c r="D2799" i="1"/>
  <c r="D3129" i="1"/>
  <c r="D319" i="1"/>
  <c r="D906" i="1"/>
  <c r="D1687" i="1"/>
  <c r="D2382" i="1"/>
  <c r="D2805" i="1"/>
  <c r="D3134" i="1"/>
  <c r="D324" i="1"/>
  <c r="D919" i="1"/>
  <c r="D1946" i="1"/>
  <c r="D2630" i="1"/>
  <c r="D3005" i="1"/>
  <c r="D3263" i="1"/>
  <c r="D436" i="1"/>
  <c r="D1059" i="1"/>
  <c r="D1951" i="1"/>
  <c r="D2635" i="1"/>
  <c r="D3013" i="1"/>
  <c r="D3260" i="1"/>
  <c r="D441" i="1"/>
  <c r="D1055" i="1"/>
  <c r="D2231" i="1"/>
  <c r="D2880" i="1"/>
  <c r="D3469" i="1"/>
  <c r="D3474" i="1"/>
  <c r="D536" i="1"/>
  <c r="D1214" i="1"/>
  <c r="D2226" i="1"/>
  <c r="D2886" i="1"/>
  <c r="D3197" i="1"/>
  <c r="D3356" i="1"/>
  <c r="D530" i="1"/>
  <c r="D1217" i="1"/>
  <c r="D2490" i="1"/>
  <c r="D3102" i="1"/>
  <c r="D3484" i="1"/>
  <c r="D3400" i="1"/>
  <c r="D616" i="1"/>
  <c r="D1433" i="1"/>
  <c r="D2495" i="1"/>
  <c r="D1526" i="1"/>
  <c r="D2098" i="1"/>
  <c r="D2502" i="1"/>
  <c r="D2814" i="1"/>
  <c r="D256" i="1"/>
  <c r="D985" i="1"/>
  <c r="D1524" i="1"/>
  <c r="D2103" i="1"/>
  <c r="D2509" i="1"/>
  <c r="D2819" i="1"/>
  <c r="D263" i="1"/>
  <c r="D988" i="1"/>
  <c r="D1761" i="1"/>
  <c r="D2365" i="1"/>
  <c r="D2746" i="1"/>
  <c r="D3021" i="1"/>
  <c r="D372" i="1"/>
  <c r="D1126" i="1"/>
  <c r="D1767" i="1"/>
  <c r="D2370" i="1"/>
  <c r="D2750" i="1"/>
  <c r="D3025" i="1"/>
  <c r="D367" i="1"/>
  <c r="D1128" i="1"/>
  <c r="D2025" i="1"/>
  <c r="D2602" i="1"/>
  <c r="D2979" i="1"/>
  <c r="D3188" i="1"/>
  <c r="D457" i="1"/>
  <c r="D1294" i="1"/>
  <c r="D2014" i="1"/>
  <c r="D2606" i="1"/>
  <c r="D2983" i="1"/>
  <c r="D3179" i="1"/>
  <c r="D471" i="1"/>
  <c r="D1288" i="1"/>
  <c r="D2275" i="1"/>
  <c r="D2855" i="1"/>
  <c r="D3161" i="1"/>
  <c r="D3464" i="1"/>
  <c r="D548" i="1"/>
  <c r="D1468" i="1"/>
  <c r="D2269" i="1"/>
  <c r="D2859" i="1"/>
  <c r="D3158" i="1"/>
  <c r="D3312" i="1"/>
  <c r="D553" i="1"/>
  <c r="D1479" i="1"/>
  <c r="D2574" i="1"/>
  <c r="D3062" i="1"/>
  <c r="D3470" i="1"/>
  <c r="D3372" i="1"/>
  <c r="D646" i="1"/>
  <c r="D1708" i="1"/>
  <c r="D2578" i="1"/>
  <c r="D3067" i="1"/>
  <c r="D3286" i="1"/>
  <c r="D3373" i="1"/>
  <c r="D651" i="1"/>
  <c r="D1706" i="1"/>
  <c r="D2878" i="1"/>
  <c r="D3480" i="1"/>
  <c r="D3363" i="1"/>
  <c r="D3487" i="1"/>
  <c r="D771" i="1"/>
  <c r="D1991" i="1"/>
  <c r="D2872" i="1"/>
  <c r="D3235" i="1"/>
  <c r="D1873" i="1"/>
  <c r="D2292" i="1"/>
  <c r="D2674" i="1"/>
  <c r="D131" i="1"/>
  <c r="D673" i="1"/>
  <c r="D1251" i="1"/>
  <c r="D1879" i="1"/>
  <c r="D2298" i="1"/>
  <c r="D2679" i="1"/>
  <c r="D125" i="1"/>
  <c r="D669" i="1"/>
  <c r="D1254" i="1"/>
  <c r="D2084" i="1"/>
  <c r="D2546" i="1"/>
  <c r="D2925" i="1"/>
  <c r="D206" i="1"/>
  <c r="D784" i="1"/>
  <c r="D1448" i="1"/>
  <c r="D2089" i="1"/>
  <c r="D2549" i="1"/>
  <c r="D2930" i="1"/>
  <c r="D202" i="1"/>
  <c r="D788" i="1"/>
  <c r="D1450" i="1"/>
  <c r="D2389" i="1"/>
  <c r="D2798" i="1"/>
  <c r="D3133" i="1"/>
  <c r="D318" i="1"/>
  <c r="D914" i="1"/>
  <c r="D1686" i="1"/>
  <c r="D2381" i="1"/>
  <c r="D2804" i="1"/>
  <c r="D3127" i="1"/>
  <c r="D323" i="1"/>
  <c r="D918" i="1"/>
  <c r="D1683" i="1"/>
  <c r="D2629" i="1"/>
  <c r="D3007" i="1"/>
  <c r="D3462" i="1"/>
  <c r="D435" i="1"/>
  <c r="D1046" i="1"/>
  <c r="D1950" i="1"/>
  <c r="D2634" i="1"/>
  <c r="D3012" i="1"/>
  <c r="D3256" i="1"/>
  <c r="D440" i="1"/>
  <c r="D1054" i="1"/>
  <c r="D1943" i="1"/>
  <c r="D2892" i="1"/>
  <c r="D3468" i="1"/>
  <c r="D3471" i="1"/>
  <c r="D535" i="1"/>
  <c r="D1213" i="1"/>
  <c r="D2225" i="1"/>
  <c r="D2885" i="1"/>
  <c r="D3196" i="1"/>
  <c r="D3355" i="1"/>
  <c r="D540" i="1"/>
  <c r="D1216" i="1"/>
  <c r="D2234" i="1"/>
  <c r="D3478" i="1"/>
  <c r="D3481" i="1"/>
  <c r="D3399" i="1"/>
  <c r="D615" i="1"/>
  <c r="D1424" i="1"/>
  <c r="D2494" i="1"/>
  <c r="D3106" i="1"/>
  <c r="D3323" i="1"/>
  <c r="D3396" i="1"/>
  <c r="D622" i="1"/>
  <c r="D1437" i="1"/>
  <c r="D2500" i="1"/>
  <c r="D3269" i="1"/>
  <c r="D3385" i="1"/>
  <c r="D3441" i="1"/>
  <c r="D720" i="1"/>
  <c r="D1655" i="1"/>
  <c r="D2775" i="1"/>
  <c r="D3274" i="1"/>
  <c r="D3386" i="1"/>
  <c r="D3431" i="1"/>
  <c r="D714" i="1"/>
  <c r="D1651" i="1"/>
  <c r="D2780" i="1"/>
  <c r="D1232" i="1"/>
  <c r="D2097" i="1"/>
  <c r="D2304" i="1"/>
  <c r="D2673" i="1"/>
  <c r="D130" i="1"/>
  <c r="D672" i="1"/>
  <c r="D1250" i="1"/>
  <c r="D1878" i="1"/>
  <c r="D2297" i="1"/>
  <c r="D2678" i="1"/>
  <c r="D124" i="1"/>
  <c r="D678" i="1"/>
  <c r="D1246" i="1"/>
  <c r="D1885" i="1"/>
  <c r="D2545" i="1"/>
  <c r="D2924" i="1"/>
  <c r="D2503" i="1"/>
  <c r="D2672" i="1"/>
  <c r="D2812" i="1"/>
  <c r="D671" i="1"/>
  <c r="D1255" i="1"/>
  <c r="D1877" i="1"/>
  <c r="D2305" i="1"/>
  <c r="D2671" i="1"/>
  <c r="D134" i="1"/>
  <c r="D676" i="1"/>
  <c r="D1253" i="1"/>
  <c r="D1882" i="1"/>
  <c r="D2301" i="1"/>
  <c r="D2682" i="1"/>
  <c r="D203" i="1"/>
  <c r="D782" i="1"/>
  <c r="D128" i="1"/>
  <c r="D2813" i="1"/>
  <c r="D2100" i="1"/>
  <c r="D2101" i="1"/>
  <c r="D987" i="1"/>
  <c r="D668" i="1"/>
  <c r="D2681" i="1"/>
  <c r="D2513" i="1"/>
  <c r="D1762" i="1"/>
  <c r="D791" i="1"/>
  <c r="D2387" i="1"/>
  <c r="D208" i="1"/>
  <c r="D2548" i="1"/>
  <c r="D364" i="1"/>
  <c r="D2092" i="1"/>
  <c r="D3026" i="1"/>
  <c r="D2364" i="1"/>
  <c r="D327" i="1"/>
  <c r="D2017" i="1"/>
  <c r="D470" i="1"/>
  <c r="D2379" i="1"/>
  <c r="D3182" i="1"/>
  <c r="D1680" i="1"/>
  <c r="D322" i="1"/>
  <c r="D2023" i="1"/>
  <c r="D3136" i="1"/>
  <c r="D1470" i="1"/>
  <c r="D3313" i="1"/>
  <c r="D1948" i="1"/>
  <c r="D3156" i="1"/>
  <c r="D2268" i="1"/>
  <c r="D3257" i="1"/>
  <c r="D1473" i="1"/>
  <c r="D3014" i="1"/>
  <c r="D1955" i="1"/>
  <c r="D3162" i="1"/>
  <c r="D1210" i="1"/>
  <c r="D3063" i="1"/>
  <c r="D1705" i="1"/>
  <c r="D3192" i="1"/>
  <c r="D640" i="1"/>
  <c r="D3283" i="1"/>
  <c r="D1215" i="1"/>
  <c r="D3060" i="1"/>
  <c r="D541" i="1"/>
  <c r="D3479" i="1"/>
  <c r="D768" i="1"/>
  <c r="D3104" i="1"/>
  <c r="D3425" i="1"/>
  <c r="D3233" i="1"/>
  <c r="D619" i="1"/>
  <c r="D2497" i="1"/>
  <c r="D3237" i="1"/>
  <c r="D3397" i="1"/>
  <c r="D779" i="1"/>
  <c r="D2764" i="1"/>
  <c r="D3347" i="1"/>
  <c r="D3496" i="1"/>
  <c r="D1648" i="1"/>
  <c r="D3098" i="1"/>
  <c r="D3383" i="1"/>
  <c r="D3444" i="1"/>
  <c r="D1658" i="1"/>
  <c r="D3100" i="1"/>
  <c r="D3390" i="1"/>
  <c r="D3445" i="1"/>
  <c r="D417" i="1"/>
  <c r="D1033" i="1"/>
  <c r="D1415" i="1"/>
  <c r="D1736" i="1"/>
  <c r="D2083" i="1"/>
  <c r="D67" i="1"/>
  <c r="D658" i="1"/>
  <c r="D1038" i="1"/>
  <c r="D1410" i="1"/>
  <c r="D1740" i="1"/>
  <c r="D253" i="1"/>
  <c r="D269" i="1"/>
  <c r="D2515" i="1"/>
  <c r="D2296" i="1"/>
  <c r="D1243" i="1"/>
  <c r="D977" i="1"/>
  <c r="D2820" i="1"/>
  <c r="D2683" i="1"/>
  <c r="D2745" i="1"/>
  <c r="D1129" i="1"/>
  <c r="D2557" i="1"/>
  <c r="D361" i="1"/>
  <c r="D2748" i="1"/>
  <c r="D786" i="1"/>
  <c r="D2372" i="1"/>
  <c r="D1120" i="1"/>
  <c r="D2544" i="1"/>
  <c r="D454" i="1"/>
  <c r="D2377" i="1"/>
  <c r="D913" i="1"/>
  <c r="D2612" i="1"/>
  <c r="D329" i="1"/>
  <c r="D2020" i="1"/>
  <c r="D462" i="1"/>
  <c r="D2385" i="1"/>
  <c r="D3187" i="1"/>
  <c r="D2865" i="1"/>
  <c r="D433" i="1"/>
  <c r="D2266" i="1"/>
  <c r="D3258" i="1"/>
  <c r="D2633" i="1"/>
  <c r="D3305" i="1"/>
  <c r="D1953" i="1"/>
  <c r="D3159" i="1"/>
  <c r="D2274" i="1"/>
  <c r="D3255" i="1"/>
  <c r="D1713" i="1"/>
  <c r="D3472" i="1"/>
  <c r="D2232" i="1"/>
  <c r="D3290" i="1"/>
  <c r="D1201" i="1"/>
  <c r="D3354" i="1"/>
  <c r="D1715" i="1"/>
  <c r="D3199" i="1"/>
  <c r="D652" i="1"/>
  <c r="D3369" i="1"/>
  <c r="D1430" i="1"/>
  <c r="D3230" i="1"/>
  <c r="D1990" i="1"/>
  <c r="D3315" i="1"/>
  <c r="D774" i="1"/>
  <c r="D2874" i="1"/>
  <c r="D3321" i="1"/>
  <c r="D3421" i="1"/>
  <c r="D1425" i="1"/>
  <c r="D3491" i="1"/>
  <c r="D3414" i="1"/>
  <c r="D719" i="1"/>
  <c r="D2308" i="1"/>
  <c r="D3268" i="1"/>
  <c r="D3407" i="1"/>
  <c r="D712" i="1"/>
  <c r="D2313" i="1"/>
  <c r="D3271" i="1"/>
  <c r="D3406" i="1"/>
  <c r="D715" i="1"/>
  <c r="D664" i="1"/>
  <c r="D1233" i="1"/>
  <c r="D1567" i="1"/>
  <c r="D1940" i="1"/>
  <c r="D19" i="1"/>
  <c r="D423" i="1"/>
  <c r="D849" i="1"/>
  <c r="D1239" i="1"/>
  <c r="D1573" i="1"/>
  <c r="D1935" i="1"/>
  <c r="D24" i="1"/>
  <c r="D428" i="1"/>
  <c r="D963" i="1"/>
  <c r="D1409" i="1"/>
  <c r="D1792" i="1"/>
  <c r="D2209" i="1"/>
  <c r="D52" i="1"/>
  <c r="D520" i="1"/>
  <c r="D969" i="1"/>
  <c r="D981" i="1"/>
  <c r="D681" i="1"/>
  <c r="D2675" i="1"/>
  <c r="D2506" i="1"/>
  <c r="D1530" i="1"/>
  <c r="D1244" i="1"/>
  <c r="D979" i="1"/>
  <c r="D2822" i="1"/>
  <c r="D3023" i="1"/>
  <c r="D1446" i="1"/>
  <c r="D2742" i="1"/>
  <c r="D1766" i="1"/>
  <c r="D2935" i="1"/>
  <c r="D1117" i="1"/>
  <c r="D2551" i="1"/>
  <c r="D1449" i="1"/>
  <c r="D2740" i="1"/>
  <c r="D910" i="1"/>
  <c r="D2601" i="1"/>
  <c r="D1292" i="1"/>
  <c r="D2802" i="1"/>
  <c r="D459" i="1"/>
  <c r="D2978" i="1"/>
  <c r="D908" i="1"/>
  <c r="D2609" i="1"/>
  <c r="D325" i="1"/>
  <c r="D3456" i="1"/>
  <c r="D546" i="1"/>
  <c r="D2631" i="1"/>
  <c r="D3307" i="1"/>
  <c r="D2854" i="1"/>
  <c r="D429" i="1"/>
  <c r="D2271" i="1"/>
  <c r="D552" i="1"/>
  <c r="D2639" i="1"/>
  <c r="D3311" i="1"/>
  <c r="D2222" i="1"/>
  <c r="D534" i="1"/>
  <c r="D2585" i="1"/>
  <c r="D3351" i="1"/>
  <c r="D1709" i="1"/>
  <c r="D3378" i="1"/>
  <c r="D2233" i="1"/>
  <c r="D3288" i="1"/>
  <c r="D2573" i="1"/>
  <c r="D3393" i="1"/>
  <c r="D1987" i="1"/>
  <c r="D3485" i="1"/>
  <c r="D2493" i="1"/>
  <c r="D3365" i="1"/>
  <c r="D1427" i="1"/>
  <c r="D3108" i="1"/>
  <c r="D3368" i="1"/>
  <c r="D623" i="1"/>
  <c r="D1997" i="1"/>
  <c r="D3492" i="1"/>
  <c r="D3434" i="1"/>
  <c r="D886" i="1"/>
  <c r="D2773" i="1"/>
  <c r="D3348" i="1"/>
  <c r="D3442" i="1"/>
  <c r="D879" i="1"/>
  <c r="D2771" i="1"/>
  <c r="D3345" i="1"/>
  <c r="D3436" i="1"/>
  <c r="D882" i="1"/>
  <c r="D836" i="1"/>
  <c r="D1423" i="1"/>
  <c r="D1733" i="1"/>
  <c r="D2069" i="1"/>
  <c r="D66" i="1"/>
  <c r="D657" i="1"/>
  <c r="D1037" i="1"/>
  <c r="D1421" i="1"/>
  <c r="D1739" i="1"/>
  <c r="D2077" i="1"/>
  <c r="D71" i="1"/>
  <c r="D663" i="1"/>
  <c r="D1175" i="1"/>
  <c r="D1634" i="1"/>
  <c r="D1983" i="1"/>
  <c r="D2361" i="1"/>
  <c r="D111" i="1"/>
  <c r="D753" i="1"/>
  <c r="D1178" i="1"/>
  <c r="D1522" i="1"/>
  <c r="D1248" i="1"/>
  <c r="D989" i="1"/>
  <c r="D2817" i="1"/>
  <c r="D2810" i="1"/>
  <c r="D2105" i="1"/>
  <c r="D1884" i="1"/>
  <c r="D781" i="1"/>
  <c r="D371" i="1"/>
  <c r="D2082" i="1"/>
  <c r="D3022" i="1"/>
  <c r="D2368" i="1"/>
  <c r="D210" i="1"/>
  <c r="D1769" i="1"/>
  <c r="D366" i="1"/>
  <c r="D2094" i="1"/>
  <c r="D3028" i="1"/>
  <c r="D1677" i="1"/>
  <c r="D317" i="1"/>
  <c r="D2019" i="1"/>
  <c r="D3138" i="1"/>
  <c r="D1297" i="1"/>
  <c r="D3190" i="1"/>
  <c r="D1682" i="1"/>
  <c r="D2985" i="1"/>
  <c r="D2024" i="1"/>
  <c r="D3458" i="1"/>
  <c r="D1477" i="1"/>
  <c r="D3018" i="1"/>
  <c r="D1949" i="1"/>
  <c r="D3157" i="1"/>
  <c r="D1052" i="1"/>
  <c r="D2860" i="1"/>
  <c r="D1469" i="1"/>
  <c r="D3009" i="1"/>
  <c r="D642" i="1"/>
  <c r="D3282" i="1"/>
  <c r="D1211" i="1"/>
  <c r="D3061" i="1"/>
  <c r="D537" i="1"/>
  <c r="D3201" i="1"/>
  <c r="D641" i="1"/>
  <c r="D2888" i="1"/>
  <c r="D3379" i="1"/>
  <c r="D3071" i="1"/>
  <c r="D612" i="1"/>
  <c r="D2870" i="1"/>
  <c r="D770" i="1"/>
  <c r="D3112" i="1"/>
  <c r="D3426" i="1"/>
  <c r="D2496" i="1"/>
  <c r="D3320" i="1"/>
  <c r="D3418" i="1"/>
  <c r="D1996" i="1"/>
  <c r="D3111" i="1"/>
  <c r="D3412" i="1"/>
  <c r="D718" i="1"/>
  <c r="D2317" i="1"/>
  <c r="D3272" i="1"/>
  <c r="D2504" i="1"/>
  <c r="D1535" i="1"/>
  <c r="D1529" i="1"/>
  <c r="D258" i="1"/>
  <c r="D136" i="1"/>
  <c r="D2300" i="1"/>
  <c r="D2107" i="1"/>
  <c r="D1121" i="1"/>
  <c r="D790" i="1"/>
  <c r="D2367" i="1"/>
  <c r="D1125" i="1"/>
  <c r="D2554" i="1"/>
  <c r="D363" i="1"/>
  <c r="D2091" i="1"/>
  <c r="D780" i="1"/>
  <c r="D2374" i="1"/>
  <c r="D326" i="1"/>
  <c r="D2016" i="1"/>
  <c r="D456" i="1"/>
  <c r="D2378" i="1"/>
  <c r="D3189" i="1"/>
  <c r="D2605" i="1"/>
  <c r="D316" i="1"/>
  <c r="D2022" i="1"/>
  <c r="D3135" i="1"/>
  <c r="D2386" i="1"/>
  <c r="D3459" i="1"/>
  <c r="D1944" i="1"/>
  <c r="D3154" i="1"/>
  <c r="D2267" i="1"/>
  <c r="D3259" i="1"/>
  <c r="D1472" i="1"/>
  <c r="D3306" i="1"/>
  <c r="D1942" i="1"/>
  <c r="D3153" i="1"/>
  <c r="D1209" i="1"/>
  <c r="D3358" i="1"/>
  <c r="D1704" i="1"/>
  <c r="D3194" i="1"/>
  <c r="D647" i="1"/>
  <c r="D3280" i="1"/>
  <c r="D1203" i="1"/>
  <c r="D3069" i="1"/>
  <c r="D1716" i="1"/>
  <c r="D3200" i="1"/>
  <c r="D767" i="1"/>
  <c r="D3101" i="1"/>
  <c r="D1432" i="1"/>
  <c r="D3232" i="1"/>
  <c r="D618" i="1"/>
  <c r="D2873" i="1"/>
  <c r="D3367" i="1"/>
  <c r="D777" i="1"/>
  <c r="D2489" i="1"/>
  <c r="D3238" i="1"/>
  <c r="D3433" i="1"/>
  <c r="D885" i="1"/>
  <c r="D2770" i="1"/>
  <c r="D3342" i="1"/>
  <c r="D3504" i="1"/>
  <c r="D889" i="1"/>
  <c r="D2777" i="1"/>
  <c r="D3344" i="1"/>
  <c r="D3435" i="1"/>
  <c r="D881" i="1"/>
  <c r="D3089" i="1"/>
  <c r="D1564" i="1"/>
  <c r="D1930" i="1"/>
  <c r="D141" i="1"/>
  <c r="D421" i="1"/>
  <c r="D841" i="1"/>
  <c r="D1237" i="1"/>
  <c r="D1571" i="1"/>
  <c r="D1933" i="1"/>
  <c r="D22" i="1"/>
  <c r="D416" i="1"/>
  <c r="D847" i="1"/>
  <c r="D1230" i="1"/>
  <c r="D1788" i="1"/>
  <c r="D2212" i="1"/>
  <c r="D222" i="1"/>
  <c r="D518" i="1"/>
  <c r="D968" i="1"/>
  <c r="D1405" i="1"/>
  <c r="D1795" i="1"/>
  <c r="D2811" i="1"/>
  <c r="D2099" i="1"/>
  <c r="D1875" i="1"/>
  <c r="D675" i="1"/>
  <c r="D260" i="1"/>
  <c r="D2510" i="1"/>
  <c r="D2302" i="1"/>
  <c r="D2388" i="1"/>
  <c r="D1123" i="1"/>
  <c r="D2552" i="1"/>
  <c r="D1447" i="1"/>
  <c r="D2747" i="1"/>
  <c r="D793" i="1"/>
  <c r="D2371" i="1"/>
  <c r="D1119" i="1"/>
  <c r="D2556" i="1"/>
  <c r="D453" i="1"/>
  <c r="D2990" i="1"/>
  <c r="D912" i="1"/>
  <c r="D2613" i="1"/>
  <c r="D320" i="1"/>
  <c r="D2803" i="1"/>
  <c r="D461" i="1"/>
  <c r="D2384" i="1"/>
  <c r="D3186" i="1"/>
  <c r="D2611" i="1"/>
  <c r="D432" i="1"/>
  <c r="D2276" i="1"/>
  <c r="D555" i="1"/>
  <c r="D2632" i="1"/>
  <c r="D3314" i="1"/>
  <c r="D1952" i="1"/>
  <c r="D430" i="1"/>
  <c r="D2273" i="1"/>
  <c r="D3262" i="1"/>
  <c r="D1707" i="1"/>
  <c r="D3376" i="1"/>
  <c r="D2235" i="1"/>
  <c r="D3279" i="1"/>
  <c r="D2577" i="1"/>
  <c r="D3350" i="1"/>
  <c r="D1711" i="1"/>
  <c r="D3198" i="1"/>
  <c r="D2230" i="1"/>
  <c r="D3281" i="1"/>
  <c r="D1429" i="1"/>
  <c r="D3483" i="1"/>
  <c r="D1989" i="1"/>
  <c r="D3324" i="1"/>
  <c r="D773" i="1"/>
  <c r="D3107" i="1"/>
  <c r="D3420" i="1"/>
  <c r="D1436" i="1"/>
  <c r="D2876" i="1"/>
  <c r="D3319" i="1"/>
  <c r="D3446" i="1"/>
  <c r="D1653" i="1"/>
  <c r="D3094" i="1"/>
  <c r="D3500" i="1"/>
  <c r="D3505" i="1"/>
  <c r="D1650" i="1"/>
  <c r="D3092" i="1"/>
  <c r="D3384" i="1"/>
  <c r="D3449" i="1"/>
  <c r="D2315" i="1"/>
  <c r="D3277" i="1"/>
  <c r="D1735" i="1"/>
  <c r="D2070" i="1"/>
  <c r="D271" i="1"/>
  <c r="D656" i="1"/>
  <c r="D1036" i="1"/>
  <c r="D1419" i="1"/>
  <c r="D1734" i="1"/>
  <c r="D2075" i="1"/>
  <c r="D69" i="1"/>
  <c r="D661" i="1"/>
  <c r="D1040" i="1"/>
  <c r="D1413" i="1"/>
  <c r="D1971" i="1"/>
  <c r="D2353" i="1"/>
  <c r="D109" i="1"/>
  <c r="D760" i="1"/>
  <c r="D1185" i="1"/>
  <c r="D1638" i="1"/>
  <c r="D1976" i="1"/>
  <c r="D129" i="1"/>
  <c r="D2294" i="1"/>
  <c r="D2096" i="1"/>
  <c r="D986" i="1"/>
  <c r="D677" i="1"/>
  <c r="D262" i="1"/>
  <c r="D2512" i="1"/>
  <c r="D2744" i="1"/>
  <c r="D1439" i="1"/>
  <c r="D2741" i="1"/>
  <c r="D1763" i="1"/>
  <c r="D2929" i="1"/>
  <c r="D1116" i="1"/>
  <c r="D3019" i="1"/>
  <c r="D1444" i="1"/>
  <c r="D2753" i="1"/>
  <c r="D909" i="1"/>
  <c r="D3454" i="1"/>
  <c r="D1291" i="1"/>
  <c r="D2801" i="1"/>
  <c r="D458" i="1"/>
  <c r="D2991" i="1"/>
  <c r="D907" i="1"/>
  <c r="D2608" i="1"/>
  <c r="D1296" i="1"/>
  <c r="D2809" i="1"/>
  <c r="D545" i="1"/>
  <c r="D2628" i="1"/>
  <c r="D1058" i="1"/>
  <c r="D2864" i="1"/>
  <c r="D438" i="1"/>
  <c r="D2270" i="1"/>
  <c r="D543" i="1"/>
  <c r="D2638" i="1"/>
  <c r="D3310" i="1"/>
  <c r="D3465" i="1"/>
  <c r="D533" i="1"/>
  <c r="D2584" i="1"/>
  <c r="D3475" i="1"/>
  <c r="D2884" i="1"/>
  <c r="D3371" i="1"/>
  <c r="D2228" i="1"/>
  <c r="D3287" i="1"/>
  <c r="D2582" i="1"/>
  <c r="D3352" i="1"/>
  <c r="D1984" i="1"/>
  <c r="D3424" i="1"/>
  <c r="D2492" i="1"/>
  <c r="D3360" i="1"/>
  <c r="D1426" i="1"/>
  <c r="D3370" i="1"/>
  <c r="D621" i="1"/>
  <c r="D1985" i="1"/>
  <c r="D3110" i="1"/>
  <c r="D3362" i="1"/>
  <c r="D717" i="1"/>
  <c r="D2307" i="1"/>
  <c r="D3278" i="1"/>
  <c r="D3501" i="1"/>
  <c r="D710" i="1"/>
  <c r="D2311" i="1"/>
  <c r="D3275" i="1"/>
  <c r="D3405" i="1"/>
  <c r="D891" i="1"/>
  <c r="D2781" i="1"/>
  <c r="D3346" i="1"/>
  <c r="D1929" i="1"/>
  <c r="D140" i="1"/>
  <c r="D420" i="1"/>
  <c r="D840" i="1"/>
  <c r="D1236" i="1"/>
  <c r="D1570" i="1"/>
  <c r="D1932" i="1"/>
  <c r="D27" i="1"/>
  <c r="D415" i="1"/>
  <c r="D846" i="1"/>
  <c r="D1229" i="1"/>
  <c r="D1566" i="1"/>
  <c r="D2211" i="1"/>
  <c r="D217" i="1"/>
  <c r="D517" i="1"/>
  <c r="D967" i="1"/>
  <c r="D1404" i="1"/>
  <c r="D1794" i="1"/>
  <c r="D2210" i="1"/>
  <c r="D254" i="1"/>
  <c r="D2505" i="1"/>
  <c r="D2295" i="1"/>
  <c r="D2102" i="1"/>
  <c r="D976" i="1"/>
  <c r="D978" i="1"/>
  <c r="D2821" i="1"/>
  <c r="D2923" i="1"/>
  <c r="D1764" i="1"/>
  <c r="D360" i="1"/>
  <c r="D2087" i="1"/>
  <c r="D3020" i="1"/>
  <c r="D1441" i="1"/>
  <c r="D212" i="1"/>
  <c r="D1771" i="1"/>
  <c r="D2933" i="1"/>
  <c r="D1284" i="1"/>
  <c r="D3185" i="1"/>
  <c r="D1678" i="1"/>
  <c r="D2981" i="1"/>
  <c r="D2013" i="1"/>
  <c r="D3137" i="1"/>
  <c r="D1286" i="1"/>
  <c r="D2806" i="1"/>
  <c r="D1689" i="1"/>
  <c r="D2987" i="1"/>
  <c r="D1057" i="1"/>
  <c r="D2857" i="1"/>
  <c r="D1466" i="1"/>
  <c r="D3004" i="1"/>
  <c r="D550" i="1"/>
  <c r="D3155" i="1"/>
  <c r="D1053" i="1"/>
  <c r="D2862" i="1"/>
  <c r="D442" i="1"/>
  <c r="D3466" i="1"/>
  <c r="D643" i="1"/>
  <c r="D2883" i="1"/>
  <c r="D3476" i="1"/>
  <c r="D3072" i="1"/>
  <c r="D539" i="1"/>
  <c r="D2580" i="1"/>
  <c r="D650" i="1"/>
  <c r="D2889" i="1"/>
  <c r="D3374" i="1"/>
  <c r="D2501" i="1"/>
  <c r="D614" i="1"/>
  <c r="D2868" i="1"/>
  <c r="D3490" i="1"/>
  <c r="D1992" i="1"/>
  <c r="D3402" i="1"/>
  <c r="D776" i="1"/>
  <c r="D2499" i="1"/>
  <c r="D3240" i="1"/>
  <c r="D3398" i="1"/>
  <c r="D884" i="1"/>
  <c r="D2769" i="1"/>
  <c r="D3497" i="1"/>
  <c r="D680" i="1"/>
  <c r="D255" i="1"/>
  <c r="D2514" i="1"/>
  <c r="D2507" i="1"/>
  <c r="D1531" i="1"/>
  <c r="D1245" i="1"/>
  <c r="D137" i="1"/>
  <c r="D3451" i="1"/>
  <c r="D2086" i="1"/>
  <c r="D783" i="1"/>
  <c r="D2362" i="1"/>
  <c r="D209" i="1"/>
  <c r="D1768" i="1"/>
  <c r="D365" i="1"/>
  <c r="D2093" i="1"/>
  <c r="D3027" i="1"/>
  <c r="D2600" i="1"/>
  <c r="D328" i="1"/>
  <c r="D2018" i="1"/>
  <c r="D3131" i="1"/>
  <c r="D2380" i="1"/>
  <c r="D3181" i="1"/>
  <c r="D1681" i="1"/>
  <c r="D2984" i="1"/>
  <c r="D2015" i="1"/>
  <c r="D3128" i="1"/>
  <c r="D1476" i="1"/>
  <c r="D3463" i="1"/>
  <c r="D1945" i="1"/>
  <c r="D3163" i="1"/>
  <c r="D1051" i="1"/>
  <c r="D3265" i="1"/>
  <c r="D1474" i="1"/>
  <c r="D3015" i="1"/>
  <c r="D554" i="1"/>
  <c r="D3285" i="1"/>
  <c r="D1225" i="1"/>
  <c r="D3064" i="1"/>
  <c r="D1714" i="1"/>
  <c r="D3195" i="1"/>
  <c r="D648" i="1"/>
  <c r="D2887" i="1"/>
  <c r="D1204" i="1"/>
  <c r="D3070" i="1"/>
  <c r="D625" i="1"/>
  <c r="D2869" i="1"/>
  <c r="D769" i="1"/>
  <c r="D3105" i="1"/>
  <c r="D3427" i="1"/>
  <c r="D3231" i="1"/>
  <c r="D3429" i="1"/>
  <c r="D1435" i="1"/>
  <c r="D2875" i="1"/>
  <c r="D3322" i="1"/>
  <c r="D3422" i="1"/>
  <c r="D1652" i="1"/>
  <c r="D3087" i="1"/>
  <c r="D3498" i="1"/>
  <c r="D2109" i="1"/>
  <c r="D1874" i="1"/>
  <c r="D1523" i="1"/>
  <c r="D259" i="1"/>
  <c r="D261" i="1"/>
  <c r="D2511" i="1"/>
  <c r="D2303" i="1"/>
  <c r="D1445" i="1"/>
  <c r="D359" i="1"/>
  <c r="D2095" i="1"/>
  <c r="D3030" i="1"/>
  <c r="D2369" i="1"/>
  <c r="D211" i="1"/>
  <c r="D1770" i="1"/>
  <c r="D2932" i="1"/>
  <c r="D2081" i="1"/>
  <c r="D3453" i="1"/>
  <c r="D1684" i="1"/>
  <c r="D2980" i="1"/>
  <c r="D2012" i="1"/>
  <c r="D3130" i="1"/>
  <c r="D1285" i="1"/>
  <c r="D3184" i="1"/>
  <c r="D1688" i="1"/>
  <c r="D2986" i="1"/>
  <c r="D1056" i="1"/>
  <c r="D3461" i="1"/>
  <c r="D1478" i="1"/>
  <c r="D3010" i="1"/>
  <c r="D549" i="1"/>
  <c r="D3164" i="1"/>
  <c r="D1047" i="1"/>
  <c r="D2861" i="1"/>
  <c r="D1475" i="1"/>
  <c r="D1247" i="1"/>
  <c r="D2823" i="1"/>
  <c r="D369" i="1"/>
  <c r="D2743" i="1"/>
  <c r="D2751" i="1"/>
  <c r="D911" i="1"/>
  <c r="D915" i="1"/>
  <c r="D2610" i="1"/>
  <c r="D2853" i="1"/>
  <c r="D439" i="1"/>
  <c r="D3016" i="1"/>
  <c r="D645" i="1"/>
  <c r="D1710" i="1"/>
  <c r="D3191" i="1"/>
  <c r="D2488" i="1"/>
  <c r="D3103" i="1"/>
  <c r="D2877" i="1"/>
  <c r="D883" i="1"/>
  <c r="D3416" i="1"/>
  <c r="D1656" i="1"/>
  <c r="D2312" i="1"/>
  <c r="D2778" i="1"/>
  <c r="D3387" i="1"/>
  <c r="D139" i="1"/>
  <c r="D2071" i="1"/>
  <c r="D1941" i="1"/>
  <c r="D26" i="1"/>
  <c r="D426" i="1"/>
  <c r="D70" i="1"/>
  <c r="D2079" i="1"/>
  <c r="D2360" i="1"/>
  <c r="D1401" i="1"/>
  <c r="D1403" i="1"/>
  <c r="D112" i="1"/>
  <c r="D122" i="1"/>
  <c r="D764" i="1"/>
  <c r="D1172" i="1"/>
  <c r="D1626" i="1"/>
  <c r="D1981" i="1"/>
  <c r="D2359" i="1"/>
  <c r="D191" i="1"/>
  <c r="D867" i="1"/>
  <c r="D1332" i="1"/>
  <c r="D1860" i="1"/>
  <c r="D2261" i="1"/>
  <c r="D2595" i="1"/>
  <c r="D198" i="1"/>
  <c r="D873" i="1"/>
  <c r="D1326" i="1"/>
  <c r="D1869" i="1"/>
  <c r="D2258" i="1"/>
  <c r="D2598" i="1"/>
  <c r="D278" i="1"/>
  <c r="D994" i="1"/>
  <c r="D1552" i="1"/>
  <c r="D2112" i="1"/>
  <c r="D2528" i="1"/>
  <c r="D2836" i="1"/>
  <c r="D285" i="1"/>
  <c r="D990" i="1"/>
  <c r="D1539" i="1"/>
  <c r="D2119" i="1"/>
  <c r="D2527" i="1"/>
  <c r="D2835" i="1"/>
  <c r="D374" i="1"/>
  <c r="D1142" i="1"/>
  <c r="D1827" i="1"/>
  <c r="D2393" i="1"/>
  <c r="D2772" i="1"/>
  <c r="D3051" i="1"/>
  <c r="D386" i="1"/>
  <c r="D1135" i="1"/>
  <c r="D1823" i="1"/>
  <c r="D2396" i="1"/>
  <c r="D2767" i="1"/>
  <c r="D3056" i="1"/>
  <c r="D476" i="1"/>
  <c r="D1309" i="1"/>
  <c r="D2149" i="1"/>
  <c r="D2663" i="1"/>
  <c r="D2997" i="1"/>
  <c r="D3225" i="1"/>
  <c r="D483" i="1"/>
  <c r="D1299" i="1"/>
  <c r="D2140" i="1"/>
  <c r="D982" i="1"/>
  <c r="D135" i="1"/>
  <c r="D204" i="1"/>
  <c r="D2928" i="1"/>
  <c r="D2373" i="1"/>
  <c r="D1290" i="1"/>
  <c r="D321" i="1"/>
  <c r="D2808" i="1"/>
  <c r="D2277" i="1"/>
  <c r="D551" i="1"/>
  <c r="D531" i="1"/>
  <c r="D1212" i="1"/>
  <c r="D2227" i="1"/>
  <c r="D3289" i="1"/>
  <c r="D1431" i="1"/>
  <c r="D3401" i="1"/>
  <c r="D3099" i="1"/>
  <c r="D1649" i="1"/>
  <c r="D3432" i="1"/>
  <c r="D2310" i="1"/>
  <c r="D3343" i="1"/>
  <c r="D3389" i="1"/>
  <c r="D3415" i="1"/>
  <c r="D264" i="1"/>
  <c r="D655" i="1"/>
  <c r="D422" i="1"/>
  <c r="D73" i="1"/>
  <c r="D654" i="1"/>
  <c r="D1039" i="1"/>
  <c r="D25" i="1"/>
  <c r="D216" i="1"/>
  <c r="D1635" i="1"/>
  <c r="D1637" i="1"/>
  <c r="D975" i="1"/>
  <c r="D522" i="1"/>
  <c r="D971" i="1"/>
  <c r="D1396" i="1"/>
  <c r="D1799" i="1"/>
  <c r="D2220" i="1"/>
  <c r="D330" i="1"/>
  <c r="D601" i="1"/>
  <c r="D1114" i="1"/>
  <c r="D1642" i="1"/>
  <c r="D2066" i="1"/>
  <c r="D2466" i="1"/>
  <c r="D90" i="1"/>
  <c r="D607" i="1"/>
  <c r="D1104" i="1"/>
  <c r="D1631" i="1"/>
  <c r="D2062" i="1"/>
  <c r="D2470" i="1"/>
  <c r="D146" i="1"/>
  <c r="D690" i="1"/>
  <c r="D1263" i="1"/>
  <c r="D1888" i="1"/>
  <c r="D2320" i="1"/>
  <c r="D2702" i="1"/>
  <c r="D159" i="1"/>
  <c r="D695" i="1"/>
  <c r="D1259" i="1"/>
  <c r="D1894" i="1"/>
  <c r="D2330" i="1"/>
  <c r="D2708" i="1"/>
  <c r="D224" i="1"/>
  <c r="D797" i="1"/>
  <c r="D1455" i="1"/>
  <c r="D2154" i="1"/>
  <c r="D2617" i="1"/>
  <c r="D2956" i="1"/>
  <c r="D236" i="1"/>
  <c r="D794" i="1"/>
  <c r="D1453" i="1"/>
  <c r="D2159" i="1"/>
  <c r="D2623" i="1"/>
  <c r="D2952" i="1"/>
  <c r="D332" i="1"/>
  <c r="D923" i="1"/>
  <c r="D1527" i="1"/>
  <c r="D2508" i="1"/>
  <c r="D370" i="1"/>
  <c r="D2088" i="1"/>
  <c r="D2555" i="1"/>
  <c r="D3455" i="1"/>
  <c r="D460" i="1"/>
  <c r="D463" i="1"/>
  <c r="D2641" i="1"/>
  <c r="D2636" i="1"/>
  <c r="D3467" i="1"/>
  <c r="D2881" i="1"/>
  <c r="D2579" i="1"/>
  <c r="D3353" i="1"/>
  <c r="D1988" i="1"/>
  <c r="D3317" i="1"/>
  <c r="D3404" i="1"/>
  <c r="D2316" i="1"/>
  <c r="D3499" i="1"/>
  <c r="D3095" i="1"/>
  <c r="D3410" i="1"/>
  <c r="D3411" i="1"/>
  <c r="D3439" i="1"/>
  <c r="D418" i="1"/>
  <c r="D839" i="1"/>
  <c r="D667" i="1"/>
  <c r="D424" i="1"/>
  <c r="D844" i="1"/>
  <c r="D1231" i="1"/>
  <c r="D72" i="1"/>
  <c r="D108" i="1"/>
  <c r="D2213" i="1"/>
  <c r="D1790" i="1"/>
  <c r="D1177" i="1"/>
  <c r="D763" i="1"/>
  <c r="D1180" i="1"/>
  <c r="D1625" i="1"/>
  <c r="D1980" i="1"/>
  <c r="D2358" i="1"/>
  <c r="D190" i="1"/>
  <c r="D866" i="1"/>
  <c r="D1331" i="1"/>
  <c r="D1859" i="1"/>
  <c r="D2251" i="1"/>
  <c r="D2587" i="1"/>
  <c r="D197" i="1"/>
  <c r="D872" i="1"/>
  <c r="D1338" i="1"/>
  <c r="D1868" i="1"/>
  <c r="D2257" i="1"/>
  <c r="D2597" i="1"/>
  <c r="D277" i="1"/>
  <c r="D993" i="1"/>
  <c r="D1542" i="1"/>
  <c r="D2110" i="1"/>
  <c r="D2516" i="1"/>
  <c r="D2830" i="1"/>
  <c r="D284" i="1"/>
  <c r="D998" i="1"/>
  <c r="D1546" i="1"/>
  <c r="D2118" i="1"/>
  <c r="D2526" i="1"/>
  <c r="D2826" i="1"/>
  <c r="D373" i="1"/>
  <c r="D1141" i="1"/>
  <c r="D1826" i="1"/>
  <c r="D2398" i="1"/>
  <c r="D2756" i="1"/>
  <c r="D3050" i="1"/>
  <c r="D378" i="1"/>
  <c r="D1130" i="1"/>
  <c r="D1822" i="1"/>
  <c r="D2401" i="1"/>
  <c r="D2759" i="1"/>
  <c r="D3055" i="1"/>
  <c r="D475" i="1"/>
  <c r="D1308" i="1"/>
  <c r="D983" i="1"/>
  <c r="D2104" i="1"/>
  <c r="D205" i="1"/>
  <c r="D785" i="1"/>
  <c r="D1772" i="1"/>
  <c r="D2603" i="1"/>
  <c r="D3132" i="1"/>
  <c r="D431" i="1"/>
  <c r="D1467" i="1"/>
  <c r="D2272" i="1"/>
  <c r="D532" i="1"/>
  <c r="D2576" i="1"/>
  <c r="D3068" i="1"/>
  <c r="D2890" i="1"/>
  <c r="D2879" i="1"/>
  <c r="D3395" i="1"/>
  <c r="D3229" i="1"/>
  <c r="D2306" i="1"/>
  <c r="D3090" i="1"/>
  <c r="D3339" i="1"/>
  <c r="D3450" i="1"/>
  <c r="D2318" i="1"/>
  <c r="D2319" i="1"/>
  <c r="D837" i="1"/>
  <c r="D1235" i="1"/>
  <c r="D1569" i="1"/>
  <c r="D1420" i="1"/>
  <c r="D1240" i="1"/>
  <c r="D1575" i="1"/>
  <c r="D1041" i="1"/>
  <c r="D757" i="1"/>
  <c r="D759" i="1"/>
  <c r="D2214" i="1"/>
  <c r="D2215" i="1"/>
  <c r="D1179" i="1"/>
  <c r="D1624" i="1"/>
  <c r="D1979" i="1"/>
  <c r="D2357" i="1"/>
  <c r="D117" i="1"/>
  <c r="D865" i="1"/>
  <c r="D1330" i="1"/>
  <c r="D1863" i="1"/>
  <c r="D2250" i="1"/>
  <c r="D2594" i="1"/>
  <c r="D196" i="1"/>
  <c r="D871" i="1"/>
  <c r="D1337" i="1"/>
  <c r="D1867" i="1"/>
  <c r="D2256" i="1"/>
  <c r="D2591" i="1"/>
  <c r="D201" i="1"/>
  <c r="D992" i="1"/>
  <c r="D1548" i="1"/>
  <c r="D2122" i="1"/>
  <c r="D2519" i="1"/>
  <c r="D2829" i="1"/>
  <c r="D283" i="1"/>
  <c r="D997" i="1"/>
  <c r="D1545" i="1"/>
  <c r="D2117" i="1"/>
  <c r="D2522" i="1"/>
  <c r="D2825" i="1"/>
  <c r="D288" i="1"/>
  <c r="D1140" i="1"/>
  <c r="D1817" i="1"/>
  <c r="D2390" i="1"/>
  <c r="D2755" i="1"/>
  <c r="D3057" i="1"/>
  <c r="D377" i="1"/>
  <c r="D1134" i="1"/>
  <c r="D1821" i="1"/>
  <c r="D2395" i="1"/>
  <c r="D2758" i="1"/>
  <c r="D3054" i="1"/>
  <c r="D383" i="1"/>
  <c r="D1301" i="1"/>
  <c r="D2142" i="1"/>
  <c r="D2662" i="1"/>
  <c r="D2999" i="1"/>
  <c r="D3224" i="1"/>
  <c r="D481" i="1"/>
  <c r="D1304" i="1"/>
  <c r="D2144" i="1"/>
  <c r="D984" i="1"/>
  <c r="D2818" i="1"/>
  <c r="D2366" i="1"/>
  <c r="D1127" i="1"/>
  <c r="D214" i="1"/>
  <c r="D2797" i="1"/>
  <c r="D2021" i="1"/>
  <c r="D544" i="1"/>
  <c r="D3264" i="1"/>
  <c r="D2637" i="1"/>
  <c r="D653" i="1"/>
  <c r="D2891" i="1"/>
  <c r="D3381" i="1"/>
  <c r="D766" i="1"/>
  <c r="D3486" i="1"/>
  <c r="D3428" i="1"/>
  <c r="D3318" i="1"/>
  <c r="D2768" i="1"/>
  <c r="D3502" i="1"/>
  <c r="D3506" i="1"/>
  <c r="D713" i="1"/>
  <c r="D2779" i="1"/>
  <c r="D3391" i="1"/>
  <c r="D1576" i="1"/>
  <c r="D1416" i="1"/>
  <c r="D1744" i="1"/>
  <c r="D2074" i="1"/>
  <c r="D1934" i="1"/>
  <c r="D1741" i="1"/>
  <c r="D1743" i="1"/>
  <c r="D964" i="1"/>
  <c r="D966" i="1"/>
  <c r="D2348" i="1"/>
  <c r="D2356" i="1"/>
  <c r="D1407" i="1"/>
  <c r="D1797" i="1"/>
  <c r="D2218" i="1"/>
  <c r="D50" i="1"/>
  <c r="D527" i="1"/>
  <c r="D1106" i="1"/>
  <c r="D1640" i="1"/>
  <c r="D2065" i="1"/>
  <c r="D2473" i="1"/>
  <c r="D88" i="1"/>
  <c r="D606" i="1"/>
  <c r="D1110" i="1"/>
  <c r="D1646" i="1"/>
  <c r="D2060" i="1"/>
  <c r="D2468" i="1"/>
  <c r="D94" i="1"/>
  <c r="D610" i="1"/>
  <c r="D1261" i="1"/>
  <c r="D1896" i="1"/>
  <c r="D2326" i="1"/>
  <c r="D2700" i="1"/>
  <c r="D149" i="1"/>
  <c r="D693" i="1"/>
  <c r="D1268" i="1"/>
  <c r="D1892" i="1"/>
  <c r="D2324" i="1"/>
  <c r="D2706" i="1"/>
  <c r="D160" i="1"/>
  <c r="D688" i="1"/>
  <c r="D1464" i="1"/>
  <c r="D2153" i="1"/>
  <c r="D2615" i="1"/>
  <c r="D2954" i="1"/>
  <c r="D235" i="1"/>
  <c r="D802" i="1"/>
  <c r="D1459" i="1"/>
  <c r="D2157" i="1"/>
  <c r="D2621" i="1"/>
  <c r="D2960" i="1"/>
  <c r="D232" i="1"/>
  <c r="D807" i="1"/>
  <c r="D1722" i="1"/>
  <c r="D2439" i="1"/>
  <c r="D2907" i="1"/>
  <c r="D3144" i="1"/>
  <c r="D337" i="1"/>
  <c r="D928" i="1"/>
  <c r="D1718" i="1"/>
  <c r="D2434" i="1"/>
  <c r="D2903" i="1"/>
  <c r="D3148" i="1"/>
  <c r="D342" i="1"/>
  <c r="D1249" i="1"/>
  <c r="D1532" i="1"/>
  <c r="D3029" i="1"/>
  <c r="D3024" i="1"/>
  <c r="D368" i="1"/>
  <c r="D1685" i="1"/>
  <c r="D2383" i="1"/>
  <c r="D3457" i="1"/>
  <c r="D3304" i="1"/>
  <c r="D1048" i="1"/>
  <c r="D2575" i="1"/>
  <c r="D3065" i="1"/>
  <c r="D529" i="1"/>
  <c r="D1428" i="1"/>
  <c r="D3239" i="1"/>
  <c r="D1993" i="1"/>
  <c r="D3364" i="1"/>
  <c r="D3088" i="1"/>
  <c r="D3503" i="1"/>
  <c r="D711" i="1"/>
  <c r="D880" i="1"/>
  <c r="D3093" i="1"/>
  <c r="D3417" i="1"/>
  <c r="D1732" i="1"/>
  <c r="D1568" i="1"/>
  <c r="D1928" i="1"/>
  <c r="D21" i="1"/>
  <c r="D2076" i="1"/>
  <c r="D1936" i="1"/>
  <c r="D1938" i="1"/>
  <c r="D1182" i="1"/>
  <c r="D1183" i="1"/>
  <c r="D519" i="1"/>
  <c r="D53" i="1"/>
  <c r="D1623" i="1"/>
  <c r="D1978" i="1"/>
  <c r="D2352" i="1"/>
  <c r="D106" i="1"/>
  <c r="D752" i="1"/>
  <c r="D1329" i="1"/>
  <c r="D1862" i="1"/>
  <c r="D2260" i="1"/>
  <c r="D2593" i="1"/>
  <c r="D195" i="1"/>
  <c r="D877" i="1"/>
  <c r="D1336" i="1"/>
  <c r="D1866" i="1"/>
  <c r="D2255" i="1"/>
  <c r="D2590" i="1"/>
  <c r="D200" i="1"/>
  <c r="D876" i="1"/>
  <c r="D1541" i="1"/>
  <c r="D2111" i="1"/>
  <c r="D2518" i="1"/>
  <c r="D2837" i="1"/>
  <c r="D282" i="1"/>
  <c r="D1003" i="1"/>
  <c r="D1544" i="1"/>
  <c r="D2116" i="1"/>
  <c r="D2517" i="1"/>
  <c r="D2834" i="1"/>
  <c r="D287" i="1"/>
  <c r="D1001" i="1"/>
  <c r="D1816" i="1"/>
  <c r="D2397" i="1"/>
  <c r="D2766" i="1"/>
  <c r="D3058" i="1"/>
  <c r="D385" i="1"/>
  <c r="D1133" i="1"/>
  <c r="D1820" i="1"/>
  <c r="D2391" i="1"/>
  <c r="D2757" i="1"/>
  <c r="D3053" i="1"/>
  <c r="D382" i="1"/>
  <c r="D1139" i="1"/>
  <c r="D2146" i="1"/>
  <c r="D2666" i="1"/>
  <c r="D2993" i="1"/>
  <c r="D3220" i="1"/>
  <c r="D480" i="1"/>
  <c r="D1311" i="1"/>
  <c r="D2143" i="1"/>
  <c r="D2656" i="1"/>
  <c r="D3001" i="1"/>
  <c r="D3219" i="1"/>
  <c r="D474" i="1"/>
  <c r="D1528" i="1"/>
  <c r="D1525" i="1"/>
  <c r="D221" i="1"/>
  <c r="D2749" i="1"/>
  <c r="D1775" i="1"/>
  <c r="D3183" i="1"/>
  <c r="D2607" i="1"/>
  <c r="D1947" i="1"/>
  <c r="D437" i="1"/>
  <c r="D3160" i="1"/>
  <c r="D1717" i="1"/>
  <c r="D3477" i="1"/>
  <c r="D649" i="1"/>
  <c r="D1986" i="1"/>
  <c r="D3316" i="1"/>
  <c r="D620" i="1"/>
  <c r="D778" i="1"/>
  <c r="D3270" i="1"/>
  <c r="D721" i="1"/>
  <c r="D2776" i="1"/>
  <c r="D3096" i="1"/>
  <c r="D3267" i="1"/>
  <c r="D3437" i="1"/>
  <c r="D265" i="1"/>
  <c r="D3507" i="1"/>
  <c r="D2072" i="1"/>
  <c r="D68" i="1"/>
  <c r="D660" i="1"/>
  <c r="D2078" i="1"/>
  <c r="D2080" i="1"/>
  <c r="D1791" i="1"/>
  <c r="D1402" i="1"/>
  <c r="D761" i="1"/>
  <c r="D113" i="1"/>
  <c r="D1796" i="1"/>
  <c r="D2217" i="1"/>
  <c r="D49" i="1"/>
  <c r="D526" i="1"/>
  <c r="D962" i="1"/>
  <c r="D1639" i="1"/>
  <c r="D2056" i="1"/>
  <c r="D2465" i="1"/>
  <c r="D87" i="1"/>
  <c r="D605" i="1"/>
  <c r="D1115" i="1"/>
  <c r="D1629" i="1"/>
  <c r="D2059" i="1"/>
  <c r="D2464" i="1"/>
  <c r="D76" i="1"/>
  <c r="D599" i="1"/>
  <c r="D1105" i="1"/>
  <c r="D1886" i="1"/>
  <c r="D2325" i="1"/>
  <c r="D2714" i="1"/>
  <c r="D158" i="1"/>
  <c r="D683" i="1"/>
  <c r="D1267" i="1"/>
  <c r="D1891" i="1"/>
  <c r="D2323" i="1"/>
  <c r="D2705" i="1"/>
  <c r="D154" i="1"/>
  <c r="D687" i="1"/>
  <c r="D1257" i="1"/>
  <c r="D2161" i="1"/>
  <c r="D2625" i="1"/>
  <c r="D2951" i="1"/>
  <c r="D227" i="1"/>
  <c r="D801" i="1"/>
  <c r="D1458" i="1"/>
  <c r="D2156" i="1"/>
  <c r="D2620" i="1"/>
  <c r="D2959" i="1"/>
  <c r="D237" i="1"/>
  <c r="D806" i="1"/>
  <c r="D1463" i="1"/>
  <c r="D2444" i="1"/>
  <c r="D2898" i="1"/>
  <c r="D3143" i="1"/>
  <c r="D336" i="1"/>
  <c r="D927" i="1"/>
  <c r="D1727" i="1"/>
  <c r="D2433" i="1"/>
  <c r="D2902" i="1"/>
  <c r="D3141" i="1"/>
  <c r="D341" i="1"/>
  <c r="D933" i="1"/>
  <c r="D2815" i="1"/>
  <c r="D1883" i="1"/>
  <c r="D1765" i="1"/>
  <c r="D2922" i="1"/>
  <c r="D2934" i="1"/>
  <c r="D1293" i="1"/>
  <c r="D1287" i="1"/>
  <c r="D2265" i="1"/>
  <c r="D3017" i="1"/>
  <c r="D3261" i="1"/>
  <c r="D2223" i="1"/>
  <c r="D3284" i="1"/>
  <c r="D2583" i="1"/>
  <c r="D3234" i="1"/>
  <c r="D3488" i="1"/>
  <c r="D775" i="1"/>
  <c r="D3361" i="1"/>
  <c r="D3493" i="1"/>
  <c r="D888" i="1"/>
  <c r="D3091" i="1"/>
  <c r="D3276" i="1"/>
  <c r="D3338" i="1"/>
  <c r="D3447" i="1"/>
  <c r="D419" i="1"/>
  <c r="D65" i="1"/>
  <c r="D20" i="1"/>
  <c r="D425" i="1"/>
  <c r="D845" i="1"/>
  <c r="D427" i="1"/>
  <c r="D215" i="1"/>
  <c r="D1972" i="1"/>
  <c r="D1636" i="1"/>
  <c r="D1620" i="1"/>
  <c r="D521" i="1"/>
  <c r="D1977" i="1"/>
  <c r="D2351" i="1"/>
  <c r="D116" i="1"/>
  <c r="D755" i="1"/>
  <c r="D1174" i="1"/>
  <c r="D1861" i="1"/>
  <c r="D2263" i="1"/>
  <c r="D2592" i="1"/>
  <c r="D194" i="1"/>
  <c r="D870" i="1"/>
  <c r="D1335" i="1"/>
  <c r="D1865" i="1"/>
  <c r="D2816" i="1"/>
  <c r="D2106" i="1"/>
  <c r="D1124" i="1"/>
  <c r="D3031" i="1"/>
  <c r="D2796" i="1"/>
  <c r="D1679" i="1"/>
  <c r="D443" i="1"/>
  <c r="D3460" i="1"/>
  <c r="D1471" i="1"/>
  <c r="D3309" i="1"/>
  <c r="D2572" i="1"/>
  <c r="D3359" i="1"/>
  <c r="D1712" i="1"/>
  <c r="D3423" i="1"/>
  <c r="D3489" i="1"/>
  <c r="D1434" i="1"/>
  <c r="D3403" i="1"/>
  <c r="D3494" i="1"/>
  <c r="D2309" i="1"/>
  <c r="D3349" i="1"/>
  <c r="D3448" i="1"/>
  <c r="D3443" i="1"/>
  <c r="D138" i="1"/>
  <c r="D666" i="1"/>
  <c r="D1035" i="1"/>
  <c r="D842" i="1"/>
  <c r="D659" i="1"/>
  <c r="D1044" i="1"/>
  <c r="D662" i="1"/>
  <c r="D107" i="1"/>
  <c r="D121" i="1"/>
  <c r="D1789" i="1"/>
  <c r="D1793" i="1"/>
  <c r="D762" i="1"/>
  <c r="D2216" i="1"/>
  <c r="D54" i="1"/>
  <c r="D525" i="1"/>
  <c r="D974" i="1"/>
  <c r="D1399" i="1"/>
  <c r="D2055" i="1"/>
  <c r="D2472" i="1"/>
  <c r="D86" i="1"/>
  <c r="D604" i="1"/>
  <c r="D1109" i="1"/>
  <c r="D1645" i="1"/>
  <c r="D2677" i="1"/>
  <c r="D2108" i="1"/>
  <c r="D2553" i="1"/>
  <c r="D1443" i="1"/>
  <c r="D455" i="1"/>
  <c r="D2988" i="1"/>
  <c r="D2363" i="1"/>
  <c r="D1050" i="1"/>
  <c r="D3308" i="1"/>
  <c r="D2856" i="1"/>
  <c r="D3473" i="1"/>
  <c r="D1202" i="1"/>
  <c r="D3357" i="1"/>
  <c r="D613" i="1"/>
  <c r="D2871" i="1"/>
  <c r="D2498" i="1"/>
  <c r="D716" i="1"/>
  <c r="D1654" i="1"/>
  <c r="D878" i="1"/>
  <c r="D1657" i="1"/>
  <c r="D2314" i="1"/>
  <c r="D3340" i="1"/>
  <c r="D2068" i="1"/>
  <c r="D1939" i="1"/>
  <c r="D1737" i="1"/>
  <c r="D2073" i="1"/>
  <c r="D74" i="1"/>
  <c r="D23" i="1"/>
  <c r="D1937" i="1"/>
  <c r="D1621" i="1"/>
  <c r="D1176" i="1"/>
  <c r="D1184" i="1"/>
  <c r="D46" i="1"/>
  <c r="D47" i="1"/>
  <c r="D523" i="1"/>
  <c r="D1872" i="1"/>
  <c r="D787" i="1"/>
  <c r="D3180" i="1"/>
  <c r="D644" i="1"/>
  <c r="D2491" i="1"/>
  <c r="D3495" i="1"/>
  <c r="D1660" i="1"/>
  <c r="D1417" i="1"/>
  <c r="D1411" i="1"/>
  <c r="D51" i="1"/>
  <c r="D1408" i="1"/>
  <c r="D1800" i="1"/>
  <c r="D192" i="1"/>
  <c r="D1644" i="1"/>
  <c r="D1111" i="1"/>
  <c r="D2061" i="1"/>
  <c r="D95" i="1"/>
  <c r="D1262" i="1"/>
  <c r="D2327" i="1"/>
  <c r="D150" i="1"/>
  <c r="D1258" i="1"/>
  <c r="D2329" i="1"/>
  <c r="D155" i="1"/>
  <c r="D1452" i="1"/>
  <c r="D2616" i="1"/>
  <c r="D228" i="1"/>
  <c r="D1460" i="1"/>
  <c r="D2622" i="1"/>
  <c r="D233" i="1"/>
  <c r="D1730" i="1"/>
  <c r="D1310" i="1"/>
  <c r="D1303" i="1"/>
  <c r="D3146" i="1"/>
  <c r="D3152" i="1"/>
  <c r="D1728" i="1"/>
  <c r="D3140" i="1"/>
  <c r="D1307" i="1"/>
  <c r="D2430" i="1"/>
  <c r="D2938" i="1"/>
  <c r="D3207" i="1"/>
  <c r="D3337" i="1"/>
  <c r="D572" i="1"/>
  <c r="D1584" i="1"/>
  <c r="D2418" i="1"/>
  <c r="D2944" i="1"/>
  <c r="D3210" i="1"/>
  <c r="D3333" i="1"/>
  <c r="D577" i="1"/>
  <c r="D1589" i="1"/>
  <c r="D892" i="1"/>
  <c r="D1226" i="1"/>
  <c r="D1494" i="1"/>
  <c r="D1811" i="1"/>
  <c r="D28" i="1"/>
  <c r="D562" i="1"/>
  <c r="D899" i="1"/>
  <c r="D1206" i="1"/>
  <c r="D1497" i="1"/>
  <c r="D1806" i="1"/>
  <c r="D34" i="1"/>
  <c r="D568" i="1"/>
  <c r="D1019" i="1"/>
  <c r="D1376" i="1"/>
  <c r="D1700" i="1"/>
  <c r="D2048" i="1"/>
  <c r="D56" i="1"/>
  <c r="D631" i="1"/>
  <c r="D1025" i="1"/>
  <c r="D1381" i="1"/>
  <c r="D1695" i="1"/>
  <c r="D2043" i="1"/>
  <c r="D63" i="1"/>
  <c r="D637" i="1"/>
  <c r="D1167" i="1"/>
  <c r="D1602" i="1"/>
  <c r="D1968" i="1"/>
  <c r="D2289" i="1"/>
  <c r="D104" i="1"/>
  <c r="D739" i="1"/>
  <c r="D1163" i="1"/>
  <c r="D1597" i="1"/>
  <c r="D1963" i="1"/>
  <c r="D2282" i="1"/>
  <c r="D103" i="1"/>
  <c r="D745" i="1"/>
  <c r="D1316" i="1"/>
  <c r="D133" i="1"/>
  <c r="D1118" i="1"/>
  <c r="D1049" i="1"/>
  <c r="D3193" i="1"/>
  <c r="D2866" i="1"/>
  <c r="D3413" i="1"/>
  <c r="D723" i="1"/>
  <c r="D1577" i="1"/>
  <c r="D1412" i="1"/>
  <c r="D110" i="1"/>
  <c r="D115" i="1"/>
  <c r="D55" i="1"/>
  <c r="D602" i="1"/>
  <c r="D1856" i="1"/>
  <c r="D2254" i="1"/>
  <c r="D186" i="1"/>
  <c r="D1339" i="1"/>
  <c r="D2530" i="1"/>
  <c r="D281" i="1"/>
  <c r="D1538" i="1"/>
  <c r="D2521" i="1"/>
  <c r="D273" i="1"/>
  <c r="D1536" i="1"/>
  <c r="D2760" i="1"/>
  <c r="D376" i="1"/>
  <c r="D1819" i="1"/>
  <c r="D2762" i="1"/>
  <c r="D381" i="1"/>
  <c r="D1829" i="1"/>
  <c r="D2995" i="1"/>
  <c r="D1724" i="1"/>
  <c r="D1726" i="1"/>
  <c r="D339" i="1"/>
  <c r="D3226" i="1"/>
  <c r="D2438" i="1"/>
  <c r="D3227" i="1"/>
  <c r="D1731" i="1"/>
  <c r="D2728" i="1"/>
  <c r="D3126" i="1"/>
  <c r="D3294" i="1"/>
  <c r="D445" i="1"/>
  <c r="D1080" i="1"/>
  <c r="D2000" i="1"/>
  <c r="D2731" i="1"/>
  <c r="D3121" i="1"/>
  <c r="D3298" i="1"/>
  <c r="D469" i="1"/>
  <c r="D1086" i="1"/>
  <c r="D1998" i="1"/>
  <c r="D1062" i="1"/>
  <c r="D1344" i="1"/>
  <c r="D1675" i="1"/>
  <c r="D3512" i="1"/>
  <c r="D312" i="1"/>
  <c r="D731" i="1"/>
  <c r="D1068" i="1"/>
  <c r="D1351" i="1"/>
  <c r="D1671" i="1"/>
  <c r="D7" i="1"/>
  <c r="D315" i="1"/>
  <c r="D737" i="1"/>
  <c r="D1189" i="1"/>
  <c r="D1508" i="1"/>
  <c r="D1918" i="1"/>
  <c r="D3515" i="1"/>
  <c r="D410" i="1"/>
  <c r="D829" i="1"/>
  <c r="D1194" i="1"/>
  <c r="D1510" i="1"/>
  <c r="D1922" i="1"/>
  <c r="D13" i="1"/>
  <c r="D414" i="1"/>
  <c r="D834" i="1"/>
  <c r="D1389" i="1"/>
  <c r="D1777" i="1"/>
  <c r="D2194" i="1"/>
  <c r="D3525" i="1"/>
  <c r="D504" i="1"/>
  <c r="D959" i="1"/>
  <c r="D1394" i="1"/>
  <c r="D1781" i="1"/>
  <c r="D2197" i="1"/>
  <c r="D41" i="1"/>
  <c r="D500" i="1"/>
  <c r="D958" i="1"/>
  <c r="D1612" i="1"/>
  <c r="D257" i="1"/>
  <c r="D2752" i="1"/>
  <c r="D434" i="1"/>
  <c r="D2224" i="1"/>
  <c r="D617" i="1"/>
  <c r="D887" i="1"/>
  <c r="D3097" i="1"/>
  <c r="D1418" i="1"/>
  <c r="D1565" i="1"/>
  <c r="D1970" i="1"/>
  <c r="D524" i="1"/>
  <c r="D1628" i="1"/>
  <c r="D1641" i="1"/>
  <c r="D2057" i="1"/>
  <c r="D2463" i="1"/>
  <c r="D609" i="1"/>
  <c r="D1647" i="1"/>
  <c r="D2701" i="1"/>
  <c r="D692" i="1"/>
  <c r="D1890" i="1"/>
  <c r="D2704" i="1"/>
  <c r="D686" i="1"/>
  <c r="D1899" i="1"/>
  <c r="D2953" i="1"/>
  <c r="D800" i="1"/>
  <c r="D2152" i="1"/>
  <c r="D2958" i="1"/>
  <c r="D795" i="1"/>
  <c r="D2165" i="1"/>
  <c r="D3142" i="1"/>
  <c r="D2436" i="1"/>
  <c r="D2138" i="1"/>
  <c r="D482" i="1"/>
  <c r="D340" i="1"/>
  <c r="D2660" i="1"/>
  <c r="D1300" i="1"/>
  <c r="D2148" i="1"/>
  <c r="D2937" i="1"/>
  <c r="D3202" i="1"/>
  <c r="D3325" i="1"/>
  <c r="D581" i="1"/>
  <c r="D1583" i="1"/>
  <c r="D2422" i="1"/>
  <c r="D2943" i="1"/>
  <c r="D3206" i="1"/>
  <c r="D3328" i="1"/>
  <c r="D576" i="1"/>
  <c r="D1588" i="1"/>
  <c r="D2429" i="1"/>
  <c r="D1218" i="1"/>
  <c r="D1502" i="1"/>
  <c r="D1810" i="1"/>
  <c r="D3513" i="1"/>
  <c r="D561" i="1"/>
  <c r="D898" i="1"/>
  <c r="D1205" i="1"/>
  <c r="D1507" i="1"/>
  <c r="D1805" i="1"/>
  <c r="D33" i="1"/>
  <c r="D569" i="1"/>
  <c r="D905" i="1"/>
  <c r="D1375" i="1"/>
  <c r="D1693" i="1"/>
  <c r="D2047" i="1"/>
  <c r="D3516" i="1"/>
  <c r="D638" i="1"/>
  <c r="D1031" i="1"/>
  <c r="D1380" i="1"/>
  <c r="D1694" i="1"/>
  <c r="D2042" i="1"/>
  <c r="D62" i="1"/>
  <c r="D636" i="1"/>
  <c r="D1030" i="1"/>
  <c r="D1601" i="1"/>
  <c r="D1959" i="1"/>
  <c r="D2288" i="1"/>
  <c r="D96" i="1"/>
  <c r="D738" i="1"/>
  <c r="D1162" i="1"/>
  <c r="D1594" i="1"/>
  <c r="D1957" i="1"/>
  <c r="D2281" i="1"/>
  <c r="D102" i="1"/>
  <c r="D744" i="1"/>
  <c r="D1159" i="1"/>
  <c r="D1831" i="1"/>
  <c r="D1881" i="1"/>
  <c r="D3452" i="1"/>
  <c r="D2852" i="1"/>
  <c r="D538" i="1"/>
  <c r="D3366" i="1"/>
  <c r="D3382" i="1"/>
  <c r="D1661" i="1"/>
  <c r="D1745" i="1"/>
  <c r="D848" i="1"/>
  <c r="D2208" i="1"/>
  <c r="D972" i="1"/>
  <c r="D1982" i="1"/>
  <c r="D603" i="1"/>
  <c r="D1864" i="1"/>
  <c r="D92" i="1"/>
  <c r="D1112" i="1"/>
  <c r="D2064" i="1"/>
  <c r="D148" i="1"/>
  <c r="D1265" i="1"/>
  <c r="D2321" i="1"/>
  <c r="D152" i="1"/>
  <c r="D1256" i="1"/>
  <c r="D2332" i="1"/>
  <c r="D234" i="1"/>
  <c r="D1465" i="1"/>
  <c r="D2618" i="1"/>
  <c r="D230" i="1"/>
  <c r="D1461" i="1"/>
  <c r="D2627" i="1"/>
  <c r="D334" i="1"/>
  <c r="D2895" i="1"/>
  <c r="D2658" i="1"/>
  <c r="D2659" i="1"/>
  <c r="D931" i="1"/>
  <c r="D3002" i="1"/>
  <c r="D2150" i="1"/>
  <c r="D2669" i="1"/>
  <c r="D3203" i="1"/>
  <c r="D3511" i="1"/>
  <c r="D571" i="1"/>
  <c r="D1582" i="1"/>
  <c r="D2421" i="1"/>
  <c r="D2942" i="1"/>
  <c r="D3209" i="1"/>
  <c r="D3332" i="1"/>
  <c r="D582" i="1"/>
  <c r="D1587" i="1"/>
  <c r="D2431" i="1"/>
  <c r="D2949" i="1"/>
  <c r="D1501" i="1"/>
  <c r="D1803" i="1"/>
  <c r="D275" i="1"/>
  <c r="D560" i="1"/>
  <c r="D897" i="1"/>
  <c r="D1222" i="1"/>
  <c r="D1506" i="1"/>
  <c r="D1815" i="1"/>
  <c r="D32" i="1"/>
  <c r="D567" i="1"/>
  <c r="D904" i="1"/>
  <c r="D1208" i="1"/>
  <c r="D1692" i="1"/>
  <c r="D2046" i="1"/>
  <c r="D120" i="1"/>
  <c r="D630" i="1"/>
  <c r="D1024" i="1"/>
  <c r="D1388" i="1"/>
  <c r="D1691" i="1"/>
  <c r="D2041" i="1"/>
  <c r="D61" i="1"/>
  <c r="D635" i="1"/>
  <c r="D1029" i="1"/>
  <c r="D1371" i="1"/>
  <c r="D1958" i="1"/>
  <c r="D2287" i="1"/>
  <c r="D3524" i="1"/>
  <c r="D750" i="1"/>
  <c r="D1168" i="1"/>
  <c r="D1603" i="1"/>
  <c r="D1956" i="1"/>
  <c r="D2280" i="1"/>
  <c r="D101" i="1"/>
  <c r="D743" i="1"/>
  <c r="D1166" i="1"/>
  <c r="D1600" i="1"/>
  <c r="D1533" i="1"/>
  <c r="D1289" i="1"/>
  <c r="D2858" i="1"/>
  <c r="D3066" i="1"/>
  <c r="D1994" i="1"/>
  <c r="D3409" i="1"/>
  <c r="D270" i="1"/>
  <c r="D1931" i="1"/>
  <c r="D514" i="1"/>
  <c r="D2355" i="1"/>
  <c r="D1798" i="1"/>
  <c r="D2221" i="1"/>
  <c r="D868" i="1"/>
  <c r="D2053" i="1"/>
  <c r="D185" i="1"/>
  <c r="D1327" i="1"/>
  <c r="D2262" i="1"/>
  <c r="D279" i="1"/>
  <c r="D1537" i="1"/>
  <c r="D2525" i="1"/>
  <c r="D286" i="1"/>
  <c r="D1540" i="1"/>
  <c r="D2523" i="1"/>
  <c r="D375" i="1"/>
  <c r="D1828" i="1"/>
  <c r="D2754" i="1"/>
  <c r="D379" i="1"/>
  <c r="D1824" i="1"/>
  <c r="D2763" i="1"/>
  <c r="D477" i="1"/>
  <c r="D479" i="1"/>
  <c r="D2900" i="1"/>
  <c r="D2901" i="1"/>
  <c r="D1720" i="1"/>
  <c r="D484" i="1"/>
  <c r="D2445" i="1"/>
  <c r="D2905" i="1"/>
  <c r="D3510" i="1"/>
  <c r="D467" i="1"/>
  <c r="D1078" i="1"/>
  <c r="D2009" i="1"/>
  <c r="D2726" i="1"/>
  <c r="D3118" i="1"/>
  <c r="D3296" i="1"/>
  <c r="D450" i="1"/>
  <c r="D1084" i="1"/>
  <c r="D2010" i="1"/>
  <c r="D2738" i="1"/>
  <c r="D3124" i="1"/>
  <c r="D1662" i="1"/>
  <c r="D144" i="1"/>
  <c r="D305" i="1"/>
  <c r="D729" i="1"/>
  <c r="D1067" i="1"/>
  <c r="D1349" i="1"/>
  <c r="D1670" i="1"/>
  <c r="D5" i="1"/>
  <c r="D310" i="1"/>
  <c r="D736" i="1"/>
  <c r="D1061" i="1"/>
  <c r="D1340" i="1"/>
  <c r="D1916" i="1"/>
  <c r="D220" i="1"/>
  <c r="D408" i="1"/>
  <c r="D827" i="1"/>
  <c r="D1192" i="1"/>
  <c r="D1516" i="1"/>
  <c r="D1920" i="1"/>
  <c r="D18" i="1"/>
  <c r="D403" i="1"/>
  <c r="D822" i="1"/>
  <c r="D1188" i="1"/>
  <c r="D1513" i="1"/>
  <c r="D2205" i="1"/>
  <c r="D3521" i="1"/>
  <c r="D502" i="1"/>
  <c r="D953" i="1"/>
  <c r="D1393" i="1"/>
  <c r="D1779" i="1"/>
  <c r="D2195" i="1"/>
  <c r="D44" i="1"/>
  <c r="D509" i="1"/>
  <c r="D956" i="1"/>
  <c r="D1374" i="1"/>
  <c r="D1785" i="1"/>
  <c r="D2453" i="1"/>
  <c r="D252" i="1"/>
  <c r="D2376" i="1"/>
  <c r="D3008" i="1"/>
  <c r="D528" i="1"/>
  <c r="D3236" i="1"/>
  <c r="D3273" i="1"/>
  <c r="D1032" i="1"/>
  <c r="D1238" i="1"/>
  <c r="D756" i="1"/>
  <c r="D1975" i="1"/>
  <c r="D754" i="1"/>
  <c r="D600" i="1"/>
  <c r="D1107" i="1"/>
  <c r="D2252" i="1"/>
  <c r="D608" i="1"/>
  <c r="D1632" i="1"/>
  <c r="D2471" i="1"/>
  <c r="D691" i="1"/>
  <c r="D1897" i="1"/>
  <c r="D2698" i="1"/>
  <c r="D684" i="1"/>
  <c r="D1895" i="1"/>
  <c r="D2709" i="1"/>
  <c r="D798" i="1"/>
  <c r="D2163" i="1"/>
  <c r="D2963" i="1"/>
  <c r="D804" i="1"/>
  <c r="D2160" i="1"/>
  <c r="D2962" i="1"/>
  <c r="D924" i="1"/>
  <c r="D926" i="1"/>
  <c r="D3145" i="1"/>
  <c r="D3011" i="1"/>
  <c r="D2145" i="1"/>
  <c r="D932" i="1"/>
  <c r="D2668" i="1"/>
  <c r="D3003" i="1"/>
  <c r="D3327" i="1"/>
  <c r="D580" i="1"/>
  <c r="D1591" i="1"/>
  <c r="D2425" i="1"/>
  <c r="D2948" i="1"/>
  <c r="D3204" i="1"/>
  <c r="D3326" i="1"/>
  <c r="D575" i="1"/>
  <c r="D1586" i="1"/>
  <c r="D2427" i="1"/>
  <c r="D2946" i="1"/>
  <c r="D3214" i="1"/>
  <c r="D1802" i="1"/>
  <c r="D267" i="1"/>
  <c r="D559" i="1"/>
  <c r="D896" i="1"/>
  <c r="D1221" i="1"/>
  <c r="D1496" i="1"/>
  <c r="D1814" i="1"/>
  <c r="D31" i="1"/>
  <c r="D566" i="1"/>
  <c r="D903" i="1"/>
  <c r="D1200" i="1"/>
  <c r="D1495" i="1"/>
  <c r="D2045" i="1"/>
  <c r="D123" i="1"/>
  <c r="D629" i="1"/>
  <c r="D1023" i="1"/>
  <c r="D1379" i="1"/>
  <c r="D1703" i="1"/>
  <c r="D2040" i="1"/>
  <c r="D60" i="1"/>
  <c r="D634" i="1"/>
  <c r="D1018" i="1"/>
  <c r="D1370" i="1"/>
  <c r="D1699" i="1"/>
  <c r="D2286" i="1"/>
  <c r="D3522" i="1"/>
  <c r="D749" i="1"/>
  <c r="D1171" i="1"/>
  <c r="D1593" i="1"/>
  <c r="D1962" i="1"/>
  <c r="D2279" i="1"/>
  <c r="D100" i="1"/>
  <c r="D742" i="1"/>
  <c r="D1165" i="1"/>
  <c r="D1596" i="1"/>
  <c r="D1967" i="1"/>
  <c r="D2566" i="1"/>
  <c r="D1534" i="1"/>
  <c r="D2982" i="1"/>
  <c r="D542" i="1"/>
  <c r="D2229" i="1"/>
  <c r="D1995" i="1"/>
  <c r="D3392" i="1"/>
  <c r="D1414" i="1"/>
  <c r="D843" i="1"/>
  <c r="D1400" i="1"/>
  <c r="D1406" i="1"/>
  <c r="D973" i="1"/>
  <c r="D2259" i="1"/>
  <c r="D2052" i="1"/>
  <c r="D2467" i="1"/>
  <c r="D1630" i="1"/>
  <c r="D2469" i="1"/>
  <c r="D689" i="1"/>
  <c r="D1887" i="1"/>
  <c r="D2710" i="1"/>
  <c r="D694" i="1"/>
  <c r="D1893" i="1"/>
  <c r="D2707" i="1"/>
  <c r="D796" i="1"/>
  <c r="D2162" i="1"/>
  <c r="D2955" i="1"/>
  <c r="D803" i="1"/>
  <c r="D2158" i="1"/>
  <c r="D2961" i="1"/>
  <c r="D922" i="1"/>
  <c r="D1723" i="1"/>
  <c r="D1302" i="1"/>
  <c r="D3221" i="1"/>
  <c r="D3147" i="1"/>
  <c r="D2435" i="1"/>
  <c r="D1306" i="1"/>
  <c r="D2899" i="1"/>
  <c r="D3151" i="1"/>
  <c r="D466" i="1"/>
  <c r="D1077" i="1"/>
  <c r="D2008" i="1"/>
  <c r="D2736" i="1"/>
  <c r="D3117" i="1"/>
  <c r="D3295" i="1"/>
  <c r="D449" i="1"/>
  <c r="D1074" i="1"/>
  <c r="D2003" i="1"/>
  <c r="D2734" i="1"/>
  <c r="D3120" i="1"/>
  <c r="D3302" i="1"/>
  <c r="D143" i="1"/>
  <c r="D304" i="1"/>
  <c r="D728" i="1"/>
  <c r="D1066" i="1"/>
  <c r="D1348" i="1"/>
  <c r="D1669" i="1"/>
  <c r="D4" i="1"/>
  <c r="D309" i="1"/>
  <c r="D735" i="1"/>
  <c r="D1060" i="1"/>
  <c r="D1342" i="1"/>
  <c r="D1666" i="1"/>
  <c r="D219" i="1"/>
  <c r="D407" i="1"/>
  <c r="D826" i="1"/>
  <c r="D1199" i="1"/>
  <c r="D1515" i="1"/>
  <c r="D1919" i="1"/>
  <c r="D11" i="1"/>
  <c r="D402" i="1"/>
  <c r="D832" i="1"/>
  <c r="D1186" i="1"/>
  <c r="D1512" i="1"/>
  <c r="D1926" i="1"/>
  <c r="D3519" i="1"/>
  <c r="D513" i="1"/>
  <c r="D952" i="1"/>
  <c r="D1392" i="1"/>
  <c r="D1787" i="1"/>
  <c r="D2201" i="1"/>
  <c r="D39" i="1"/>
  <c r="D508" i="1"/>
  <c r="D948" i="1"/>
  <c r="D1373" i="1"/>
  <c r="D1774" i="1"/>
  <c r="D2204" i="1"/>
  <c r="D3527" i="1"/>
  <c r="D1122" i="1"/>
  <c r="D2604" i="1"/>
  <c r="D1954" i="1"/>
  <c r="D2581" i="1"/>
  <c r="D3109" i="1"/>
  <c r="D3408" i="1"/>
  <c r="D665" i="1"/>
  <c r="D1572" i="1"/>
  <c r="D515" i="1"/>
  <c r="D1622" i="1"/>
  <c r="D1173" i="1"/>
  <c r="D2461" i="1"/>
  <c r="D869" i="1"/>
  <c r="D611" i="1"/>
  <c r="D2589" i="1"/>
  <c r="D864" i="1"/>
  <c r="D2121" i="1"/>
  <c r="D2824" i="1"/>
  <c r="D1002" i="1"/>
  <c r="D2115" i="1"/>
  <c r="D2833" i="1"/>
  <c r="D1000" i="1"/>
  <c r="D2403" i="1"/>
  <c r="D3049" i="1"/>
  <c r="D1132" i="1"/>
  <c r="D2394" i="1"/>
  <c r="D3052" i="1"/>
  <c r="D1138" i="1"/>
  <c r="D2661" i="1"/>
  <c r="D2151" i="1"/>
  <c r="D1725" i="1"/>
  <c r="D338" i="1"/>
  <c r="D3222" i="1"/>
  <c r="D2657" i="1"/>
  <c r="D1721" i="1"/>
  <c r="D2994" i="1"/>
  <c r="D3218" i="1"/>
  <c r="D579" i="1"/>
  <c r="D1590" i="1"/>
  <c r="D2420" i="1"/>
  <c r="D2936" i="1"/>
  <c r="D3208" i="1"/>
  <c r="D3335" i="1"/>
  <c r="D570" i="1"/>
  <c r="D1585" i="1"/>
  <c r="D2426" i="1"/>
  <c r="D2941" i="1"/>
  <c r="D3213" i="1"/>
  <c r="D3334" i="1"/>
  <c r="D266" i="1"/>
  <c r="D558" i="1"/>
  <c r="D895" i="1"/>
  <c r="D1227" i="1"/>
  <c r="D1505" i="1"/>
  <c r="D1813" i="1"/>
  <c r="D30" i="1"/>
  <c r="D565" i="1"/>
  <c r="D902" i="1"/>
  <c r="D1207" i="1"/>
  <c r="D1500" i="1"/>
  <c r="D1809" i="1"/>
  <c r="D119" i="1"/>
  <c r="D628" i="1"/>
  <c r="D1022" i="1"/>
  <c r="D1387" i="1"/>
  <c r="D1702" i="1"/>
  <c r="D2049" i="1"/>
  <c r="D59" i="1"/>
  <c r="D633" i="1"/>
  <c r="D1028" i="1"/>
  <c r="D1369" i="1"/>
  <c r="D1698" i="1"/>
  <c r="D2051" i="1"/>
  <c r="D1451" i="1"/>
  <c r="D2800" i="1"/>
  <c r="D2863" i="1"/>
  <c r="D2893" i="1"/>
  <c r="D3430" i="1"/>
  <c r="D3440" i="1"/>
  <c r="D838" i="1"/>
  <c r="D1738" i="1"/>
  <c r="D516" i="1"/>
  <c r="D2349" i="1"/>
  <c r="D1397" i="1"/>
  <c r="D2586" i="1"/>
  <c r="D1108" i="1"/>
  <c r="D2058" i="1"/>
  <c r="D93" i="1"/>
  <c r="D1103" i="1"/>
  <c r="D2333" i="1"/>
  <c r="D157" i="1"/>
  <c r="D1266" i="1"/>
  <c r="D2322" i="1"/>
  <c r="D153" i="1"/>
  <c r="D1260" i="1"/>
  <c r="D2614" i="1"/>
  <c r="D226" i="1"/>
  <c r="D1457" i="1"/>
  <c r="D2619" i="1"/>
  <c r="D231" i="1"/>
  <c r="D1462" i="1"/>
  <c r="D2894" i="1"/>
  <c r="D2432" i="1"/>
  <c r="D2137" i="1"/>
  <c r="D2139" i="1"/>
  <c r="D331" i="1"/>
  <c r="D3217" i="1"/>
  <c r="D2147" i="1"/>
  <c r="D3149" i="1"/>
  <c r="D465" i="1"/>
  <c r="D1076" i="1"/>
  <c r="D2007" i="1"/>
  <c r="D2735" i="1"/>
  <c r="D3115" i="1"/>
  <c r="D3292" i="1"/>
  <c r="D448" i="1"/>
  <c r="D1083" i="1"/>
  <c r="D2005" i="1"/>
  <c r="D2733" i="1"/>
  <c r="D3119" i="1"/>
  <c r="D3301" i="1"/>
  <c r="D142" i="1"/>
  <c r="D303" i="1"/>
  <c r="D727" i="1"/>
  <c r="D1065" i="1"/>
  <c r="D1347" i="1"/>
  <c r="D1664" i="1"/>
  <c r="D3" i="1"/>
  <c r="D308" i="1"/>
  <c r="D734" i="1"/>
  <c r="D1071" i="1"/>
  <c r="D1353" i="1"/>
  <c r="D1674" i="1"/>
  <c r="D218" i="1"/>
  <c r="D406" i="1"/>
  <c r="D825" i="1"/>
  <c r="D1198" i="1"/>
  <c r="D1442" i="1"/>
  <c r="D2807" i="1"/>
  <c r="D2882" i="1"/>
  <c r="D3419" i="1"/>
  <c r="D3341" i="1"/>
  <c r="D1659" i="1"/>
  <c r="D1241" i="1"/>
  <c r="D1574" i="1"/>
  <c r="D1973" i="1"/>
  <c r="D114" i="1"/>
  <c r="D1627" i="1"/>
  <c r="D3508" i="1"/>
  <c r="D1334" i="1"/>
  <c r="D91" i="1"/>
  <c r="D1102" i="1"/>
  <c r="D2063" i="1"/>
  <c r="D147" i="1"/>
  <c r="D1264" i="1"/>
  <c r="D2328" i="1"/>
  <c r="D151" i="1"/>
  <c r="D1269" i="1"/>
  <c r="D2331" i="1"/>
  <c r="D225" i="1"/>
  <c r="D1456" i="1"/>
  <c r="D2626" i="1"/>
  <c r="D229" i="1"/>
  <c r="D1454" i="1"/>
  <c r="D2624" i="1"/>
  <c r="D333" i="1"/>
  <c r="D925" i="1"/>
  <c r="D3150" i="1"/>
  <c r="D3006" i="1"/>
  <c r="D3000" i="1"/>
  <c r="D1305" i="1"/>
  <c r="D2992" i="1"/>
  <c r="D921" i="1"/>
  <c r="D2004" i="1"/>
  <c r="D2729" i="1"/>
  <c r="D3113" i="1"/>
  <c r="D3303" i="1"/>
  <c r="D446" i="1"/>
  <c r="D1081" i="1"/>
  <c r="D127" i="1"/>
  <c r="D3168" i="1"/>
  <c r="D2919" i="1"/>
  <c r="D2484" i="1"/>
  <c r="D1747" i="1"/>
  <c r="D942" i="1"/>
  <c r="D350" i="1"/>
  <c r="D3171" i="1"/>
  <c r="D2909" i="1"/>
  <c r="D2475" i="1"/>
  <c r="D1750" i="1"/>
  <c r="D936" i="1"/>
  <c r="D345" i="1"/>
  <c r="D2976" i="1"/>
  <c r="D2648" i="1"/>
  <c r="D2185" i="1"/>
  <c r="D1490" i="1"/>
  <c r="D810" i="1"/>
  <c r="D246" i="1"/>
  <c r="D2964" i="1"/>
  <c r="D2651" i="1"/>
  <c r="D2188" i="1"/>
  <c r="D1484" i="1"/>
  <c r="D817" i="1"/>
  <c r="D239" i="1"/>
  <c r="D2723" i="1"/>
  <c r="D2342" i="1"/>
  <c r="D1911" i="1"/>
  <c r="D1276" i="1"/>
  <c r="D709" i="1"/>
  <c r="D168" i="1"/>
  <c r="D2718" i="1"/>
  <c r="D2339" i="1"/>
  <c r="D1905" i="1"/>
  <c r="D1281" i="1"/>
  <c r="D697" i="1"/>
  <c r="D161" i="1"/>
  <c r="D2450" i="1"/>
  <c r="D2032" i="1"/>
  <c r="D1610" i="1"/>
  <c r="D1089" i="1"/>
  <c r="D590" i="1"/>
  <c r="D80" i="1"/>
  <c r="D2456" i="1"/>
  <c r="D2039" i="1"/>
  <c r="D1619" i="1"/>
  <c r="D1093" i="1"/>
  <c r="D585" i="1"/>
  <c r="D2284" i="1"/>
  <c r="D1599" i="1"/>
  <c r="D740" i="1"/>
  <c r="D2290" i="1"/>
  <c r="D1604" i="1"/>
  <c r="D747" i="1"/>
  <c r="D1925" i="1"/>
  <c r="D1518" i="1"/>
  <c r="D412" i="1"/>
  <c r="D1521" i="1"/>
  <c r="D824" i="1"/>
  <c r="D1807" i="1"/>
  <c r="D1069" i="1"/>
  <c r="D730" i="1"/>
  <c r="D894" i="1"/>
  <c r="D452" i="1"/>
  <c r="D2940" i="1"/>
  <c r="D573" i="1"/>
  <c r="D2428" i="1"/>
  <c r="D2904" i="1"/>
  <c r="D2437" i="1"/>
  <c r="D2402" i="1"/>
  <c r="D1818" i="1"/>
  <c r="D999" i="1"/>
  <c r="D280" i="1"/>
  <c r="D2596" i="1"/>
  <c r="D2219" i="1"/>
  <c r="D1034" i="1"/>
  <c r="D3380" i="1"/>
  <c r="D2910" i="1"/>
  <c r="D2485" i="1"/>
  <c r="D1757" i="1"/>
  <c r="D944" i="1"/>
  <c r="D351" i="1"/>
  <c r="D3178" i="1"/>
  <c r="D2914" i="1"/>
  <c r="D2481" i="1"/>
  <c r="D1753" i="1"/>
  <c r="D938" i="1"/>
  <c r="D347" i="1"/>
  <c r="D3165" i="1"/>
  <c r="D2642" i="1"/>
  <c r="D2191" i="1"/>
  <c r="D1491" i="1"/>
  <c r="D812" i="1"/>
  <c r="D248" i="1"/>
  <c r="D2972" i="1"/>
  <c r="D2645" i="1"/>
  <c r="D2184" i="1"/>
  <c r="D1486" i="1"/>
  <c r="D819" i="1"/>
  <c r="D241" i="1"/>
  <c r="D2967" i="1"/>
  <c r="D2344" i="1"/>
  <c r="D1912" i="1"/>
  <c r="D1271" i="1"/>
  <c r="D704" i="1"/>
  <c r="D170" i="1"/>
  <c r="D2724" i="1"/>
  <c r="D2340" i="1"/>
  <c r="D1906" i="1"/>
  <c r="D1273" i="1"/>
  <c r="D699" i="1"/>
  <c r="D163" i="1"/>
  <c r="D2715" i="1"/>
  <c r="D2038" i="1"/>
  <c r="D1611" i="1"/>
  <c r="D1100" i="1"/>
  <c r="D592" i="1"/>
  <c r="D82" i="1"/>
  <c r="D2452" i="1"/>
  <c r="D2037" i="1"/>
  <c r="D1614" i="1"/>
  <c r="D1095" i="1"/>
  <c r="D587" i="1"/>
  <c r="D3528" i="1"/>
  <c r="D1091" i="1"/>
  <c r="D42" i="1"/>
  <c r="D1782" i="1"/>
  <c r="D960" i="1"/>
  <c r="D37" i="1"/>
  <c r="D1778" i="1"/>
  <c r="D949" i="1"/>
  <c r="D1924" i="1"/>
  <c r="D831" i="1"/>
  <c r="D411" i="1"/>
  <c r="D1520" i="1"/>
  <c r="D626" i="1"/>
  <c r="D1672" i="1"/>
  <c r="D1350" i="1"/>
  <c r="D1504" i="1"/>
  <c r="D726" i="1"/>
  <c r="D3329" i="1"/>
  <c r="D2732" i="1"/>
  <c r="D3330" i="1"/>
  <c r="D1581" i="1"/>
  <c r="D920" i="1"/>
  <c r="D2440" i="1"/>
  <c r="D1136" i="1"/>
  <c r="D384" i="1"/>
  <c r="D2831" i="1"/>
  <c r="D2524" i="1"/>
  <c r="D2460" i="1"/>
  <c r="D970" i="1"/>
  <c r="D890" i="1"/>
  <c r="D2264" i="1"/>
  <c r="D2688" i="1"/>
  <c r="D2178" i="1"/>
  <c r="D1365" i="1"/>
  <c r="D491" i="1"/>
  <c r="D3246" i="1"/>
  <c r="D3037" i="1"/>
  <c r="D2684" i="1"/>
  <c r="D2171" i="1"/>
  <c r="D1367" i="1"/>
  <c r="D497" i="1"/>
  <c r="D3241" i="1"/>
  <c r="D3041" i="1"/>
  <c r="D2417" i="1"/>
  <c r="D1857" i="1"/>
  <c r="D1154" i="1"/>
  <c r="D399" i="1"/>
  <c r="D3077" i="1"/>
  <c r="D2788" i="1"/>
  <c r="D2413" i="1"/>
  <c r="D1850" i="1"/>
  <c r="D1157" i="1"/>
  <c r="D393" i="1"/>
  <c r="D3080" i="1"/>
  <c r="D2784" i="1"/>
  <c r="D2136" i="1"/>
  <c r="D1563" i="1"/>
  <c r="D1008" i="1"/>
  <c r="D295" i="1"/>
  <c r="D2847" i="1"/>
  <c r="D2538" i="1"/>
  <c r="D2129" i="1"/>
  <c r="D1558" i="1"/>
  <c r="D1004" i="1"/>
  <c r="D290" i="1"/>
  <c r="D2841" i="1"/>
  <c r="D2531" i="1"/>
  <c r="D1843" i="1"/>
  <c r="D1315" i="1"/>
  <c r="D863" i="1"/>
  <c r="D174" i="1"/>
  <c r="D2565" i="1"/>
  <c r="D2237" i="1"/>
  <c r="D1842" i="1"/>
  <c r="D1321" i="1"/>
  <c r="D857" i="1"/>
  <c r="D178" i="1"/>
  <c r="D2571" i="1"/>
  <c r="D853" i="1"/>
  <c r="D2283" i="1"/>
  <c r="D1598" i="1"/>
  <c r="D751" i="1"/>
  <c r="D2278" i="1"/>
  <c r="D1592" i="1"/>
  <c r="D746" i="1"/>
  <c r="D1697" i="1"/>
  <c r="D1921" i="1"/>
  <c r="D57" i="1"/>
  <c r="D1378" i="1"/>
  <c r="D405" i="1"/>
  <c r="D1498" i="1"/>
  <c r="D732" i="1"/>
  <c r="D306" i="1"/>
  <c r="D557" i="1"/>
  <c r="D3300" i="1"/>
  <c r="D2419" i="1"/>
  <c r="D3291" i="1"/>
  <c r="D3125" i="1"/>
  <c r="D473" i="1"/>
  <c r="D2667" i="1"/>
  <c r="D805" i="1"/>
  <c r="D3048" i="1"/>
  <c r="D2703" i="1"/>
  <c r="D1871" i="1"/>
  <c r="D1643" i="1"/>
  <c r="D1974" i="1"/>
  <c r="D722" i="1"/>
  <c r="D547" i="1"/>
  <c r="D2477" i="1"/>
  <c r="D1758" i="1"/>
  <c r="D945" i="1"/>
  <c r="D352" i="1"/>
  <c r="D3173" i="1"/>
  <c r="D2915" i="1"/>
  <c r="D2482" i="1"/>
  <c r="D1751" i="1"/>
  <c r="D939" i="1"/>
  <c r="D356" i="1"/>
  <c r="D3167" i="1"/>
  <c r="D2911" i="1"/>
  <c r="D2192" i="1"/>
  <c r="D1492" i="1"/>
  <c r="D813" i="1"/>
  <c r="D249" i="1"/>
  <c r="D2973" i="1"/>
  <c r="D2646" i="1"/>
  <c r="D2179" i="1"/>
  <c r="D1487" i="1"/>
  <c r="D820" i="1"/>
  <c r="D242" i="1"/>
  <c r="D2966" i="1"/>
  <c r="D2649" i="1"/>
  <c r="D1913" i="1"/>
  <c r="D1278" i="1"/>
  <c r="D705" i="1"/>
  <c r="D171" i="1"/>
  <c r="D2720" i="1"/>
  <c r="D2341" i="1"/>
  <c r="D1907" i="1"/>
  <c r="D1283" i="1"/>
  <c r="D708" i="1"/>
  <c r="D164" i="1"/>
  <c r="D2712" i="1"/>
  <c r="D2345" i="1"/>
  <c r="D1617" i="1"/>
  <c r="D1090" i="1"/>
  <c r="D593" i="1"/>
  <c r="D75" i="1"/>
  <c r="D2447" i="1"/>
  <c r="D2028" i="1"/>
  <c r="D1615" i="1"/>
  <c r="D1096" i="1"/>
  <c r="D588" i="1"/>
  <c r="D3529" i="1"/>
  <c r="D2454" i="1"/>
  <c r="D584" i="1"/>
  <c r="D2202" i="1"/>
  <c r="D1385" i="1"/>
  <c r="D506" i="1"/>
  <c r="D2200" i="1"/>
  <c r="D1390" i="1"/>
  <c r="D501" i="1"/>
  <c r="D1511" i="1"/>
  <c r="D1195" i="1"/>
  <c r="D16" i="1"/>
  <c r="D223" i="1"/>
  <c r="D118" i="1"/>
  <c r="D1341" i="1"/>
  <c r="D563" i="1"/>
  <c r="D1663" i="1"/>
  <c r="D1343" i="1"/>
  <c r="D3212" i="1"/>
  <c r="D2002" i="1"/>
  <c r="D3215" i="1"/>
  <c r="D1579" i="1"/>
  <c r="D344" i="1"/>
  <c r="D478" i="1"/>
  <c r="D380" i="1"/>
  <c r="D3047" i="1"/>
  <c r="D2520" i="1"/>
  <c r="D1870" i="1"/>
  <c r="D1333" i="1"/>
  <c r="D2354" i="1"/>
  <c r="D3438" i="1"/>
  <c r="D1295" i="1"/>
  <c r="D2176" i="1"/>
  <c r="D1366" i="1"/>
  <c r="D492" i="1"/>
  <c r="D3250" i="1"/>
  <c r="D3044" i="1"/>
  <c r="D2696" i="1"/>
  <c r="D2166" i="1"/>
  <c r="D1361" i="1"/>
  <c r="D486" i="1"/>
  <c r="D3249" i="1"/>
  <c r="D3042" i="1"/>
  <c r="D2689" i="1"/>
  <c r="D1858" i="1"/>
  <c r="D1155" i="1"/>
  <c r="D400" i="1"/>
  <c r="D3083" i="1"/>
  <c r="D2789" i="1"/>
  <c r="D2409" i="1"/>
  <c r="D1846" i="1"/>
  <c r="D1144" i="1"/>
  <c r="D394" i="1"/>
  <c r="D3074" i="1"/>
  <c r="D2785" i="1"/>
  <c r="D2411" i="1"/>
  <c r="D1560" i="1"/>
  <c r="D1009" i="1"/>
  <c r="D296" i="1"/>
  <c r="D2843" i="1"/>
  <c r="D2533" i="1"/>
  <c r="D2126" i="1"/>
  <c r="D1550" i="1"/>
  <c r="D1014" i="1"/>
  <c r="D291" i="1"/>
  <c r="D2845" i="1"/>
  <c r="D2542" i="1"/>
  <c r="D2131" i="1"/>
  <c r="D1325" i="1"/>
  <c r="D851" i="1"/>
  <c r="D183" i="1"/>
  <c r="D2560" i="1"/>
  <c r="D2238" i="1"/>
  <c r="D1833" i="1"/>
  <c r="D1322" i="1"/>
  <c r="D858" i="1"/>
  <c r="D179" i="1"/>
  <c r="D2567" i="1"/>
  <c r="D2248" i="1"/>
  <c r="D175" i="1"/>
  <c r="D1965" i="1"/>
  <c r="D1164" i="1"/>
  <c r="D98" i="1"/>
  <c r="D1960" i="1"/>
  <c r="D1170" i="1"/>
  <c r="D3518" i="1"/>
  <c r="D413" i="1"/>
  <c r="D1026" i="1"/>
  <c r="D2054" i="1"/>
  <c r="D1509" i="1"/>
  <c r="D1072" i="1"/>
  <c r="D1224" i="1"/>
  <c r="D313" i="1"/>
  <c r="D1503" i="1"/>
  <c r="D725" i="1"/>
  <c r="D1085" i="1"/>
  <c r="D1578" i="1"/>
  <c r="D1079" i="1"/>
  <c r="D1075" i="1"/>
  <c r="D472" i="1"/>
  <c r="D335" i="1"/>
  <c r="D3046" i="1"/>
  <c r="D2950" i="1"/>
  <c r="D2114" i="1"/>
  <c r="D1633" i="1"/>
  <c r="D193" i="1"/>
  <c r="D965" i="1"/>
  <c r="D2774" i="1"/>
  <c r="D917" i="1"/>
  <c r="D1759" i="1"/>
  <c r="D946" i="1"/>
  <c r="D353" i="1"/>
  <c r="D3166" i="1"/>
  <c r="D2916" i="1"/>
  <c r="D2483" i="1"/>
  <c r="D1746" i="1"/>
  <c r="D940" i="1"/>
  <c r="D357" i="1"/>
  <c r="D3169" i="1"/>
  <c r="D2912" i="1"/>
  <c r="D2478" i="1"/>
  <c r="D1493" i="1"/>
  <c r="D814" i="1"/>
  <c r="D250" i="1"/>
  <c r="D2974" i="1"/>
  <c r="D2647" i="1"/>
  <c r="D2189" i="1"/>
  <c r="D1488" i="1"/>
  <c r="D808" i="1"/>
  <c r="D243" i="1"/>
  <c r="D2968" i="1"/>
  <c r="D2650" i="1"/>
  <c r="D2186" i="1"/>
  <c r="D1279" i="1"/>
  <c r="D706" i="1"/>
  <c r="D172" i="1"/>
  <c r="D2721" i="1"/>
  <c r="D2337" i="1"/>
  <c r="D1902" i="1"/>
  <c r="D1274" i="1"/>
  <c r="D700" i="1"/>
  <c r="D165" i="1"/>
  <c r="D2725" i="1"/>
  <c r="D2334" i="1"/>
  <c r="D1901" i="1"/>
  <c r="D1101" i="1"/>
  <c r="D594" i="1"/>
  <c r="D83" i="1"/>
  <c r="D2448" i="1"/>
  <c r="D2029" i="1"/>
  <c r="D1608" i="1"/>
  <c r="D1088" i="1"/>
  <c r="D595" i="1"/>
  <c r="D77" i="1"/>
  <c r="D2459" i="1"/>
  <c r="D2026" i="1"/>
  <c r="D3526" i="1"/>
  <c r="D1784" i="1"/>
  <c r="D961" i="1"/>
  <c r="D43" i="1"/>
  <c r="D1786" i="1"/>
  <c r="D951" i="1"/>
  <c r="D3517" i="1"/>
  <c r="D1923" i="1"/>
  <c r="D830" i="1"/>
  <c r="D1927" i="1"/>
  <c r="D1377" i="1"/>
  <c r="D311" i="1"/>
  <c r="D6" i="1"/>
  <c r="D29" i="1"/>
  <c r="D1346" i="1"/>
  <c r="D556" i="1"/>
  <c r="D3299" i="1"/>
  <c r="D3114" i="1"/>
  <c r="D3205" i="1"/>
  <c r="D578" i="1"/>
  <c r="D1719" i="1"/>
  <c r="D3223" i="1"/>
  <c r="D3059" i="1"/>
  <c r="D2765" i="1"/>
  <c r="D2113" i="1"/>
  <c r="D1328" i="1"/>
  <c r="D2599" i="1"/>
  <c r="D758" i="1"/>
  <c r="D3388" i="1"/>
  <c r="D916" i="1"/>
  <c r="D1356" i="1"/>
  <c r="D499" i="1"/>
  <c r="D3251" i="1"/>
  <c r="D3038" i="1"/>
  <c r="D2686" i="1"/>
  <c r="D2167" i="1"/>
  <c r="D1362" i="1"/>
  <c r="D487" i="1"/>
  <c r="D3244" i="1"/>
  <c r="D3033" i="1"/>
  <c r="D2690" i="1"/>
  <c r="D2169" i="1"/>
  <c r="D1145" i="1"/>
  <c r="D388" i="1"/>
  <c r="D3078" i="1"/>
  <c r="D2790" i="1"/>
  <c r="D2410" i="1"/>
  <c r="D1847" i="1"/>
  <c r="D1149" i="1"/>
  <c r="D395" i="1"/>
  <c r="D3081" i="1"/>
  <c r="D2795" i="1"/>
  <c r="D2416" i="1"/>
  <c r="D1844" i="1"/>
  <c r="D1017" i="1"/>
  <c r="D297" i="1"/>
  <c r="D2844" i="1"/>
  <c r="D2539" i="1"/>
  <c r="D2124" i="1"/>
  <c r="D1553" i="1"/>
  <c r="D1005" i="1"/>
  <c r="D301" i="1"/>
  <c r="D2849" i="1"/>
  <c r="D2534" i="1"/>
  <c r="D2128" i="1"/>
  <c r="D1549" i="1"/>
  <c r="D852" i="1"/>
  <c r="D189" i="1"/>
  <c r="D2561" i="1"/>
  <c r="D2236" i="1"/>
  <c r="D1834" i="1"/>
  <c r="D1323" i="1"/>
  <c r="D859" i="1"/>
  <c r="D180" i="1"/>
  <c r="D2568" i="1"/>
  <c r="D2241" i="1"/>
  <c r="D1830" i="1"/>
  <c r="D2285" i="1"/>
  <c r="D1595" i="1"/>
  <c r="D741" i="1"/>
  <c r="D2291" i="1"/>
  <c r="D1605" i="1"/>
  <c r="D748" i="1"/>
  <c r="D1197" i="1"/>
  <c r="D1696" i="1"/>
  <c r="D639" i="1"/>
  <c r="D828" i="1"/>
  <c r="D1191" i="1"/>
  <c r="D35" i="1"/>
  <c r="D1352" i="1"/>
  <c r="D1073" i="1"/>
  <c r="D1220" i="1"/>
  <c r="D302" i="1"/>
  <c r="D3211" i="1"/>
  <c r="D2001" i="1"/>
  <c r="D3116" i="1"/>
  <c r="D2443" i="1"/>
  <c r="D1298" i="1"/>
  <c r="D3216" i="1"/>
  <c r="D2957" i="1"/>
  <c r="D2123" i="1"/>
  <c r="D1889" i="1"/>
  <c r="D875" i="1"/>
  <c r="D1113" i="1"/>
  <c r="D1742" i="1"/>
  <c r="D2867" i="1"/>
  <c r="D2989" i="1"/>
  <c r="D947" i="1"/>
  <c r="D354" i="1"/>
  <c r="D3174" i="1"/>
  <c r="D2917" i="1"/>
  <c r="D2474" i="1"/>
  <c r="D1754" i="1"/>
  <c r="D941" i="1"/>
  <c r="D348" i="1"/>
  <c r="D3170" i="1"/>
  <c r="D2921" i="1"/>
  <c r="D2487" i="1"/>
  <c r="D1748" i="1"/>
  <c r="D815" i="1"/>
  <c r="D238" i="1"/>
  <c r="D2965" i="1"/>
  <c r="D2653" i="1"/>
  <c r="D2180" i="1"/>
  <c r="D1480" i="1"/>
  <c r="D809" i="1"/>
  <c r="D244" i="1"/>
  <c r="D2969" i="1"/>
  <c r="D2644" i="1"/>
  <c r="D2183" i="1"/>
  <c r="D1482" i="1"/>
  <c r="D707" i="1"/>
  <c r="D173" i="1"/>
  <c r="D2722" i="1"/>
  <c r="D2336" i="1"/>
  <c r="D1903" i="1"/>
  <c r="D1275" i="1"/>
  <c r="D701" i="1"/>
  <c r="D166" i="1"/>
  <c r="D2716" i="1"/>
  <c r="D2346" i="1"/>
  <c r="D1900" i="1"/>
  <c r="D1280" i="1"/>
  <c r="D597" i="1"/>
  <c r="D84" i="1"/>
  <c r="D2446" i="1"/>
  <c r="D2030" i="1"/>
  <c r="D1616" i="1"/>
  <c r="D1097" i="1"/>
  <c r="D589" i="1"/>
  <c r="D78" i="1"/>
  <c r="D2455" i="1"/>
  <c r="D2035" i="1"/>
  <c r="D1613" i="1"/>
  <c r="D1386" i="1"/>
  <c r="D510" i="1"/>
  <c r="D2196" i="1"/>
  <c r="D1384" i="1"/>
  <c r="D503" i="1"/>
  <c r="D2199" i="1"/>
  <c r="D404" i="1"/>
  <c r="D1519" i="1"/>
  <c r="D401" i="1"/>
  <c r="D10" i="1"/>
  <c r="D1021" i="1"/>
  <c r="D9" i="1"/>
  <c r="D1223" i="1"/>
  <c r="D307" i="1"/>
  <c r="D145" i="1"/>
  <c r="D274" i="1"/>
  <c r="D3123" i="1"/>
  <c r="D1580" i="1"/>
  <c r="D2939" i="1"/>
  <c r="D485" i="1"/>
  <c r="D930" i="1"/>
  <c r="D3509" i="1"/>
  <c r="D2761" i="1"/>
  <c r="D2120" i="1"/>
  <c r="D1543" i="1"/>
  <c r="D874" i="1"/>
  <c r="D464" i="1"/>
  <c r="D1422" i="1"/>
  <c r="D624" i="1"/>
  <c r="D362" i="1"/>
  <c r="P2523" i="1"/>
  <c r="D493" i="1"/>
  <c r="D3247" i="1"/>
  <c r="D3039" i="1"/>
  <c r="D2693" i="1"/>
  <c r="D2174" i="1"/>
  <c r="D1363" i="1"/>
  <c r="D488" i="1"/>
  <c r="D3254" i="1"/>
  <c r="D3034" i="1"/>
  <c r="D2691" i="1"/>
  <c r="D2168" i="1"/>
  <c r="D1357" i="1"/>
  <c r="D389" i="1"/>
  <c r="D3079" i="1"/>
  <c r="D2793" i="1"/>
  <c r="D2414" i="1"/>
  <c r="D1854" i="1"/>
  <c r="D1150" i="1"/>
  <c r="D387" i="1"/>
  <c r="D3075" i="1"/>
  <c r="D2783" i="1"/>
  <c r="D2412" i="1"/>
  <c r="D1845" i="1"/>
  <c r="D1156" i="1"/>
  <c r="D298" i="1"/>
  <c r="D2838" i="1"/>
  <c r="D2540" i="1"/>
  <c r="D2127" i="1"/>
  <c r="D1554" i="1"/>
  <c r="D1015" i="1"/>
  <c r="D292" i="1"/>
  <c r="D2850" i="1"/>
  <c r="D2535" i="1"/>
  <c r="D2132" i="1"/>
  <c r="D1556" i="1"/>
  <c r="D1010" i="1"/>
  <c r="D184" i="1"/>
  <c r="D2562" i="1"/>
  <c r="D2239" i="1"/>
  <c r="D1835" i="1"/>
  <c r="D1313" i="1"/>
  <c r="D850" i="1"/>
  <c r="D181" i="1"/>
  <c r="D2559" i="1"/>
  <c r="D2242" i="1"/>
  <c r="D1839" i="1"/>
  <c r="D1317" i="1"/>
  <c r="D511" i="1"/>
  <c r="D2198" i="1"/>
  <c r="D1395" i="1"/>
  <c r="D505" i="1"/>
  <c r="D2206" i="1"/>
  <c r="D1383" i="1"/>
  <c r="D64" i="1"/>
  <c r="D1382" i="1"/>
  <c r="D1517" i="1"/>
  <c r="D2067" i="1"/>
  <c r="D1917" i="1"/>
  <c r="D1808" i="1"/>
  <c r="D1070" i="1"/>
  <c r="D36" i="1"/>
  <c r="D1345" i="1"/>
  <c r="D2739" i="1"/>
  <c r="D2945" i="1"/>
  <c r="D1082" i="1"/>
  <c r="D444" i="1"/>
  <c r="D343" i="1"/>
  <c r="D929" i="1"/>
  <c r="D3139" i="1"/>
  <c r="D2400" i="1"/>
  <c r="D1898" i="1"/>
  <c r="D996" i="1"/>
  <c r="D598" i="1"/>
  <c r="D1801" i="1"/>
  <c r="D1228" i="1"/>
  <c r="D772" i="1"/>
  <c r="D2927" i="1"/>
  <c r="D355" i="1"/>
  <c r="D3175" i="1"/>
  <c r="D2918" i="1"/>
  <c r="D2476" i="1"/>
  <c r="D1755" i="1"/>
  <c r="D934" i="1"/>
  <c r="D349" i="1"/>
  <c r="D3177" i="1"/>
  <c r="D2908" i="1"/>
  <c r="D2479" i="1"/>
  <c r="D1749" i="1"/>
  <c r="D935" i="1"/>
  <c r="D251" i="1"/>
  <c r="D2975" i="1"/>
  <c r="D2643" i="1"/>
  <c r="D2181" i="1"/>
  <c r="D1489" i="1"/>
  <c r="D821" i="1"/>
  <c r="D245" i="1"/>
  <c r="D2970" i="1"/>
  <c r="D2655" i="1"/>
  <c r="D2187" i="1"/>
  <c r="D1483" i="1"/>
  <c r="D816" i="1"/>
  <c r="D156" i="1"/>
  <c r="D2713" i="1"/>
  <c r="D2338" i="1"/>
  <c r="D1904" i="1"/>
  <c r="D1270" i="1"/>
  <c r="D702" i="1"/>
  <c r="D167" i="1"/>
  <c r="D2717" i="1"/>
  <c r="D2347" i="1"/>
  <c r="D1909" i="1"/>
  <c r="D1272" i="1"/>
  <c r="D696" i="1"/>
  <c r="D85" i="1"/>
  <c r="D2449" i="1"/>
  <c r="D2031" i="1"/>
  <c r="D1609" i="1"/>
  <c r="D1098" i="1"/>
  <c r="D596" i="1"/>
  <c r="D79" i="1"/>
  <c r="D2451" i="1"/>
  <c r="D2036" i="1"/>
  <c r="D1607" i="1"/>
  <c r="D1092" i="1"/>
  <c r="D105" i="1"/>
  <c r="D1964" i="1"/>
  <c r="D1169" i="1"/>
  <c r="D97" i="1"/>
  <c r="D1969" i="1"/>
  <c r="D1160" i="1"/>
  <c r="D15" i="1"/>
  <c r="D1187" i="1"/>
  <c r="D835" i="1"/>
  <c r="D1915" i="1"/>
  <c r="D1190" i="1"/>
  <c r="D724" i="1"/>
  <c r="D901" i="1"/>
  <c r="D2" i="1"/>
  <c r="D1219" i="1"/>
  <c r="D1087" i="1"/>
  <c r="D468" i="1"/>
  <c r="D574" i="1"/>
  <c r="D2947" i="1"/>
  <c r="D3228" i="1"/>
  <c r="D2897" i="1"/>
  <c r="D2998" i="1"/>
  <c r="D2399" i="1"/>
  <c r="D1547" i="1"/>
  <c r="D995" i="1"/>
  <c r="D199" i="1"/>
  <c r="D1398" i="1"/>
  <c r="D1043" i="1"/>
  <c r="D3394" i="1"/>
  <c r="D1760" i="1"/>
  <c r="D3252" i="1"/>
  <c r="D3040" i="1"/>
  <c r="D2687" i="1"/>
  <c r="D2175" i="1"/>
  <c r="D1354" i="1"/>
  <c r="D498" i="1"/>
  <c r="D3243" i="1"/>
  <c r="D3035" i="1"/>
  <c r="D2685" i="1"/>
  <c r="D2173" i="1"/>
  <c r="D1358" i="1"/>
  <c r="D494" i="1"/>
  <c r="D3084" i="1"/>
  <c r="D2791" i="1"/>
  <c r="D2406" i="1"/>
  <c r="D1855" i="1"/>
  <c r="D1151" i="1"/>
  <c r="D396" i="1"/>
  <c r="D3076" i="1"/>
  <c r="D2782" i="1"/>
  <c r="D2407" i="1"/>
  <c r="D1848" i="1"/>
  <c r="D1146" i="1"/>
  <c r="D390" i="1"/>
  <c r="D2839" i="1"/>
  <c r="D2532" i="1"/>
  <c r="D2125" i="1"/>
  <c r="D1551" i="1"/>
  <c r="D1016" i="1"/>
  <c r="D293" i="1"/>
  <c r="D2851" i="1"/>
  <c r="D2536" i="1"/>
  <c r="D2133" i="1"/>
  <c r="D1561" i="1"/>
  <c r="D1011" i="1"/>
  <c r="D299" i="1"/>
  <c r="D2558" i="1"/>
  <c r="D2240" i="1"/>
  <c r="D1836" i="1"/>
  <c r="D1314" i="1"/>
  <c r="D860" i="1"/>
  <c r="D187" i="1"/>
  <c r="D2563" i="1"/>
  <c r="D2243" i="1"/>
  <c r="D1832" i="1"/>
  <c r="D1318" i="1"/>
  <c r="D854" i="1"/>
  <c r="D45" i="1"/>
  <c r="D1783" i="1"/>
  <c r="D955" i="1"/>
  <c r="D38" i="1"/>
  <c r="D1773" i="1"/>
  <c r="D950" i="1"/>
  <c r="D2050" i="1"/>
  <c r="D12" i="1"/>
  <c r="D632" i="1"/>
  <c r="D1690" i="1"/>
  <c r="D1020" i="1"/>
  <c r="D8" i="1"/>
  <c r="D1665" i="1"/>
  <c r="D1812" i="1"/>
  <c r="D1064" i="1"/>
  <c r="D583" i="1"/>
  <c r="D3122" i="1"/>
  <c r="D2737" i="1"/>
  <c r="D2730" i="1"/>
  <c r="D1729" i="1"/>
  <c r="D2664" i="1"/>
  <c r="D2392" i="1"/>
  <c r="D2155" i="1"/>
  <c r="D991" i="1"/>
  <c r="D682" i="1"/>
  <c r="D2588" i="1"/>
  <c r="D1181" i="1"/>
  <c r="D1042" i="1"/>
  <c r="D3482" i="1"/>
  <c r="D2676" i="1"/>
  <c r="P2355" i="1"/>
  <c r="P2366" i="1"/>
  <c r="P1514" i="1"/>
  <c r="P2558" i="1"/>
  <c r="P2535" i="1"/>
  <c r="P2390" i="1"/>
  <c r="P2547" i="1"/>
  <c r="P2354" i="1"/>
  <c r="P2534" i="1"/>
  <c r="P2546" i="1"/>
  <c r="P1526" i="1"/>
  <c r="P2367" i="1"/>
  <c r="P2379" i="1"/>
  <c r="P2559" i="1"/>
  <c r="P2378" i="1"/>
  <c r="P1191" i="1"/>
  <c r="P2522" i="1"/>
  <c r="P2391" i="1"/>
  <c r="P1358" i="1"/>
  <c r="P1370" i="1"/>
  <c r="P1190" i="1"/>
  <c r="P1203" i="1"/>
  <c r="P1202" i="1"/>
  <c r="P1215" i="1"/>
  <c r="P1214" i="1"/>
  <c r="P1382" i="1"/>
  <c r="P1179" i="1"/>
  <c r="P1346" i="1"/>
  <c r="P11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B1" authorId="0" shapeId="0" xr:uid="{83806C91-E71A-45BD-9F2C-51929677519F}">
      <text>
        <r>
          <rPr>
            <sz val="11"/>
            <color theme="1"/>
            <rFont val="Calibri"/>
            <family val="2"/>
            <scheme val="minor"/>
          </rPr>
          <t>Luc St. Michel:
From Outer Loop to Inner Loop</t>
        </r>
      </text>
    </comment>
  </commentList>
</comments>
</file>

<file path=xl/sharedStrings.xml><?xml version="1.0" encoding="utf-8"?>
<sst xmlns="http://schemas.openxmlformats.org/spreadsheetml/2006/main" count="28" uniqueCount="26">
  <si>
    <t>disaDegC</t>
  </si>
  <si>
    <t>densAlt_ft</t>
  </si>
  <si>
    <t>KEAS</t>
  </si>
  <si>
    <t>RPM</t>
  </si>
  <si>
    <t>SHP</t>
  </si>
  <si>
    <t>advJ</t>
  </si>
  <si>
    <t>tipMach</t>
  </si>
  <si>
    <t>Cp</t>
  </si>
  <si>
    <t>Ct</t>
  </si>
  <si>
    <t>eta</t>
  </si>
  <si>
    <t>thrust_lbf</t>
  </si>
  <si>
    <t>sheet</t>
  </si>
  <si>
    <t>XYVAR</t>
  </si>
  <si>
    <t>params</t>
  </si>
  <si>
    <t>data</t>
  </si>
  <si>
    <t>RPM,densAlt_ft,KEAS,SHP</t>
  </si>
  <si>
    <t>advJ,tipMach,Cp,Ct,eta,thrust_lbf</t>
  </si>
  <si>
    <t>RPM_schedule</t>
  </si>
  <si>
    <t>RPMsheet</t>
  </si>
  <si>
    <t>KwmdDrag</t>
  </si>
  <si>
    <t>slipStream</t>
  </si>
  <si>
    <t>ct_cp</t>
  </si>
  <si>
    <t>power_kW</t>
  </si>
  <si>
    <t>rho</t>
  </si>
  <si>
    <t>KTAS</t>
  </si>
  <si>
    <t>thrust_N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</si>
</sst>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advJ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data!$B$2:$B$3529</c:f>
              <c:numCache>
                <c:formatCode>General</c:formatCode>
                <c:ptCount val="4"/>
                <c:pt idx="0">
                  <c:v>30000</c:v>
                </c:pt>
                <c:pt idx="1">
                  <c:v>10000</c:v>
                </c:pt>
                <c:pt idx="2">
                  <c:v>10000</c:v>
                </c:pt>
                <c:pt idx="3">
                  <c:v>25000</c:v>
                </c:pt>
              </c:numCache>
            </c:numRef>
          </c:xVal>
          <c:yVal>
            <c:numRef>
              <c:f>data!$J$2:$J$3529</c:f>
              <c:numCache>
                <c:formatCode>General</c:formatCode>
                <c:ptCount val="4"/>
                <c:pt idx="0">
                  <c:v>1.9934000000000001</c:v>
                </c:pt>
                <c:pt idx="1">
                  <c:v>1.8368</c:v>
                </c:pt>
                <c:pt idx="2">
                  <c:v>2.0205000000000002</c:v>
                </c:pt>
                <c:pt idx="3">
                  <c:v>2.0238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D-4345-838F-30FA5F75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550559"/>
        <c:axId val="2048535199"/>
      </c:scatterChart>
      <c:valAx>
        <c:axId val="204855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35199"/>
        <c:crosses val="autoZero"/>
        <c:crossBetween val="midCat"/>
      </c:valAx>
      <c:valAx>
        <c:axId val="20485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5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SHP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data!$B$2:$B$3529</c:f>
              <c:numCache>
                <c:formatCode>General</c:formatCode>
                <c:ptCount val="4"/>
                <c:pt idx="0">
                  <c:v>30000</c:v>
                </c:pt>
                <c:pt idx="1">
                  <c:v>10000</c:v>
                </c:pt>
                <c:pt idx="2">
                  <c:v>10000</c:v>
                </c:pt>
                <c:pt idx="3">
                  <c:v>25000</c:v>
                </c:pt>
              </c:numCache>
            </c:numRef>
          </c:xVal>
          <c:yVal>
            <c:numRef>
              <c:f>data!$G$2:$G$3529</c:f>
              <c:numCache>
                <c:formatCode>General</c:formatCode>
                <c:ptCount val="4"/>
                <c:pt idx="0">
                  <c:v>1000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B5-4FCF-80CC-DB48CCE41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550559"/>
        <c:axId val="2048538079"/>
      </c:scatterChart>
      <c:valAx>
        <c:axId val="204855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38079"/>
        <c:crosses val="autoZero"/>
        <c:crossBetween val="midCat"/>
      </c:valAx>
      <c:valAx>
        <c:axId val="20485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5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data!$P$1</c:f>
              <c:strCache>
                <c:ptCount val="1"/>
                <c:pt idx="0">
                  <c:v>ct_cp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data!$J$2:$J$3529</c:f>
              <c:numCache>
                <c:formatCode>General</c:formatCode>
                <c:ptCount val="4"/>
                <c:pt idx="0">
                  <c:v>1.9934000000000001</c:v>
                </c:pt>
                <c:pt idx="1">
                  <c:v>1.8368</c:v>
                </c:pt>
                <c:pt idx="2">
                  <c:v>2.0205000000000002</c:v>
                </c:pt>
                <c:pt idx="3">
                  <c:v>2.0238</c:v>
                </c:pt>
              </c:numCache>
            </c:numRef>
          </c:xVal>
          <c:yVal>
            <c:numRef>
              <c:f>data!$P$2:$P$3529</c:f>
              <c:numCache>
                <c:formatCode>General</c:formatCode>
                <c:ptCount val="4"/>
                <c:pt idx="0">
                  <c:v>0.43424947145877379</c:v>
                </c:pt>
                <c:pt idx="1">
                  <c:v>0.48734177215189878</c:v>
                </c:pt>
                <c:pt idx="2">
                  <c:v>0.44345991561181436</c:v>
                </c:pt>
                <c:pt idx="3">
                  <c:v>0.43291447101743008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7-4CDD-89E9-9768FC2CC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387823"/>
        <c:axId val="464383023"/>
      </c:scatterChart>
      <c:valAx>
        <c:axId val="46438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3023"/>
        <c:crosses val="autoZero"/>
        <c:crossBetween val="midCat"/>
      </c:valAx>
      <c:valAx>
        <c:axId val="464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8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RPM_schedule!$B$1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RPM_schedule!$A$2:$A$16</c:f>
              <c:numCache>
                <c:formatCode>General</c:formatCode>
                <c:ptCount val="1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1105</c:v>
                </c:pt>
                <c:pt idx="12">
                  <c:v>2000</c:v>
                </c:pt>
                <c:pt idx="13">
                  <c:v>2500</c:v>
                </c:pt>
                <c:pt idx="14">
                  <c:v>2750</c:v>
                </c:pt>
              </c:numCache>
            </c:numRef>
          </c:xVal>
          <c:yVal>
            <c:numRef>
              <c:f>RPM_schedule!$B$2:$B$16</c:f>
              <c:numCache>
                <c:formatCode>General</c:formatCode>
                <c:ptCount val="15"/>
                <c:pt idx="0">
                  <c:v>987</c:v>
                </c:pt>
                <c:pt idx="1">
                  <c:v>987</c:v>
                </c:pt>
                <c:pt idx="2">
                  <c:v>987</c:v>
                </c:pt>
                <c:pt idx="3">
                  <c:v>987</c:v>
                </c:pt>
                <c:pt idx="4">
                  <c:v>987</c:v>
                </c:pt>
                <c:pt idx="5">
                  <c:v>987</c:v>
                </c:pt>
                <c:pt idx="6">
                  <c:v>987</c:v>
                </c:pt>
                <c:pt idx="7">
                  <c:v>987</c:v>
                </c:pt>
                <c:pt idx="8">
                  <c:v>987</c:v>
                </c:pt>
                <c:pt idx="9">
                  <c:v>987</c:v>
                </c:pt>
                <c:pt idx="10">
                  <c:v>987</c:v>
                </c:pt>
                <c:pt idx="11">
                  <c:v>987</c:v>
                </c:pt>
                <c:pt idx="12">
                  <c:v>1180</c:v>
                </c:pt>
                <c:pt idx="13">
                  <c:v>1200</c:v>
                </c:pt>
                <c:pt idx="14">
                  <c:v>1215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E-408F-89CD-BC1B5F11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13807"/>
        <c:axId val="1759220383"/>
      </c:scatterChart>
      <c:valAx>
        <c:axId val="17417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20383"/>
        <c:crosses val="autoZero"/>
        <c:crossBetween val="midCat"/>
      </c:valAx>
      <c:valAx>
        <c:axId val="17592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347662</xdr:colOff>
      <xdr:row>2545</xdr:row>
      <xdr:rowOff>80962</xdr:rowOff>
    </xdr:from>
    <xdr:to>
      <xdr:col>27</xdr:col>
      <xdr:colOff>80962</xdr:colOff>
      <xdr:row>2559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5A92C-03DA-8C15-5B6B-BD892539B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185737</xdr:colOff>
      <xdr:row>2529</xdr:row>
      <xdr:rowOff>80962</xdr:rowOff>
    </xdr:from>
    <xdr:to>
      <xdr:col>26</xdr:col>
      <xdr:colOff>490537</xdr:colOff>
      <xdr:row>2543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DD003F-9779-0579-AF44-75DF0D9D4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987137</xdr:colOff>
      <xdr:row>12</xdr:row>
      <xdr:rowOff>178954</xdr:rowOff>
    </xdr:from>
    <xdr:to>
      <xdr:col>38</xdr:col>
      <xdr:colOff>536863</xdr:colOff>
      <xdr:row>42</xdr:row>
      <xdr:rowOff>46182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589A9-43B0-E2F5-65B9-281DD2AAA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3</xdr:row>
      <xdr:rowOff>167640</xdr:rowOff>
    </xdr:from>
    <xdr:to>
      <xdr:col>11</xdr:col>
      <xdr:colOff>238125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9B5BC-BFDE-EC76-94D2-D7B0DC045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A85C-4C02-4F0C-800E-0D096954A9D5}">
  <dimension ref="A1:F2"/>
  <sheetViews>
    <sheetView zoomScale="115" zoomScaleNormal="115" workbookViewId="0">
      <selection activeCell="F1" sqref="F1"/>
    </sheetView>
  </sheetViews>
  <sheetFormatPr defaultRowHeight="15" x14ac:dyDescent="0.25"/>
  <cols>
    <col min="2" max="2" width="22.5703125" bestFit="1" customWidth="1"/>
    <col min="3" max="3" width="29.28515625" bestFit="1" customWidth="1"/>
    <col min="4" max="4" width="13" bestFit="1" customWidth="1"/>
    <col min="5" max="5" width="9.85546875" bestFit="1" customWidth="1"/>
  </cols>
  <sheetData>
    <row r="1" spans="1:6" x14ac:dyDescent="0.25">
      <c r="A1" t="s">
        <v>11</v>
      </c>
      <c r="B1" t="s">
        <v>12</v>
      </c>
      <c r="C1" t="s">
        <v>13</v>
      </c>
      <c r="D1" t="s">
        <v>18</v>
      </c>
      <c r="E1" t="s">
        <v>19</v>
      </c>
      <c r="F1" t="s">
        <v>20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>
        <f>0.2415</f>
        <v>0.24149999999999999</v>
      </c>
      <c r="F2">
        <v>0.98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529"/>
  <sheetViews>
    <sheetView tabSelected="1" zoomScale="84" zoomScaleNormal="70" workbookViewId="0">
      <pane xSplit="1" ySplit="1" topLeftCell="B2005" activePane="bottomRight" state="frozen"/>
      <selection pane="topRight" activeCell="B1" sqref="B1"/>
      <selection pane="bottomLeft" activeCell="A2" sqref="A2"/>
      <selection pane="bottomRight" activeCell="J3555" sqref="J3555"/>
    </sheetView>
  </sheetViews>
  <sheetFormatPr defaultRowHeight="15" x14ac:dyDescent="0.25"/>
  <cols>
    <col min="1" max="13" width="18.85546875" customWidth="1"/>
    <col min="15" max="15" width="18.85546875" customWidth="1"/>
  </cols>
  <sheetData>
    <row r="1" spans="1:16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2</v>
      </c>
      <c r="F1" s="1" t="s">
        <v>3</v>
      </c>
      <c r="G1" s="1" t="s">
        <v>4</v>
      </c>
      <c r="H1" s="1" t="s">
        <v>22</v>
      </c>
      <c r="I1" s="1" t="s">
        <v>9</v>
      </c>
      <c r="J1" s="1" t="s">
        <v>5</v>
      </c>
      <c r="K1" s="1" t="s">
        <v>6</v>
      </c>
      <c r="L1" s="1" t="s">
        <v>7</v>
      </c>
      <c r="M1" s="1" t="s">
        <v>8</v>
      </c>
      <c r="N1" s="3" t="s">
        <v>25</v>
      </c>
      <c r="O1" s="1" t="s">
        <v>10</v>
      </c>
      <c r="P1" s="3" t="s">
        <v>21</v>
      </c>
    </row>
    <row r="2" spans="1:16" hidden="1" x14ac:dyDescent="0.25">
      <c r="A2">
        <v>0</v>
      </c>
      <c r="B2">
        <v>0</v>
      </c>
      <c r="C2">
        <f>1.225 * (1 - 0.00000687559 * B2) ^ 4.2561</f>
        <v>1.2250000000000001</v>
      </c>
      <c r="D2">
        <f>E2*(SQRT($C$2/C2))</f>
        <v>120</v>
      </c>
      <c r="E2">
        <v>120</v>
      </c>
      <c r="F2">
        <v>1215</v>
      </c>
      <c r="G2">
        <v>200</v>
      </c>
      <c r="H2">
        <f>CONVERT(G2,"HP","kW")</f>
        <v>149.13997431645407</v>
      </c>
      <c r="I2">
        <v>-0.87870000000000004</v>
      </c>
      <c r="J2">
        <v>0.76939999999999997</v>
      </c>
      <c r="K2">
        <v>0.54930000000000001</v>
      </c>
      <c r="L2">
        <v>1.4999999999999999E-2</v>
      </c>
      <c r="M2">
        <v>-1.7100000000000001E-2</v>
      </c>
      <c r="N2">
        <f>CONVERT(O2,"lbf","N")</f>
        <v>-2122.6913548023103</v>
      </c>
      <c r="O2">
        <v>-477.2</v>
      </c>
      <c r="P2">
        <f>M2/L2</f>
        <v>-1.1400000000000001</v>
      </c>
    </row>
    <row r="3" spans="1:16" hidden="1" x14ac:dyDescent="0.25">
      <c r="A3">
        <v>0</v>
      </c>
      <c r="B3">
        <v>0</v>
      </c>
      <c r="C3">
        <f>1.225 * (1 - 0.00000687559 * B3) ^ 4.2561</f>
        <v>1.2250000000000001</v>
      </c>
      <c r="D3">
        <f>E3*(SQRT($C$2/C3))</f>
        <v>140</v>
      </c>
      <c r="E3">
        <v>140</v>
      </c>
      <c r="F3">
        <v>1215</v>
      </c>
      <c r="G3">
        <v>200</v>
      </c>
      <c r="H3">
        <f>CONVERT(G3,"HP","kW")</f>
        <v>149.13997431645407</v>
      </c>
      <c r="I3">
        <v>-0.64270000000000005</v>
      </c>
      <c r="J3">
        <v>0.89759999999999995</v>
      </c>
      <c r="K3">
        <v>0.56010000000000004</v>
      </c>
      <c r="L3">
        <v>1.4999999999999999E-2</v>
      </c>
      <c r="M3">
        <v>-1.0800000000000001E-2</v>
      </c>
      <c r="N3">
        <f>CONVERT(O3,"lbf","N")</f>
        <v>-1330.9079072859415</v>
      </c>
      <c r="O3">
        <v>-299.2</v>
      </c>
      <c r="P3">
        <f t="shared" ref="P3:P66" si="0">M3/L3</f>
        <v>-0.72000000000000008</v>
      </c>
    </row>
    <row r="4" spans="1:16" hidden="1" x14ac:dyDescent="0.25">
      <c r="A4">
        <v>0</v>
      </c>
      <c r="B4">
        <v>0</v>
      </c>
      <c r="C4">
        <f>1.225 * (1 - 0.00000687559 * B4) ^ 4.2561</f>
        <v>1.2250000000000001</v>
      </c>
      <c r="D4">
        <f>E4*(SQRT($C$2/C4))</f>
        <v>160</v>
      </c>
      <c r="E4">
        <v>160</v>
      </c>
      <c r="F4">
        <v>1215</v>
      </c>
      <c r="G4">
        <v>200</v>
      </c>
      <c r="H4">
        <f>CONVERT(G4,"HP","kW")</f>
        <v>149.13997431645407</v>
      </c>
      <c r="I4">
        <v>-0.55789999999999995</v>
      </c>
      <c r="J4">
        <v>1.0258</v>
      </c>
      <c r="K4">
        <v>0.57220000000000004</v>
      </c>
      <c r="L4">
        <v>1.4999999999999999E-2</v>
      </c>
      <c r="M4">
        <v>-8.2000000000000007E-3</v>
      </c>
      <c r="N4">
        <f>CONVERT(O4,"lbf","N")</f>
        <v>-1010.6359509871855</v>
      </c>
      <c r="O4">
        <v>-227.2</v>
      </c>
      <c r="P4">
        <f t="shared" si="0"/>
        <v>-0.54666666666666675</v>
      </c>
    </row>
    <row r="5" spans="1:16" hidden="1" x14ac:dyDescent="0.25">
      <c r="A5">
        <v>0</v>
      </c>
      <c r="B5">
        <v>0</v>
      </c>
      <c r="C5">
        <f>1.225 * (1 - 0.00000687559 * B5) ^ 4.2561</f>
        <v>1.2250000000000001</v>
      </c>
      <c r="D5">
        <f>E5*(SQRT($C$2/C5))</f>
        <v>180</v>
      </c>
      <c r="E5">
        <v>180</v>
      </c>
      <c r="F5">
        <v>1215</v>
      </c>
      <c r="G5">
        <v>200</v>
      </c>
      <c r="H5">
        <f>CONVERT(G5,"HP","kW")</f>
        <v>149.13997431645407</v>
      </c>
      <c r="I5">
        <v>-0.53269999999999995</v>
      </c>
      <c r="J5">
        <v>1.1540999999999999</v>
      </c>
      <c r="K5">
        <v>0.58560000000000001</v>
      </c>
      <c r="L5">
        <v>1.4999999999999999E-2</v>
      </c>
      <c r="M5">
        <v>-6.8999999999999999E-3</v>
      </c>
      <c r="N5">
        <f>CONVERT(O5,"lbf","N")</f>
        <v>-858.06194958375056</v>
      </c>
      <c r="O5">
        <v>-192.9</v>
      </c>
      <c r="P5">
        <f t="shared" si="0"/>
        <v>-0.46</v>
      </c>
    </row>
    <row r="6" spans="1:16" hidden="1" x14ac:dyDescent="0.25">
      <c r="A6">
        <v>0</v>
      </c>
      <c r="B6">
        <v>0</v>
      </c>
      <c r="C6">
        <f>1.225 * (1 - 0.00000687559 * B6) ^ 4.2561</f>
        <v>1.2250000000000001</v>
      </c>
      <c r="D6">
        <f>E6*(SQRT($C$2/C6))</f>
        <v>200</v>
      </c>
      <c r="E6">
        <v>200</v>
      </c>
      <c r="F6">
        <v>1215</v>
      </c>
      <c r="G6">
        <v>200</v>
      </c>
      <c r="H6">
        <f>CONVERT(G6,"HP","kW")</f>
        <v>149.13997431645407</v>
      </c>
      <c r="I6">
        <v>-0.54179999999999995</v>
      </c>
      <c r="J6">
        <v>1.2823</v>
      </c>
      <c r="K6">
        <v>0.60019999999999996</v>
      </c>
      <c r="L6">
        <v>1.4999999999999999E-2</v>
      </c>
      <c r="M6">
        <v>-6.3E-3</v>
      </c>
      <c r="N6">
        <f>CONVERT(O6,"lbf","N")</f>
        <v>-785.55593725500432</v>
      </c>
      <c r="O6">
        <v>-176.6</v>
      </c>
      <c r="P6">
        <f t="shared" si="0"/>
        <v>-0.42000000000000004</v>
      </c>
    </row>
    <row r="7" spans="1:16" hidden="1" x14ac:dyDescent="0.25">
      <c r="A7">
        <v>0</v>
      </c>
      <c r="B7">
        <v>0</v>
      </c>
      <c r="C7">
        <f>1.225 * (1 - 0.00000687559 * B7) ^ 4.2561</f>
        <v>1.2250000000000001</v>
      </c>
      <c r="D7">
        <f>E7*(SQRT($C$2/C7))</f>
        <v>220</v>
      </c>
      <c r="E7">
        <v>220</v>
      </c>
      <c r="F7">
        <v>1215</v>
      </c>
      <c r="G7">
        <v>200</v>
      </c>
      <c r="H7">
        <f>CONVERT(G7,"HP","kW")</f>
        <v>149.13997431645407</v>
      </c>
      <c r="I7">
        <v>-0.59970000000000001</v>
      </c>
      <c r="J7">
        <v>1.4105000000000001</v>
      </c>
      <c r="K7">
        <v>0.61599999999999999</v>
      </c>
      <c r="L7">
        <v>1.4999999999999999E-2</v>
      </c>
      <c r="M7">
        <v>-6.4000000000000003E-3</v>
      </c>
      <c r="N7">
        <f>CONVERT(O7,"lbf","N")</f>
        <v>-790.44898103179082</v>
      </c>
      <c r="O7">
        <v>-177.7</v>
      </c>
      <c r="P7">
        <f t="shared" si="0"/>
        <v>-0.42666666666666669</v>
      </c>
    </row>
    <row r="8" spans="1:16" hidden="1" x14ac:dyDescent="0.25">
      <c r="A8">
        <v>0</v>
      </c>
      <c r="B8">
        <v>0</v>
      </c>
      <c r="C8">
        <f>1.225 * (1 - 0.00000687559 * B8) ^ 4.2561</f>
        <v>1.2250000000000001</v>
      </c>
      <c r="D8">
        <f>E8*(SQRT($C$2/C8))</f>
        <v>240</v>
      </c>
      <c r="E8">
        <v>240</v>
      </c>
      <c r="F8">
        <v>1215</v>
      </c>
      <c r="G8">
        <v>200</v>
      </c>
      <c r="H8">
        <f>CONVERT(G8,"HP","kW")</f>
        <v>149.13997431645407</v>
      </c>
      <c r="I8">
        <v>-0.70499999999999996</v>
      </c>
      <c r="J8">
        <v>1.5387</v>
      </c>
      <c r="K8">
        <v>0.63290000000000002</v>
      </c>
      <c r="L8">
        <v>1.4999999999999999E-2</v>
      </c>
      <c r="M8">
        <v>-6.8999999999999999E-3</v>
      </c>
      <c r="N8">
        <f>CONVERT(O8,"lbf","N")</f>
        <v>-851.38961716085976</v>
      </c>
      <c r="O8">
        <v>-191.4</v>
      </c>
      <c r="P8">
        <f t="shared" si="0"/>
        <v>-0.46</v>
      </c>
    </row>
    <row r="9" spans="1:16" hidden="1" x14ac:dyDescent="0.25">
      <c r="A9">
        <v>0</v>
      </c>
      <c r="B9">
        <v>0</v>
      </c>
      <c r="C9">
        <f>1.225 * (1 - 0.00000687559 * B9) ^ 4.2561</f>
        <v>1.2250000000000001</v>
      </c>
      <c r="D9">
        <f>E9*(SQRT($C$2/C9))</f>
        <v>260</v>
      </c>
      <c r="E9">
        <v>260</v>
      </c>
      <c r="F9">
        <v>1215</v>
      </c>
      <c r="G9">
        <v>200</v>
      </c>
      <c r="H9">
        <f>CONVERT(G9,"HP","kW")</f>
        <v>149.13997431645407</v>
      </c>
      <c r="I9">
        <v>-0.92349999999999999</v>
      </c>
      <c r="J9">
        <v>1.667</v>
      </c>
      <c r="K9">
        <v>0.65069999999999995</v>
      </c>
      <c r="L9">
        <v>1.4999999999999999E-2</v>
      </c>
      <c r="M9">
        <v>-8.3000000000000001E-3</v>
      </c>
      <c r="N9">
        <f>CONVERT(O9,"lbf","N")</f>
        <v>-1029.7633039328059</v>
      </c>
      <c r="O9">
        <v>-231.5</v>
      </c>
      <c r="P9">
        <f t="shared" si="0"/>
        <v>-0.55333333333333334</v>
      </c>
    </row>
    <row r="10" spans="1:16" hidden="1" x14ac:dyDescent="0.25">
      <c r="A10">
        <v>0</v>
      </c>
      <c r="B10">
        <v>5000</v>
      </c>
      <c r="C10">
        <f>1.225 * (1 - 0.00000687559 * B10) ^ 4.2561</f>
        <v>1.0555380742846066</v>
      </c>
      <c r="D10">
        <f>E10*(SQRT($C$2/C10))</f>
        <v>107.72861903045587</v>
      </c>
      <c r="E10">
        <v>100</v>
      </c>
      <c r="F10">
        <v>1215</v>
      </c>
      <c r="G10">
        <v>200</v>
      </c>
      <c r="H10">
        <f>CONVERT(G10,"HP","kW")</f>
        <v>149.13997431645407</v>
      </c>
      <c r="I10">
        <v>-0.81669999999999998</v>
      </c>
      <c r="J10">
        <v>0.69069999999999998</v>
      </c>
      <c r="K10">
        <v>0.55310000000000004</v>
      </c>
      <c r="L10">
        <v>1.7399999999999999E-2</v>
      </c>
      <c r="M10">
        <v>-2.06E-2</v>
      </c>
      <c r="N10">
        <f>CONVERT(O10,"lbf","N")</f>
        <v>-2197.8663001002133</v>
      </c>
      <c r="O10">
        <v>-494.1</v>
      </c>
      <c r="P10">
        <f t="shared" si="0"/>
        <v>-1.1839080459770115</v>
      </c>
    </row>
    <row r="11" spans="1:16" hidden="1" x14ac:dyDescent="0.25">
      <c r="A11">
        <v>0</v>
      </c>
      <c r="B11">
        <v>5000</v>
      </c>
      <c r="C11">
        <f>1.225 * (1 - 0.00000687559 * B11) ^ 4.2561</f>
        <v>1.0555380742846066</v>
      </c>
      <c r="D11">
        <f>E11*(SQRT($C$2/C11))</f>
        <v>172.3657904487294</v>
      </c>
      <c r="E11">
        <v>160</v>
      </c>
      <c r="F11">
        <v>1215</v>
      </c>
      <c r="G11">
        <v>200</v>
      </c>
      <c r="H11">
        <f>CONVERT(G11,"HP","kW")</f>
        <v>149.13997431645407</v>
      </c>
      <c r="I11">
        <v>-0.31059999999999999</v>
      </c>
      <c r="J11">
        <v>1.1051</v>
      </c>
      <c r="K11">
        <v>0.59060000000000001</v>
      </c>
      <c r="L11">
        <v>1.7399999999999999E-2</v>
      </c>
      <c r="M11">
        <v>-4.8999999999999998E-3</v>
      </c>
      <c r="N11">
        <f>CONVERT(O11,"lbf","N")</f>
        <v>-522.66603979310878</v>
      </c>
      <c r="O11">
        <v>-117.5</v>
      </c>
      <c r="P11">
        <f t="shared" si="0"/>
        <v>-0.28160919540229884</v>
      </c>
    </row>
    <row r="12" spans="1:16" hidden="1" x14ac:dyDescent="0.25">
      <c r="A12">
        <v>0</v>
      </c>
      <c r="B12">
        <v>5000</v>
      </c>
      <c r="C12">
        <f>1.225 * (1 - 0.00000687559 * B12) ^ 4.2561</f>
        <v>1.0555380742846066</v>
      </c>
      <c r="D12">
        <f>E12*(SQRT($C$2/C12))</f>
        <v>215.45723806091175</v>
      </c>
      <c r="E12">
        <v>200</v>
      </c>
      <c r="F12">
        <v>1215</v>
      </c>
      <c r="G12">
        <v>200</v>
      </c>
      <c r="H12">
        <f>CONVERT(G12,"HP","kW")</f>
        <v>149.13997431645407</v>
      </c>
      <c r="I12">
        <v>-0.36909999999999998</v>
      </c>
      <c r="J12">
        <v>1.3814</v>
      </c>
      <c r="K12">
        <v>0.62319999999999998</v>
      </c>
      <c r="L12">
        <v>1.7399999999999999E-2</v>
      </c>
      <c r="M12">
        <v>-4.7000000000000002E-3</v>
      </c>
      <c r="N12">
        <f>CONVERT(O12,"lbf","N")</f>
        <v>-496.86635442459783</v>
      </c>
      <c r="O12">
        <v>-111.7</v>
      </c>
      <c r="P12">
        <f t="shared" si="0"/>
        <v>-0.27011494252873564</v>
      </c>
    </row>
    <row r="13" spans="1:16" hidden="1" x14ac:dyDescent="0.25">
      <c r="A13">
        <v>0</v>
      </c>
      <c r="B13">
        <v>5000</v>
      </c>
      <c r="C13">
        <f>1.225 * (1 - 0.00000687559 * B13) ^ 4.2561</f>
        <v>1.0555380742846066</v>
      </c>
      <c r="D13">
        <f>E13*(SQRT($C$2/C13))</f>
        <v>237.00296186700291</v>
      </c>
      <c r="E13">
        <v>220</v>
      </c>
      <c r="F13">
        <v>1215</v>
      </c>
      <c r="G13">
        <v>200</v>
      </c>
      <c r="H13">
        <f>CONVERT(G13,"HP","kW")</f>
        <v>149.13997431645407</v>
      </c>
      <c r="I13">
        <v>-0.47799999999999998</v>
      </c>
      <c r="J13">
        <v>1.5195000000000001</v>
      </c>
      <c r="K13">
        <v>0.64139999999999997</v>
      </c>
      <c r="L13">
        <v>1.7399999999999999E-2</v>
      </c>
      <c r="M13">
        <v>-5.4999999999999997E-3</v>
      </c>
      <c r="N13">
        <f>CONVERT(O13,"lbf","N")</f>
        <v>-584.94114240675572</v>
      </c>
      <c r="O13">
        <v>-131.5</v>
      </c>
      <c r="P13">
        <f t="shared" si="0"/>
        <v>-0.31609195402298851</v>
      </c>
    </row>
    <row r="14" spans="1:16" hidden="1" x14ac:dyDescent="0.25">
      <c r="A14">
        <v>0</v>
      </c>
      <c r="B14">
        <v>5000</v>
      </c>
      <c r="C14">
        <f>1.225 * (1 - 0.00000687559 * B14) ^ 4.2561</f>
        <v>1.0555380742846066</v>
      </c>
      <c r="D14">
        <f>E14*(SQRT($C$2/C14))</f>
        <v>258.5486856730941</v>
      </c>
      <c r="E14">
        <v>240</v>
      </c>
      <c r="F14">
        <v>1215</v>
      </c>
      <c r="G14">
        <v>200</v>
      </c>
      <c r="H14">
        <f>CONVERT(G14,"HP","kW")</f>
        <v>149.13997431645407</v>
      </c>
      <c r="I14">
        <v>-0.68489999999999995</v>
      </c>
      <c r="J14">
        <v>1.6577</v>
      </c>
      <c r="K14">
        <v>0.66080000000000005</v>
      </c>
      <c r="L14">
        <v>1.7399999999999999E-2</v>
      </c>
      <c r="M14">
        <v>-7.1999999999999998E-3</v>
      </c>
      <c r="N14">
        <f>CONVERT(O14,"lbf","N")</f>
        <v>-767.76305079396229</v>
      </c>
      <c r="O14">
        <v>-172.6</v>
      </c>
      <c r="P14">
        <f t="shared" si="0"/>
        <v>-0.41379310344827586</v>
      </c>
    </row>
    <row r="15" spans="1:16" hidden="1" x14ac:dyDescent="0.25">
      <c r="A15">
        <v>0</v>
      </c>
      <c r="B15">
        <v>5000</v>
      </c>
      <c r="C15">
        <f>1.225 * (1 - 0.00000687559 * B15) ^ 4.2561</f>
        <v>1.0555380742846066</v>
      </c>
      <c r="D15">
        <f>E15*(SQRT($C$2/C15))</f>
        <v>280.09440947918529</v>
      </c>
      <c r="E15">
        <v>260</v>
      </c>
      <c r="F15">
        <v>1215</v>
      </c>
      <c r="G15">
        <v>200</v>
      </c>
      <c r="H15">
        <f>CONVERT(G15,"HP","kW")</f>
        <v>149.13997431645407</v>
      </c>
      <c r="I15">
        <v>-0.96309999999999996</v>
      </c>
      <c r="J15">
        <v>1.7958000000000001</v>
      </c>
      <c r="K15">
        <v>0.68130000000000002</v>
      </c>
      <c r="L15">
        <v>1.7399999999999999E-2</v>
      </c>
      <c r="M15">
        <v>-9.2999999999999992E-3</v>
      </c>
      <c r="N15">
        <f>CONVERT(O15,"lbf","N")</f>
        <v>-996.84646397987797</v>
      </c>
      <c r="O15">
        <v>-224.1</v>
      </c>
      <c r="P15">
        <f t="shared" si="0"/>
        <v>-0.53448275862068961</v>
      </c>
    </row>
    <row r="16" spans="1:16" hidden="1" x14ac:dyDescent="0.25">
      <c r="A16">
        <v>0</v>
      </c>
      <c r="B16">
        <v>5000</v>
      </c>
      <c r="C16">
        <f>1.225 * (1 - 0.00000687559 * B16) ^ 4.2561</f>
        <v>1.0555380742846066</v>
      </c>
      <c r="D16">
        <f>E16*(SQRT($C$2/C16))</f>
        <v>129.27434283654705</v>
      </c>
      <c r="E16">
        <v>120</v>
      </c>
      <c r="F16">
        <v>1215</v>
      </c>
      <c r="G16">
        <v>200</v>
      </c>
      <c r="H16">
        <f>CONVERT(G16,"HP","kW")</f>
        <v>149.13997431645407</v>
      </c>
      <c r="I16">
        <v>-0.44979999999999998</v>
      </c>
      <c r="J16">
        <v>0.82879999999999998</v>
      </c>
      <c r="K16">
        <v>0.56389999999999996</v>
      </c>
      <c r="L16">
        <v>1.7500000000000002E-2</v>
      </c>
      <c r="M16">
        <v>-9.4999999999999998E-3</v>
      </c>
      <c r="N16">
        <f>CONVERT(O16,"lbf","N")</f>
        <v>-1008.8566623410815</v>
      </c>
      <c r="O16">
        <v>-226.8</v>
      </c>
      <c r="P16">
        <f t="shared" si="0"/>
        <v>-0.54285714285714282</v>
      </c>
    </row>
    <row r="17" spans="1:16" hidden="1" x14ac:dyDescent="0.25">
      <c r="A17">
        <v>0</v>
      </c>
      <c r="B17">
        <v>5000</v>
      </c>
      <c r="C17">
        <f>1.225 * (1 - 0.00000687559 * B17) ^ 4.2561</f>
        <v>1.0555380742846066</v>
      </c>
      <c r="D17">
        <f>E17*(SQRT($C$2/C17))</f>
        <v>150.82006664263821</v>
      </c>
      <c r="E17">
        <v>140</v>
      </c>
      <c r="F17">
        <v>1215</v>
      </c>
      <c r="G17">
        <v>200</v>
      </c>
      <c r="H17">
        <f>CONVERT(G17,"HP","kW")</f>
        <v>149.13997431645407</v>
      </c>
      <c r="I17">
        <v>-0.34210000000000002</v>
      </c>
      <c r="J17">
        <v>0.96699999999999997</v>
      </c>
      <c r="K17">
        <v>0.57640000000000002</v>
      </c>
      <c r="L17">
        <v>1.7500000000000002E-2</v>
      </c>
      <c r="M17">
        <v>-6.1999999999999998E-3</v>
      </c>
      <c r="N17">
        <f>CONVERT(O17,"lbf","N")</f>
        <v>-657.44715473550195</v>
      </c>
      <c r="O17">
        <v>-147.80000000000001</v>
      </c>
      <c r="P17">
        <f t="shared" si="0"/>
        <v>-0.35428571428571426</v>
      </c>
    </row>
    <row r="18" spans="1:16" hidden="1" x14ac:dyDescent="0.25">
      <c r="A18">
        <v>0</v>
      </c>
      <c r="B18">
        <v>5000</v>
      </c>
      <c r="C18">
        <f>1.225 * (1 - 0.00000687559 * B18) ^ 4.2561</f>
        <v>1.0555380742846066</v>
      </c>
      <c r="D18">
        <f>E18*(SQRT($C$2/C18))</f>
        <v>193.91151425482059</v>
      </c>
      <c r="E18">
        <v>180</v>
      </c>
      <c r="F18">
        <v>1215</v>
      </c>
      <c r="G18">
        <v>200</v>
      </c>
      <c r="H18">
        <f>CONVERT(G18,"HP","kW")</f>
        <v>149.13997431645407</v>
      </c>
      <c r="I18">
        <v>-0.31430000000000002</v>
      </c>
      <c r="J18">
        <v>1.2432000000000001</v>
      </c>
      <c r="K18">
        <v>0.60619999999999996</v>
      </c>
      <c r="L18">
        <v>1.7500000000000002E-2</v>
      </c>
      <c r="M18">
        <v>-4.4000000000000003E-3</v>
      </c>
      <c r="N18">
        <f>CONVERT(O18,"lbf","N")</f>
        <v>-469.73220257150882</v>
      </c>
      <c r="O18">
        <v>-105.6</v>
      </c>
      <c r="P18">
        <f t="shared" si="0"/>
        <v>-0.25142857142857145</v>
      </c>
    </row>
    <row r="19" spans="1:16" hidden="1" x14ac:dyDescent="0.25">
      <c r="A19">
        <v>0</v>
      </c>
      <c r="B19">
        <v>0</v>
      </c>
      <c r="C19">
        <f>1.225 * (1 - 0.00000687559 * B19) ^ 4.2561</f>
        <v>1.2250000000000001</v>
      </c>
      <c r="D19">
        <f>E19*(SQRT($C$2/C19))</f>
        <v>100</v>
      </c>
      <c r="E19">
        <v>100</v>
      </c>
      <c r="F19">
        <v>1150</v>
      </c>
      <c r="G19">
        <v>200</v>
      </c>
      <c r="H19">
        <f>CONVERT(G19,"HP","kW")</f>
        <v>149.13997431645407</v>
      </c>
      <c r="I19">
        <v>-0.46600000000000003</v>
      </c>
      <c r="J19">
        <v>0.6774</v>
      </c>
      <c r="K19">
        <v>0.51349999999999996</v>
      </c>
      <c r="L19">
        <v>1.77E-2</v>
      </c>
      <c r="M19">
        <v>-1.2200000000000001E-2</v>
      </c>
      <c r="N19">
        <f>CONVERT(O19,"lbf","N")</f>
        <v>-1350.9249045546139</v>
      </c>
      <c r="O19">
        <v>-303.7</v>
      </c>
      <c r="P19">
        <f t="shared" si="0"/>
        <v>-0.68926553672316382</v>
      </c>
    </row>
    <row r="20" spans="1:16" hidden="1" x14ac:dyDescent="0.25">
      <c r="A20">
        <v>0</v>
      </c>
      <c r="B20">
        <v>0</v>
      </c>
      <c r="C20">
        <f>1.225 * (1 - 0.00000687559 * B20) ^ 4.2561</f>
        <v>1.2250000000000001</v>
      </c>
      <c r="D20">
        <f>E20*(SQRT($C$2/C20))</f>
        <v>120</v>
      </c>
      <c r="E20">
        <v>120</v>
      </c>
      <c r="F20">
        <v>1150</v>
      </c>
      <c r="G20">
        <v>200</v>
      </c>
      <c r="H20">
        <f>CONVERT(G20,"HP","kW")</f>
        <v>149.13997431645407</v>
      </c>
      <c r="I20">
        <v>-0.27229999999999999</v>
      </c>
      <c r="J20">
        <v>0.81289999999999996</v>
      </c>
      <c r="K20">
        <v>0.5232</v>
      </c>
      <c r="L20">
        <v>1.77E-2</v>
      </c>
      <c r="M20">
        <v>-5.8999999999999999E-3</v>
      </c>
      <c r="N20">
        <f>CONVERT(O20,"lbf","N")</f>
        <v>-657.89197689702803</v>
      </c>
      <c r="O20">
        <v>-147.9</v>
      </c>
      <c r="P20">
        <f t="shared" si="0"/>
        <v>-0.33333333333333331</v>
      </c>
    </row>
    <row r="21" spans="1:16" hidden="1" x14ac:dyDescent="0.25">
      <c r="A21">
        <v>0</v>
      </c>
      <c r="B21">
        <v>0</v>
      </c>
      <c r="C21">
        <f>1.225 * (1 - 0.00000687559 * B21) ^ 4.2561</f>
        <v>1.2250000000000001</v>
      </c>
      <c r="D21">
        <f>E21*(SQRT($C$2/C21))</f>
        <v>160</v>
      </c>
      <c r="E21">
        <v>160</v>
      </c>
      <c r="F21">
        <v>1150</v>
      </c>
      <c r="G21">
        <v>200</v>
      </c>
      <c r="H21">
        <f>CONVERT(G21,"HP","kW")</f>
        <v>149.13997431645407</v>
      </c>
      <c r="I21">
        <v>-0.16239999999999999</v>
      </c>
      <c r="J21">
        <v>1.0838000000000001</v>
      </c>
      <c r="K21">
        <v>0.54720000000000002</v>
      </c>
      <c r="L21">
        <v>1.77E-2</v>
      </c>
      <c r="M21">
        <v>-2.7000000000000001E-3</v>
      </c>
      <c r="N21">
        <f>CONVERT(O21,"lbf","N")</f>
        <v>-294.47227093024509</v>
      </c>
      <c r="O21">
        <v>-66.2</v>
      </c>
      <c r="P21">
        <f t="shared" si="0"/>
        <v>-0.15254237288135594</v>
      </c>
    </row>
    <row r="22" spans="1:16" hidden="1" x14ac:dyDescent="0.25">
      <c r="A22">
        <v>0</v>
      </c>
      <c r="B22">
        <v>0</v>
      </c>
      <c r="C22">
        <f>1.225 * (1 - 0.00000687559 * B22) ^ 4.2561</f>
        <v>1.2250000000000001</v>
      </c>
      <c r="D22">
        <f>E22*(SQRT($C$2/C22))</f>
        <v>200</v>
      </c>
      <c r="E22">
        <v>200</v>
      </c>
      <c r="F22">
        <v>1150</v>
      </c>
      <c r="G22">
        <v>200</v>
      </c>
      <c r="H22">
        <f>CONVERT(G22,"HP","kW")</f>
        <v>149.13997431645407</v>
      </c>
      <c r="I22">
        <v>-0.19850000000000001</v>
      </c>
      <c r="J22">
        <v>1.3548</v>
      </c>
      <c r="K22">
        <v>0.57640000000000002</v>
      </c>
      <c r="L22">
        <v>1.77E-2</v>
      </c>
      <c r="M22">
        <v>-2.5999999999999999E-3</v>
      </c>
      <c r="N22">
        <f>CONVERT(O22,"lbf","N")</f>
        <v>-287.7999385073544</v>
      </c>
      <c r="O22">
        <v>-64.7</v>
      </c>
      <c r="P22">
        <f t="shared" si="0"/>
        <v>-0.14689265536723162</v>
      </c>
    </row>
    <row r="23" spans="1:16" hidden="1" x14ac:dyDescent="0.25">
      <c r="A23">
        <v>0</v>
      </c>
      <c r="B23">
        <v>0</v>
      </c>
      <c r="C23">
        <f>1.225 * (1 - 0.00000687559 * B23) ^ 4.2561</f>
        <v>1.2250000000000001</v>
      </c>
      <c r="D23">
        <f>E23*(SQRT($C$2/C23))</f>
        <v>220</v>
      </c>
      <c r="E23">
        <v>220</v>
      </c>
      <c r="F23">
        <v>1150</v>
      </c>
      <c r="G23">
        <v>200</v>
      </c>
      <c r="H23">
        <f>CONVERT(G23,"HP","kW")</f>
        <v>149.13997431645407</v>
      </c>
      <c r="I23">
        <v>-0.26040000000000002</v>
      </c>
      <c r="J23">
        <v>1.4902</v>
      </c>
      <c r="K23">
        <v>0.59289999999999998</v>
      </c>
      <c r="L23">
        <v>1.77E-2</v>
      </c>
      <c r="M23">
        <v>-3.0999999999999999E-3</v>
      </c>
      <c r="N23">
        <f>CONVERT(O23,"lbf","N")</f>
        <v>-342.95788653658451</v>
      </c>
      <c r="O23">
        <v>-77.099999999999994</v>
      </c>
      <c r="P23">
        <f t="shared" si="0"/>
        <v>-0.1751412429378531</v>
      </c>
    </row>
    <row r="24" spans="1:16" hidden="1" x14ac:dyDescent="0.25">
      <c r="A24">
        <v>0</v>
      </c>
      <c r="B24">
        <v>0</v>
      </c>
      <c r="C24">
        <f>1.225 * (1 - 0.00000687559 * B24) ^ 4.2561</f>
        <v>1.2250000000000001</v>
      </c>
      <c r="D24">
        <f>E24*(SQRT($C$2/C24))</f>
        <v>240</v>
      </c>
      <c r="E24">
        <v>240</v>
      </c>
      <c r="F24">
        <v>1150</v>
      </c>
      <c r="G24">
        <v>200</v>
      </c>
      <c r="H24">
        <f>CONVERT(G24,"HP","kW")</f>
        <v>149.13997431645407</v>
      </c>
      <c r="I24">
        <v>-0.38940000000000002</v>
      </c>
      <c r="J24">
        <v>1.6256999999999999</v>
      </c>
      <c r="K24">
        <v>0.61029999999999995</v>
      </c>
      <c r="L24">
        <v>1.77E-2</v>
      </c>
      <c r="M24">
        <v>-4.1999999999999997E-3</v>
      </c>
      <c r="N24">
        <f>CONVERT(O24,"lbf","N")</f>
        <v>-470.1770247330349</v>
      </c>
      <c r="O24">
        <v>-105.7</v>
      </c>
      <c r="P24">
        <f t="shared" si="0"/>
        <v>-0.23728813559322032</v>
      </c>
    </row>
    <row r="25" spans="1:16" hidden="1" x14ac:dyDescent="0.25">
      <c r="A25">
        <v>0</v>
      </c>
      <c r="B25">
        <v>0</v>
      </c>
      <c r="C25">
        <f>1.225 * (1 - 0.00000687559 * B25) ^ 4.2561</f>
        <v>1.2250000000000001</v>
      </c>
      <c r="D25">
        <f>E25*(SQRT($C$2/C25))</f>
        <v>260</v>
      </c>
      <c r="E25">
        <v>260</v>
      </c>
      <c r="F25">
        <v>1150</v>
      </c>
      <c r="G25">
        <v>200</v>
      </c>
      <c r="H25">
        <f>CONVERT(G25,"HP","kW")</f>
        <v>149.13997431645407</v>
      </c>
      <c r="I25">
        <v>-0.5675</v>
      </c>
      <c r="J25">
        <v>1.7612000000000001</v>
      </c>
      <c r="K25">
        <v>0.62880000000000003</v>
      </c>
      <c r="L25">
        <v>1.77E-2</v>
      </c>
      <c r="M25">
        <v>-5.7000000000000002E-3</v>
      </c>
      <c r="N25">
        <f>CONVERT(O25,"lbf","N")</f>
        <v>-632.98193585156923</v>
      </c>
      <c r="O25">
        <v>-142.30000000000001</v>
      </c>
      <c r="P25">
        <f t="shared" si="0"/>
        <v>-0.32203389830508478</v>
      </c>
    </row>
    <row r="26" spans="1:16" hidden="1" x14ac:dyDescent="0.25">
      <c r="A26">
        <v>0</v>
      </c>
      <c r="B26">
        <v>0</v>
      </c>
      <c r="C26">
        <f>1.225 * (1 - 0.00000687559 * B26) ^ 4.2561</f>
        <v>1.2250000000000001</v>
      </c>
      <c r="D26">
        <f>E26*(SQRT($C$2/C26))</f>
        <v>140</v>
      </c>
      <c r="E26">
        <v>140</v>
      </c>
      <c r="F26">
        <v>1150</v>
      </c>
      <c r="G26">
        <v>200</v>
      </c>
      <c r="H26">
        <f>CONVERT(G26,"HP","kW")</f>
        <v>149.13997431645407</v>
      </c>
      <c r="I26">
        <v>-0.18709999999999999</v>
      </c>
      <c r="J26">
        <v>0.94830000000000003</v>
      </c>
      <c r="K26">
        <v>0.53449999999999998</v>
      </c>
      <c r="L26">
        <v>1.78E-2</v>
      </c>
      <c r="M26">
        <v>-3.5000000000000001E-3</v>
      </c>
      <c r="N26">
        <f>CONVERT(O26,"lbf","N")</f>
        <v>-387.44010268918953</v>
      </c>
      <c r="O26">
        <v>-87.1</v>
      </c>
      <c r="P26">
        <f t="shared" si="0"/>
        <v>-0.19662921348314608</v>
      </c>
    </row>
    <row r="27" spans="1:16" hidden="1" x14ac:dyDescent="0.25">
      <c r="A27">
        <v>0</v>
      </c>
      <c r="B27">
        <v>0</v>
      </c>
      <c r="C27">
        <f>1.225 * (1 - 0.00000687559 * B27) ^ 4.2561</f>
        <v>1.2250000000000001</v>
      </c>
      <c r="D27">
        <f>E27*(SQRT($C$2/C27))</f>
        <v>180</v>
      </c>
      <c r="E27">
        <v>180</v>
      </c>
      <c r="F27">
        <v>1150</v>
      </c>
      <c r="G27">
        <v>200</v>
      </c>
      <c r="H27">
        <f>CONVERT(G27,"HP","kW")</f>
        <v>149.13997431645407</v>
      </c>
      <c r="I27">
        <v>-0.16170000000000001</v>
      </c>
      <c r="J27">
        <v>1.2193000000000001</v>
      </c>
      <c r="K27">
        <v>0.56120000000000003</v>
      </c>
      <c r="L27">
        <v>1.78E-2</v>
      </c>
      <c r="M27">
        <v>-2.3999999999999998E-3</v>
      </c>
      <c r="N27">
        <f>CONVERT(O27,"lbf","N")</f>
        <v>-260.22096449273926</v>
      </c>
      <c r="O27">
        <v>-58.5</v>
      </c>
      <c r="P27">
        <f t="shared" si="0"/>
        <v>-0.1348314606741573</v>
      </c>
    </row>
    <row r="28" spans="1:16" hidden="1" x14ac:dyDescent="0.25">
      <c r="A28">
        <v>0</v>
      </c>
      <c r="B28">
        <v>0</v>
      </c>
      <c r="C28">
        <f>1.225 * (1 - 0.00000687559 * B28) ^ 4.2561</f>
        <v>1.2250000000000001</v>
      </c>
      <c r="D28">
        <f>E28*(SQRT($C$2/C28))</f>
        <v>100</v>
      </c>
      <c r="E28">
        <v>100</v>
      </c>
      <c r="F28">
        <v>1215</v>
      </c>
      <c r="G28">
        <v>250</v>
      </c>
      <c r="H28">
        <f>CONVERT(G28,"HP","kW")</f>
        <v>186.42496789556756</v>
      </c>
      <c r="I28">
        <v>-0.67379999999999995</v>
      </c>
      <c r="J28">
        <v>0.6411</v>
      </c>
      <c r="K28">
        <v>0.54010000000000002</v>
      </c>
      <c r="L28">
        <v>1.8800000000000001E-2</v>
      </c>
      <c r="M28">
        <v>-1.9699999999999999E-2</v>
      </c>
      <c r="N28">
        <f>CONVERT(O28,"lbf","N")</f>
        <v>-2441.6288446164885</v>
      </c>
      <c r="O28">
        <v>-548.9</v>
      </c>
      <c r="P28">
        <f t="shared" si="0"/>
        <v>-1.0478723404255319</v>
      </c>
    </row>
    <row r="29" spans="1:16" hidden="1" x14ac:dyDescent="0.25">
      <c r="A29">
        <v>0</v>
      </c>
      <c r="B29">
        <v>0</v>
      </c>
      <c r="C29">
        <f>1.225 * (1 - 0.00000687559 * B29) ^ 4.2561</f>
        <v>1.2250000000000001</v>
      </c>
      <c r="D29">
        <f>E29*(SQRT($C$2/C29))</f>
        <v>140</v>
      </c>
      <c r="E29">
        <v>140</v>
      </c>
      <c r="F29">
        <v>1215</v>
      </c>
      <c r="G29">
        <v>250</v>
      </c>
      <c r="H29">
        <f>CONVERT(G29,"HP","kW")</f>
        <v>186.42496789556756</v>
      </c>
      <c r="I29">
        <v>-0.22969999999999999</v>
      </c>
      <c r="J29">
        <v>0.89759999999999995</v>
      </c>
      <c r="K29">
        <v>0.56010000000000004</v>
      </c>
      <c r="L29">
        <v>1.8800000000000001E-2</v>
      </c>
      <c r="M29">
        <v>-4.7999999999999996E-3</v>
      </c>
      <c r="N29">
        <f>CONVERT(O29,"lbf","N")</f>
        <v>-594.72722996032883</v>
      </c>
      <c r="O29">
        <v>-133.69999999999999</v>
      </c>
      <c r="P29">
        <f t="shared" si="0"/>
        <v>-0.25531914893617019</v>
      </c>
    </row>
    <row r="30" spans="1:16" hidden="1" x14ac:dyDescent="0.25">
      <c r="A30">
        <v>0</v>
      </c>
      <c r="B30">
        <v>0</v>
      </c>
      <c r="C30">
        <f>1.225 * (1 - 0.00000687559 * B30) ^ 4.2561</f>
        <v>1.2250000000000001</v>
      </c>
      <c r="D30">
        <f>E30*(SQRT($C$2/C30))</f>
        <v>160</v>
      </c>
      <c r="E30">
        <v>160</v>
      </c>
      <c r="F30">
        <v>1215</v>
      </c>
      <c r="G30">
        <v>250</v>
      </c>
      <c r="H30">
        <f>CONVERT(G30,"HP","kW")</f>
        <v>186.42496789556756</v>
      </c>
      <c r="I30">
        <v>-0.18160000000000001</v>
      </c>
      <c r="J30">
        <v>1.0258</v>
      </c>
      <c r="K30">
        <v>0.57220000000000004</v>
      </c>
      <c r="L30">
        <v>1.8800000000000001E-2</v>
      </c>
      <c r="M30">
        <v>-3.3E-3</v>
      </c>
      <c r="N30">
        <f>CONVERT(O30,"lbf","N")</f>
        <v>-411.46049941159629</v>
      </c>
      <c r="O30">
        <v>-92.5</v>
      </c>
      <c r="P30">
        <f t="shared" si="0"/>
        <v>-0.17553191489361702</v>
      </c>
    </row>
    <row r="31" spans="1:16" hidden="1" x14ac:dyDescent="0.25">
      <c r="A31">
        <v>0</v>
      </c>
      <c r="B31">
        <v>0</v>
      </c>
      <c r="C31">
        <f>1.225 * (1 - 0.00000687559 * B31) ^ 4.2561</f>
        <v>1.2250000000000001</v>
      </c>
      <c r="D31">
        <f>E31*(SQRT($C$2/C31))</f>
        <v>180</v>
      </c>
      <c r="E31">
        <v>180</v>
      </c>
      <c r="F31">
        <v>1215</v>
      </c>
      <c r="G31">
        <v>250</v>
      </c>
      <c r="H31">
        <f>CONVERT(G31,"HP","kW")</f>
        <v>186.42496789556756</v>
      </c>
      <c r="I31">
        <v>-0.17130000000000001</v>
      </c>
      <c r="J31">
        <v>1.1540999999999999</v>
      </c>
      <c r="K31">
        <v>0.58560000000000001</v>
      </c>
      <c r="L31">
        <v>1.8800000000000001E-2</v>
      </c>
      <c r="M31">
        <v>-2.8E-3</v>
      </c>
      <c r="N31">
        <f>CONVERT(O31,"lbf","N")</f>
        <v>-344.73717518268876</v>
      </c>
      <c r="O31">
        <v>-77.5</v>
      </c>
      <c r="P31">
        <f t="shared" si="0"/>
        <v>-0.14893617021276595</v>
      </c>
    </row>
    <row r="32" spans="1:16" hidden="1" x14ac:dyDescent="0.25">
      <c r="A32">
        <v>0</v>
      </c>
      <c r="B32">
        <v>0</v>
      </c>
      <c r="C32">
        <f>1.225 * (1 - 0.00000687559 * B32) ^ 4.2561</f>
        <v>1.2250000000000001</v>
      </c>
      <c r="D32">
        <f>E32*(SQRT($C$2/C32))</f>
        <v>200</v>
      </c>
      <c r="E32">
        <v>200</v>
      </c>
      <c r="F32">
        <v>1215</v>
      </c>
      <c r="G32">
        <v>250</v>
      </c>
      <c r="H32">
        <f>CONVERT(G32,"HP","kW")</f>
        <v>186.42496789556756</v>
      </c>
      <c r="I32">
        <v>-0.1867</v>
      </c>
      <c r="J32">
        <v>1.2823</v>
      </c>
      <c r="K32">
        <v>0.60019999999999996</v>
      </c>
      <c r="L32">
        <v>1.8800000000000001E-2</v>
      </c>
      <c r="M32">
        <v>-2.7000000000000001E-3</v>
      </c>
      <c r="N32">
        <f>CONVERT(O32,"lbf","N")</f>
        <v>-338.06484275979801</v>
      </c>
      <c r="O32">
        <v>-76</v>
      </c>
      <c r="P32">
        <f t="shared" si="0"/>
        <v>-0.14361702127659576</v>
      </c>
    </row>
    <row r="33" spans="1:16" hidden="1" x14ac:dyDescent="0.25">
      <c r="A33">
        <v>0</v>
      </c>
      <c r="B33">
        <v>0</v>
      </c>
      <c r="C33">
        <f>1.225 * (1 - 0.00000687559 * B33) ^ 4.2561</f>
        <v>1.2250000000000001</v>
      </c>
      <c r="D33">
        <f>E33*(SQRT($C$2/C33))</f>
        <v>220</v>
      </c>
      <c r="E33">
        <v>220</v>
      </c>
      <c r="F33">
        <v>1215</v>
      </c>
      <c r="G33">
        <v>250</v>
      </c>
      <c r="H33">
        <f>CONVERT(G33,"HP","kW")</f>
        <v>186.42496789556756</v>
      </c>
      <c r="I33">
        <v>-0.22989999999999999</v>
      </c>
      <c r="J33">
        <v>1.4105000000000001</v>
      </c>
      <c r="K33">
        <v>0.61599999999999999</v>
      </c>
      <c r="L33">
        <v>1.8800000000000001E-2</v>
      </c>
      <c r="M33">
        <v>-3.0999999999999999E-3</v>
      </c>
      <c r="N33">
        <f>CONVERT(O33,"lbf","N")</f>
        <v>-378.54365945866851</v>
      </c>
      <c r="O33">
        <v>-85.1</v>
      </c>
      <c r="P33">
        <f t="shared" si="0"/>
        <v>-0.16489361702127658</v>
      </c>
    </row>
    <row r="34" spans="1:16" hidden="1" x14ac:dyDescent="0.25">
      <c r="A34">
        <v>0</v>
      </c>
      <c r="B34">
        <v>0</v>
      </c>
      <c r="C34">
        <f>1.225 * (1 - 0.00000687559 * B34) ^ 4.2561</f>
        <v>1.2250000000000001</v>
      </c>
      <c r="D34">
        <f>E34*(SQRT($C$2/C34))</f>
        <v>240</v>
      </c>
      <c r="E34">
        <v>240</v>
      </c>
      <c r="F34">
        <v>1215</v>
      </c>
      <c r="G34">
        <v>250</v>
      </c>
      <c r="H34">
        <f>CONVERT(G34,"HP","kW")</f>
        <v>186.42496789556756</v>
      </c>
      <c r="I34">
        <v>-0.32100000000000001</v>
      </c>
      <c r="J34">
        <v>1.5387</v>
      </c>
      <c r="K34">
        <v>0.63290000000000002</v>
      </c>
      <c r="L34">
        <v>1.8800000000000001E-2</v>
      </c>
      <c r="M34">
        <v>-3.8999999999999998E-3</v>
      </c>
      <c r="N34">
        <f>CONVERT(O34,"lbf","N")</f>
        <v>-484.41133390186849</v>
      </c>
      <c r="O34">
        <v>-108.9</v>
      </c>
      <c r="P34">
        <f t="shared" si="0"/>
        <v>-0.20744680851063829</v>
      </c>
    </row>
    <row r="35" spans="1:16" hidden="1" x14ac:dyDescent="0.25">
      <c r="A35">
        <v>0</v>
      </c>
      <c r="B35">
        <v>0</v>
      </c>
      <c r="C35">
        <f>1.225 * (1 - 0.00000687559 * B35) ^ 4.2561</f>
        <v>1.2250000000000001</v>
      </c>
      <c r="D35">
        <f>E35*(SQRT($C$2/C35))</f>
        <v>260</v>
      </c>
      <c r="E35">
        <v>260</v>
      </c>
      <c r="F35">
        <v>1215</v>
      </c>
      <c r="G35">
        <v>250</v>
      </c>
      <c r="H35">
        <f>CONVERT(G35,"HP","kW")</f>
        <v>186.42496789556756</v>
      </c>
      <c r="I35">
        <v>-0.49559999999999998</v>
      </c>
      <c r="J35">
        <v>1.667</v>
      </c>
      <c r="K35">
        <v>0.65069999999999995</v>
      </c>
      <c r="L35">
        <v>1.8800000000000001E-2</v>
      </c>
      <c r="M35">
        <v>-5.5999999999999999E-3</v>
      </c>
      <c r="N35">
        <f>CONVERT(O35,"lbf","N")</f>
        <v>-690.80881684995575</v>
      </c>
      <c r="O35">
        <v>-155.30000000000001</v>
      </c>
      <c r="P35">
        <f t="shared" si="0"/>
        <v>-0.2978723404255319</v>
      </c>
    </row>
    <row r="36" spans="1:16" hidden="1" x14ac:dyDescent="0.25">
      <c r="A36">
        <v>0</v>
      </c>
      <c r="B36">
        <v>0</v>
      </c>
      <c r="C36">
        <f>1.225 * (1 - 0.00000687559 * B36) ^ 4.2561</f>
        <v>1.2250000000000001</v>
      </c>
      <c r="D36">
        <f>E36*(SQRT($C$2/C36))</f>
        <v>120</v>
      </c>
      <c r="E36">
        <v>120</v>
      </c>
      <c r="F36">
        <v>1215</v>
      </c>
      <c r="G36">
        <v>250</v>
      </c>
      <c r="H36">
        <f>CONVERT(G36,"HP","kW")</f>
        <v>186.42496789556756</v>
      </c>
      <c r="I36">
        <v>-0.33239999999999997</v>
      </c>
      <c r="J36">
        <v>0.76939999999999997</v>
      </c>
      <c r="K36">
        <v>0.5494</v>
      </c>
      <c r="L36">
        <v>1.89E-2</v>
      </c>
      <c r="M36">
        <v>-8.0999999999999996E-3</v>
      </c>
      <c r="N36">
        <f>CONVERT(O36,"lbf","N")</f>
        <v>-1003.9636185642948</v>
      </c>
      <c r="O36">
        <v>-225.7</v>
      </c>
      <c r="P36">
        <f t="shared" si="0"/>
        <v>-0.42857142857142855</v>
      </c>
    </row>
    <row r="37" spans="1:16" hidden="1" x14ac:dyDescent="0.25">
      <c r="A37">
        <v>0</v>
      </c>
      <c r="B37">
        <v>10000</v>
      </c>
      <c r="C37">
        <f>1.225 * (1 - 0.00000687559 * B37) ^ 4.2561</f>
        <v>0.90462252368600637</v>
      </c>
      <c r="D37">
        <f>E37*(SQRT($C$2/C37))</f>
        <v>116.36820785327033</v>
      </c>
      <c r="E37">
        <v>100</v>
      </c>
      <c r="F37">
        <v>1215</v>
      </c>
      <c r="G37">
        <v>200</v>
      </c>
      <c r="H37">
        <f>CONVERT(G37,"HP","kW")</f>
        <v>149.13997431645407</v>
      </c>
      <c r="I37">
        <v>-0.30730000000000002</v>
      </c>
      <c r="J37">
        <v>0.74609999999999999</v>
      </c>
      <c r="K37">
        <v>0.56740000000000002</v>
      </c>
      <c r="L37">
        <v>2.0299999999999999E-2</v>
      </c>
      <c r="M37">
        <v>-8.3999999999999995E-3</v>
      </c>
      <c r="N37">
        <f>CONVERT(O37,"lbf","N")</f>
        <v>-765.53893998633203</v>
      </c>
      <c r="O37">
        <v>-172.1</v>
      </c>
      <c r="P37">
        <f t="shared" si="0"/>
        <v>-0.41379310344827586</v>
      </c>
    </row>
    <row r="38" spans="1:16" hidden="1" x14ac:dyDescent="0.25">
      <c r="A38">
        <v>0</v>
      </c>
      <c r="B38">
        <v>10000</v>
      </c>
      <c r="C38">
        <f>1.225 * (1 - 0.00000687559 * B38) ^ 4.2561</f>
        <v>0.90462252368600637</v>
      </c>
      <c r="D38">
        <f>E38*(SQRT($C$2/C38))</f>
        <v>139.64184942392441</v>
      </c>
      <c r="E38">
        <v>120</v>
      </c>
      <c r="F38">
        <v>1215</v>
      </c>
      <c r="G38">
        <v>200</v>
      </c>
      <c r="H38">
        <f>CONVERT(G38,"HP","kW")</f>
        <v>149.13997431645407</v>
      </c>
      <c r="I38">
        <v>-0.15540000000000001</v>
      </c>
      <c r="J38">
        <v>0.89529999999999998</v>
      </c>
      <c r="K38">
        <v>0.58020000000000005</v>
      </c>
      <c r="L38">
        <v>2.0299999999999999E-2</v>
      </c>
      <c r="M38">
        <v>-3.5000000000000001E-3</v>
      </c>
      <c r="N38">
        <f>CONVERT(O38,"lbf","N")</f>
        <v>-322.49606710638625</v>
      </c>
      <c r="O38">
        <v>-72.5</v>
      </c>
      <c r="P38">
        <f t="shared" si="0"/>
        <v>-0.17241379310344829</v>
      </c>
    </row>
    <row r="39" spans="1:16" hidden="1" x14ac:dyDescent="0.25">
      <c r="A39">
        <v>0</v>
      </c>
      <c r="B39">
        <v>10000</v>
      </c>
      <c r="C39">
        <f>1.225 * (1 - 0.00000687559 * B39) ^ 4.2561</f>
        <v>0.90462252368600637</v>
      </c>
      <c r="D39">
        <f>E39*(SQRT($C$2/C39))</f>
        <v>186.18913256523254</v>
      </c>
      <c r="E39">
        <v>160</v>
      </c>
      <c r="F39">
        <v>1215</v>
      </c>
      <c r="G39">
        <v>200</v>
      </c>
      <c r="H39">
        <f>CONVERT(G39,"HP","kW")</f>
        <v>149.13997431645407</v>
      </c>
      <c r="I39">
        <v>-0.1134</v>
      </c>
      <c r="J39">
        <v>1.1937</v>
      </c>
      <c r="K39">
        <v>0.61140000000000005</v>
      </c>
      <c r="L39">
        <v>2.0299999999999999E-2</v>
      </c>
      <c r="M39">
        <v>-1.9E-3</v>
      </c>
      <c r="N39">
        <f>CONVERT(O39,"lbf","N")</f>
        <v>-176.59439812584188</v>
      </c>
      <c r="O39">
        <v>-39.700000000000003</v>
      </c>
      <c r="P39">
        <f t="shared" si="0"/>
        <v>-9.3596059113300503E-2</v>
      </c>
    </row>
    <row r="40" spans="1:16" hidden="1" x14ac:dyDescent="0.25">
      <c r="A40">
        <v>0</v>
      </c>
      <c r="B40">
        <v>10000</v>
      </c>
      <c r="C40">
        <f>1.225 * (1 - 0.00000687559 * B40) ^ 4.2561</f>
        <v>0.90462252368600637</v>
      </c>
      <c r="D40">
        <f>E40*(SQRT($C$2/C40))</f>
        <v>232.73641570654067</v>
      </c>
      <c r="E40">
        <v>200</v>
      </c>
      <c r="F40">
        <v>1215</v>
      </c>
      <c r="G40">
        <v>200</v>
      </c>
      <c r="H40">
        <f>CONVERT(G40,"HP","kW")</f>
        <v>149.13997431645407</v>
      </c>
      <c r="I40">
        <v>-0.2626</v>
      </c>
      <c r="J40">
        <v>1.4922</v>
      </c>
      <c r="K40">
        <v>0.64939999999999998</v>
      </c>
      <c r="L40">
        <v>2.0299999999999999E-2</v>
      </c>
      <c r="M40">
        <v>-3.5999999999999999E-3</v>
      </c>
      <c r="N40">
        <f>CONVERT(O40,"lbf","N")</f>
        <v>-326.94428872164673</v>
      </c>
      <c r="O40">
        <v>-73.5</v>
      </c>
      <c r="P40">
        <f t="shared" si="0"/>
        <v>-0.17733990147783252</v>
      </c>
    </row>
    <row r="41" spans="1:16" hidden="1" x14ac:dyDescent="0.25">
      <c r="A41">
        <v>0</v>
      </c>
      <c r="B41">
        <v>10000</v>
      </c>
      <c r="C41">
        <f>1.225 * (1 - 0.00000687559 * B41) ^ 4.2561</f>
        <v>0.90462252368600637</v>
      </c>
      <c r="D41">
        <f>E41*(SQRT($C$2/C41))</f>
        <v>256.01005727719473</v>
      </c>
      <c r="E41">
        <v>220</v>
      </c>
      <c r="F41">
        <v>1215</v>
      </c>
      <c r="G41">
        <v>200</v>
      </c>
      <c r="H41">
        <f>CONVERT(G41,"HP","kW")</f>
        <v>149.13997431645407</v>
      </c>
      <c r="I41">
        <v>-0.46410000000000001</v>
      </c>
      <c r="J41">
        <v>1.6414</v>
      </c>
      <c r="K41">
        <v>0.67049999999999998</v>
      </c>
      <c r="L41">
        <v>2.0299999999999999E-2</v>
      </c>
      <c r="M41">
        <v>-5.7000000000000002E-3</v>
      </c>
      <c r="N41">
        <f>CONVERT(O41,"lbf","N")</f>
        <v>-525.77979492379109</v>
      </c>
      <c r="O41">
        <v>-118.2</v>
      </c>
      <c r="P41">
        <f t="shared" si="0"/>
        <v>-0.28078817733990152</v>
      </c>
    </row>
    <row r="42" spans="1:16" hidden="1" x14ac:dyDescent="0.25">
      <c r="A42">
        <v>0</v>
      </c>
      <c r="B42">
        <v>10000</v>
      </c>
      <c r="C42">
        <f>1.225 * (1 - 0.00000687559 * B42) ^ 4.2561</f>
        <v>0.90462252368600637</v>
      </c>
      <c r="D42">
        <f>E42*(SQRT($C$2/C42))</f>
        <v>279.28369884784883</v>
      </c>
      <c r="E42">
        <v>240</v>
      </c>
      <c r="F42">
        <v>1215</v>
      </c>
      <c r="G42">
        <v>200</v>
      </c>
      <c r="H42">
        <f>CONVERT(G42,"HP","kW")</f>
        <v>149.13997431645407</v>
      </c>
      <c r="I42">
        <v>-0.75329999999999997</v>
      </c>
      <c r="J42">
        <v>1.7906</v>
      </c>
      <c r="K42">
        <v>0.69289999999999996</v>
      </c>
      <c r="L42">
        <v>2.0299999999999999E-2</v>
      </c>
      <c r="M42">
        <v>-8.6E-3</v>
      </c>
      <c r="N42">
        <f>CONVERT(O42,"lbf","N")</f>
        <v>-781.99735996279594</v>
      </c>
      <c r="O42">
        <v>-175.8</v>
      </c>
      <c r="P42">
        <f t="shared" si="0"/>
        <v>-0.42364532019704437</v>
      </c>
    </row>
    <row r="43" spans="1:16" hidden="1" x14ac:dyDescent="0.25">
      <c r="A43">
        <v>0</v>
      </c>
      <c r="B43">
        <v>10000</v>
      </c>
      <c r="C43">
        <f>1.225 * (1 - 0.00000687559 * B43) ^ 4.2561</f>
        <v>0.90462252368600637</v>
      </c>
      <c r="D43">
        <f>E43*(SQRT($C$2/C43))</f>
        <v>162.91549099457848</v>
      </c>
      <c r="E43">
        <v>140</v>
      </c>
      <c r="F43">
        <v>1215</v>
      </c>
      <c r="G43">
        <v>200</v>
      </c>
      <c r="H43">
        <f>CONVERT(G43,"HP","kW")</f>
        <v>149.13997431645407</v>
      </c>
      <c r="I43">
        <v>-0.109</v>
      </c>
      <c r="J43">
        <v>1.0445</v>
      </c>
      <c r="K43">
        <v>0.59489999999999998</v>
      </c>
      <c r="L43">
        <v>2.0400000000000001E-2</v>
      </c>
      <c r="M43">
        <v>-2.0999999999999999E-3</v>
      </c>
      <c r="N43">
        <f>CONVERT(O43,"lbf","N")</f>
        <v>-193.9424624253578</v>
      </c>
      <c r="O43">
        <v>-43.6</v>
      </c>
      <c r="P43">
        <f t="shared" si="0"/>
        <v>-0.10294117647058822</v>
      </c>
    </row>
    <row r="44" spans="1:16" hidden="1" x14ac:dyDescent="0.25">
      <c r="A44">
        <v>0</v>
      </c>
      <c r="B44">
        <v>10000</v>
      </c>
      <c r="C44">
        <f>1.225 * (1 - 0.00000687559 * B44) ^ 4.2561</f>
        <v>0.90462252368600637</v>
      </c>
      <c r="D44">
        <f>E44*(SQRT($C$2/C44))</f>
        <v>209.4627741358866</v>
      </c>
      <c r="E44">
        <v>180</v>
      </c>
      <c r="F44">
        <v>1215</v>
      </c>
      <c r="G44">
        <v>200</v>
      </c>
      <c r="H44">
        <f>CONVERT(G44,"HP","kW")</f>
        <v>149.13997431645407</v>
      </c>
      <c r="I44">
        <v>-0.16120000000000001</v>
      </c>
      <c r="J44">
        <v>1.3429</v>
      </c>
      <c r="K44">
        <v>0.62960000000000005</v>
      </c>
      <c r="L44">
        <v>2.0400000000000001E-2</v>
      </c>
      <c r="M44">
        <v>-2.3999999999999998E-3</v>
      </c>
      <c r="N44">
        <f>CONVERT(O44,"lbf","N")</f>
        <v>-222.85590292455106</v>
      </c>
      <c r="O44">
        <v>-50.1</v>
      </c>
      <c r="P44">
        <f t="shared" si="0"/>
        <v>-0.1176470588235294</v>
      </c>
    </row>
    <row r="45" spans="1:16" hidden="1" x14ac:dyDescent="0.25">
      <c r="A45">
        <v>0</v>
      </c>
      <c r="B45">
        <v>10000</v>
      </c>
      <c r="C45">
        <f>1.225 * (1 - 0.00000687559 * B45) ^ 4.2561</f>
        <v>0.90462252368600637</v>
      </c>
      <c r="D45">
        <f>E45*(SQRT($C$2/C45))</f>
        <v>302.55734041850286</v>
      </c>
      <c r="E45">
        <v>260</v>
      </c>
      <c r="F45">
        <v>1215</v>
      </c>
      <c r="G45">
        <v>200</v>
      </c>
      <c r="H45">
        <f>CONVERT(G45,"HP","kW")</f>
        <v>149.13997431645407</v>
      </c>
      <c r="I45">
        <v>0</v>
      </c>
      <c r="J45">
        <v>1.9398</v>
      </c>
      <c r="K45">
        <v>0.71650000000000003</v>
      </c>
      <c r="L45">
        <v>2.0400000000000001E-2</v>
      </c>
      <c r="M45">
        <v>-1.2500000000000001E-2</v>
      </c>
      <c r="N45">
        <f>CONVERT(O45,"lbf","N")</f>
        <v>-1139.1895556682141</v>
      </c>
      <c r="O45">
        <v>-256.10000000000002</v>
      </c>
      <c r="P45">
        <f t="shared" si="0"/>
        <v>-0.61274509803921573</v>
      </c>
    </row>
    <row r="46" spans="1:16" hidden="1" x14ac:dyDescent="0.25">
      <c r="A46">
        <v>0</v>
      </c>
      <c r="B46">
        <v>5000</v>
      </c>
      <c r="C46">
        <f>1.225 * (1 - 0.00000687559 * B46) ^ 4.2561</f>
        <v>1.0555380742846066</v>
      </c>
      <c r="D46">
        <f>E46*(SQRT($C$2/C46))</f>
        <v>129.27434283654705</v>
      </c>
      <c r="E46">
        <v>120</v>
      </c>
      <c r="F46">
        <v>1150</v>
      </c>
      <c r="G46">
        <v>200</v>
      </c>
      <c r="H46">
        <f>CONVERT(G46,"HP","kW")</f>
        <v>149.13997431645407</v>
      </c>
      <c r="I46">
        <v>-3.7900000000000003E-2</v>
      </c>
      <c r="J46">
        <v>0.87570000000000003</v>
      </c>
      <c r="K46">
        <v>0.53759999999999997</v>
      </c>
      <c r="L46">
        <v>2.0500000000000001E-2</v>
      </c>
      <c r="M46">
        <v>-8.9999999999999998E-4</v>
      </c>
      <c r="N46">
        <f>CONVERT(O46,"lbf","N")</f>
        <v>-84.961032851475551</v>
      </c>
      <c r="O46">
        <v>-19.100000000000001</v>
      </c>
      <c r="P46">
        <f t="shared" si="0"/>
        <v>-4.3902439024390241E-2</v>
      </c>
    </row>
    <row r="47" spans="1:16" hidden="1" x14ac:dyDescent="0.25">
      <c r="A47">
        <v>0</v>
      </c>
      <c r="B47">
        <v>5000</v>
      </c>
      <c r="C47">
        <f>1.225 * (1 - 0.00000687559 * B47) ^ 4.2561</f>
        <v>1.0555380742846066</v>
      </c>
      <c r="D47">
        <f>E47*(SQRT($C$2/C47))</f>
        <v>172.3657904487294</v>
      </c>
      <c r="E47">
        <v>160</v>
      </c>
      <c r="F47">
        <v>1150</v>
      </c>
      <c r="G47">
        <v>200</v>
      </c>
      <c r="H47">
        <f>CONVERT(G47,"HP","kW")</f>
        <v>149.13997431645407</v>
      </c>
      <c r="I47">
        <v>4.7000000000000002E-3</v>
      </c>
      <c r="J47">
        <v>1.1676</v>
      </c>
      <c r="K47">
        <v>0.5655</v>
      </c>
      <c r="L47">
        <v>2.0500000000000001E-2</v>
      </c>
      <c r="M47">
        <v>1E-4</v>
      </c>
      <c r="N47">
        <f>CONVERT(O47,"lbf","N")</f>
        <v>8.0067989074688999</v>
      </c>
      <c r="O47">
        <v>1.8</v>
      </c>
      <c r="P47">
        <f t="shared" si="0"/>
        <v>4.8780487804878049E-3</v>
      </c>
    </row>
    <row r="48" spans="1:16" hidden="1" x14ac:dyDescent="0.25">
      <c r="A48">
        <v>0</v>
      </c>
      <c r="B48">
        <v>5000</v>
      </c>
      <c r="C48">
        <f>1.225 * (1 - 0.00000687559 * B48) ^ 4.2561</f>
        <v>1.0555380742846066</v>
      </c>
      <c r="D48">
        <f>E48*(SQRT($C$2/C48))</f>
        <v>193.91151425482059</v>
      </c>
      <c r="E48">
        <v>180</v>
      </c>
      <c r="F48">
        <v>1150</v>
      </c>
      <c r="G48">
        <v>200</v>
      </c>
      <c r="H48">
        <f>CONVERT(G48,"HP","kW")</f>
        <v>149.13997431645407</v>
      </c>
      <c r="I48">
        <v>-2.0899999999999998E-2</v>
      </c>
      <c r="J48">
        <v>1.3134999999999999</v>
      </c>
      <c r="K48">
        <v>0.58179999999999998</v>
      </c>
      <c r="L48">
        <v>2.0500000000000001E-2</v>
      </c>
      <c r="M48">
        <v>-2.9999999999999997E-4</v>
      </c>
      <c r="N48">
        <f>CONVERT(O48,"lbf","N")</f>
        <v>-31.1375513068235</v>
      </c>
      <c r="O48">
        <v>-7</v>
      </c>
      <c r="P48">
        <f t="shared" si="0"/>
        <v>-1.4634146341463412E-2</v>
      </c>
    </row>
    <row r="49" spans="1:16" hidden="1" x14ac:dyDescent="0.25">
      <c r="A49">
        <v>0</v>
      </c>
      <c r="B49">
        <v>5000</v>
      </c>
      <c r="C49">
        <f>1.225 * (1 - 0.00000687559 * B49) ^ 4.2561</f>
        <v>1.0555380742846066</v>
      </c>
      <c r="D49">
        <f>E49*(SQRT($C$2/C49))</f>
        <v>237.00296186700291</v>
      </c>
      <c r="E49">
        <v>220</v>
      </c>
      <c r="F49">
        <v>1150</v>
      </c>
      <c r="G49">
        <v>200</v>
      </c>
      <c r="H49">
        <f>CONVERT(G49,"HP","kW")</f>
        <v>149.13997431645407</v>
      </c>
      <c r="I49">
        <v>-0.18340000000000001</v>
      </c>
      <c r="J49">
        <v>1.6053999999999999</v>
      </c>
      <c r="K49">
        <v>0.61839999999999995</v>
      </c>
      <c r="L49">
        <v>2.0500000000000001E-2</v>
      </c>
      <c r="M49">
        <v>-2.3E-3</v>
      </c>
      <c r="N49">
        <f>CONVERT(O49,"lbf","N")</f>
        <v>-224.1903694091292</v>
      </c>
      <c r="O49">
        <v>-50.4</v>
      </c>
      <c r="P49">
        <f t="shared" si="0"/>
        <v>-0.1121951219512195</v>
      </c>
    </row>
    <row r="50" spans="1:16" hidden="1" x14ac:dyDescent="0.25">
      <c r="A50">
        <v>0</v>
      </c>
      <c r="B50">
        <v>5000</v>
      </c>
      <c r="C50">
        <f>1.225 * (1 - 0.00000687559 * B50) ^ 4.2561</f>
        <v>1.0555380742846066</v>
      </c>
      <c r="D50">
        <f>E50*(SQRT($C$2/C50))</f>
        <v>258.5486856730941</v>
      </c>
      <c r="E50">
        <v>240</v>
      </c>
      <c r="F50">
        <v>1150</v>
      </c>
      <c r="G50">
        <v>200</v>
      </c>
      <c r="H50">
        <f>CONVERT(G50,"HP","kW")</f>
        <v>149.13997431645407</v>
      </c>
      <c r="I50">
        <v>-0.35320000000000001</v>
      </c>
      <c r="J50">
        <v>1.7513000000000001</v>
      </c>
      <c r="K50">
        <v>0.63849999999999996</v>
      </c>
      <c r="L50">
        <v>2.0500000000000001E-2</v>
      </c>
      <c r="M50">
        <v>-4.1000000000000003E-3</v>
      </c>
      <c r="N50">
        <f>CONVERT(O50,"lbf","N")</f>
        <v>-395.89172375818453</v>
      </c>
      <c r="O50">
        <v>-89</v>
      </c>
      <c r="P50">
        <f t="shared" si="0"/>
        <v>-0.2</v>
      </c>
    </row>
    <row r="51" spans="1:16" hidden="1" x14ac:dyDescent="0.25">
      <c r="A51">
        <v>0</v>
      </c>
      <c r="B51">
        <v>5000</v>
      </c>
      <c r="C51">
        <f>1.225 * (1 - 0.00000687559 * B51) ^ 4.2561</f>
        <v>1.0555380742846066</v>
      </c>
      <c r="D51">
        <f>E51*(SQRT($C$2/C51))</f>
        <v>86.1828952243647</v>
      </c>
      <c r="E51">
        <v>80</v>
      </c>
      <c r="F51">
        <v>1150</v>
      </c>
      <c r="G51">
        <v>200</v>
      </c>
      <c r="H51">
        <f>CONVERT(G51,"HP","kW")</f>
        <v>149.13997431645407</v>
      </c>
      <c r="I51">
        <v>-0.35730000000000001</v>
      </c>
      <c r="J51">
        <v>0.58379999999999999</v>
      </c>
      <c r="K51">
        <v>0.51670000000000005</v>
      </c>
      <c r="L51">
        <v>2.06E-2</v>
      </c>
      <c r="M51">
        <v>-1.26E-2</v>
      </c>
      <c r="N51">
        <f>CONVERT(O51,"lbf","N")</f>
        <v>-1201.9094804433871</v>
      </c>
      <c r="O51">
        <v>-270.2</v>
      </c>
      <c r="P51">
        <f t="shared" si="0"/>
        <v>-0.61165048543689315</v>
      </c>
    </row>
    <row r="52" spans="1:16" hidden="1" x14ac:dyDescent="0.25">
      <c r="A52">
        <v>0</v>
      </c>
      <c r="B52">
        <v>5000</v>
      </c>
      <c r="C52">
        <f>1.225 * (1 - 0.00000687559 * B52) ^ 4.2561</f>
        <v>1.0555380742846066</v>
      </c>
      <c r="D52">
        <f>E52*(SQRT($C$2/C52))</f>
        <v>107.72861903045587</v>
      </c>
      <c r="E52">
        <v>100</v>
      </c>
      <c r="F52">
        <v>1150</v>
      </c>
      <c r="G52">
        <v>200</v>
      </c>
      <c r="H52">
        <f>CONVERT(G52,"HP","kW")</f>
        <v>149.13997431645407</v>
      </c>
      <c r="I52">
        <v>-0.126</v>
      </c>
      <c r="J52">
        <v>0.72970000000000002</v>
      </c>
      <c r="K52">
        <v>0.5262</v>
      </c>
      <c r="L52">
        <v>2.06E-2</v>
      </c>
      <c r="M52">
        <v>-3.5999999999999999E-3</v>
      </c>
      <c r="N52">
        <f>CONVERT(O52,"lbf","N")</f>
        <v>-338.95448708285011</v>
      </c>
      <c r="O52">
        <v>-76.2</v>
      </c>
      <c r="P52">
        <f t="shared" si="0"/>
        <v>-0.17475728155339806</v>
      </c>
    </row>
    <row r="53" spans="1:16" hidden="1" x14ac:dyDescent="0.25">
      <c r="A53">
        <v>0</v>
      </c>
      <c r="B53">
        <v>5000</v>
      </c>
      <c r="C53">
        <f>1.225 * (1 - 0.00000687559 * B53) ^ 4.2561</f>
        <v>1.0555380742846066</v>
      </c>
      <c r="D53">
        <f>E53*(SQRT($C$2/C53))</f>
        <v>150.82006664263821</v>
      </c>
      <c r="E53">
        <v>140</v>
      </c>
      <c r="F53">
        <v>1150</v>
      </c>
      <c r="G53">
        <v>200</v>
      </c>
      <c r="H53">
        <f>CONVERT(G53,"HP","kW")</f>
        <v>149.13997431645407</v>
      </c>
      <c r="I53">
        <v>2.3999999999999998E-3</v>
      </c>
      <c r="J53">
        <v>1.0216000000000001</v>
      </c>
      <c r="K53">
        <v>0.55069999999999997</v>
      </c>
      <c r="L53">
        <v>2.06E-2</v>
      </c>
      <c r="M53">
        <v>0</v>
      </c>
      <c r="N53">
        <f>CONVERT(O53,"lbf","N")</f>
        <v>4.4482216152605005</v>
      </c>
      <c r="O53">
        <v>1</v>
      </c>
      <c r="P53">
        <f t="shared" si="0"/>
        <v>0</v>
      </c>
    </row>
    <row r="54" spans="1:16" hidden="1" x14ac:dyDescent="0.25">
      <c r="A54">
        <v>0</v>
      </c>
      <c r="B54">
        <v>5000</v>
      </c>
      <c r="C54">
        <f>1.225 * (1 - 0.00000687559 * B54) ^ 4.2561</f>
        <v>1.0555380742846066</v>
      </c>
      <c r="D54">
        <f>E54*(SQRT($C$2/C54))</f>
        <v>215.45723806091175</v>
      </c>
      <c r="E54">
        <v>200</v>
      </c>
      <c r="F54">
        <v>1150</v>
      </c>
      <c r="G54">
        <v>200</v>
      </c>
      <c r="H54">
        <f>CONVERT(G54,"HP","kW")</f>
        <v>149.13997431645407</v>
      </c>
      <c r="I54">
        <v>-7.3400000000000007E-2</v>
      </c>
      <c r="J54">
        <v>1.4595</v>
      </c>
      <c r="K54">
        <v>0.59940000000000004</v>
      </c>
      <c r="L54">
        <v>2.06E-2</v>
      </c>
      <c r="M54">
        <v>-1E-3</v>
      </c>
      <c r="N54">
        <f>CONVERT(O54,"lbf","N")</f>
        <v>-98.750519858783093</v>
      </c>
      <c r="O54">
        <v>-22.2</v>
      </c>
      <c r="P54">
        <f t="shared" si="0"/>
        <v>-4.8543689320388349E-2</v>
      </c>
    </row>
    <row r="55" spans="1:16" hidden="1" x14ac:dyDescent="0.25">
      <c r="A55">
        <v>0</v>
      </c>
      <c r="B55">
        <v>5000</v>
      </c>
      <c r="C55">
        <f>1.225 * (1 - 0.00000687559 * B55) ^ 4.2561</f>
        <v>1.0555380742846066</v>
      </c>
      <c r="D55">
        <f>E55*(SQRT($C$2/C55))</f>
        <v>280.09440947918529</v>
      </c>
      <c r="E55">
        <v>260</v>
      </c>
      <c r="F55">
        <v>1150</v>
      </c>
      <c r="G55">
        <v>200</v>
      </c>
      <c r="H55">
        <f>CONVERT(G55,"HP","kW")</f>
        <v>149.13997431645407</v>
      </c>
      <c r="I55">
        <v>-0.57950000000000002</v>
      </c>
      <c r="J55">
        <v>1.8973</v>
      </c>
      <c r="K55">
        <v>0.65959999999999996</v>
      </c>
      <c r="L55">
        <v>2.06E-2</v>
      </c>
      <c r="M55">
        <v>-6.3E-3</v>
      </c>
      <c r="N55">
        <f>CONVERT(O55,"lbf","N")</f>
        <v>-599.62027373711544</v>
      </c>
      <c r="O55">
        <v>-134.80000000000001</v>
      </c>
      <c r="P55">
        <f t="shared" si="0"/>
        <v>-0.30582524271844658</v>
      </c>
    </row>
    <row r="56" spans="1:16" hidden="1" x14ac:dyDescent="0.25">
      <c r="A56">
        <v>0</v>
      </c>
      <c r="B56">
        <v>5000</v>
      </c>
      <c r="C56">
        <f>1.225 * (1 - 0.00000687559 * B56) ^ 4.2561</f>
        <v>1.0555380742846066</v>
      </c>
      <c r="D56">
        <f>E56*(SQRT($C$2/C56))</f>
        <v>107.72861903045587</v>
      </c>
      <c r="E56">
        <v>100</v>
      </c>
      <c r="F56">
        <v>1215</v>
      </c>
      <c r="G56">
        <v>250</v>
      </c>
      <c r="H56">
        <f>CONVERT(G56,"HP","kW")</f>
        <v>186.42496789556756</v>
      </c>
      <c r="I56">
        <v>-0.18909999999999999</v>
      </c>
      <c r="J56">
        <v>0.69069999999999998</v>
      </c>
      <c r="K56">
        <v>0.55310000000000004</v>
      </c>
      <c r="L56">
        <v>2.18E-2</v>
      </c>
      <c r="M56">
        <v>-6.0000000000000001E-3</v>
      </c>
      <c r="N56">
        <f>CONVERT(O56,"lbf","N")</f>
        <v>-636.09569098225154</v>
      </c>
      <c r="O56">
        <v>-143</v>
      </c>
      <c r="P56">
        <f t="shared" si="0"/>
        <v>-0.27522935779816515</v>
      </c>
    </row>
    <row r="57" spans="1:16" hidden="1" x14ac:dyDescent="0.25">
      <c r="A57">
        <v>0</v>
      </c>
      <c r="B57">
        <v>5000</v>
      </c>
      <c r="C57">
        <f>1.225 * (1 - 0.00000687559 * B57) ^ 4.2561</f>
        <v>1.0555380742846066</v>
      </c>
      <c r="D57">
        <f>E57*(SQRT($C$2/C57))</f>
        <v>129.27434283654705</v>
      </c>
      <c r="E57">
        <v>120</v>
      </c>
      <c r="F57">
        <v>1215</v>
      </c>
      <c r="G57">
        <v>250</v>
      </c>
      <c r="H57">
        <f>CONVERT(G57,"HP","kW")</f>
        <v>186.42496789556756</v>
      </c>
      <c r="I57">
        <v>-6.1800000000000001E-2</v>
      </c>
      <c r="J57">
        <v>0.82879999999999998</v>
      </c>
      <c r="K57">
        <v>0.56389999999999996</v>
      </c>
      <c r="L57">
        <v>2.18E-2</v>
      </c>
      <c r="M57">
        <v>-1.6000000000000001E-3</v>
      </c>
      <c r="N57">
        <f>CONVERT(O57,"lbf","N")</f>
        <v>-173.03582083363344</v>
      </c>
      <c r="O57">
        <v>-38.9</v>
      </c>
      <c r="P57">
        <f t="shared" si="0"/>
        <v>-7.3394495412844041E-2</v>
      </c>
    </row>
    <row r="58" spans="1:16" hidden="1" x14ac:dyDescent="0.25">
      <c r="A58">
        <v>0</v>
      </c>
      <c r="B58">
        <v>5000</v>
      </c>
      <c r="C58">
        <f>1.225 * (1 - 0.00000687559 * B58) ^ 4.2561</f>
        <v>1.0555380742846066</v>
      </c>
      <c r="D58">
        <f>E58*(SQRT($C$2/C58))</f>
        <v>150.82006664263821</v>
      </c>
      <c r="E58">
        <v>140</v>
      </c>
      <c r="F58">
        <v>1215</v>
      </c>
      <c r="G58">
        <v>250</v>
      </c>
      <c r="H58">
        <f>CONVERT(G58,"HP","kW")</f>
        <v>186.42496789556756</v>
      </c>
      <c r="I58">
        <v>-6.7000000000000002E-3</v>
      </c>
      <c r="J58">
        <v>0.96699999999999997</v>
      </c>
      <c r="K58">
        <v>0.57640000000000002</v>
      </c>
      <c r="L58">
        <v>2.18E-2</v>
      </c>
      <c r="M58">
        <v>-2.0000000000000001E-4</v>
      </c>
      <c r="N58">
        <f>CONVERT(O58,"lbf","N")</f>
        <v>-16.0135978149378</v>
      </c>
      <c r="O58">
        <v>-3.6</v>
      </c>
      <c r="P58">
        <f t="shared" si="0"/>
        <v>-9.1743119266055051E-3</v>
      </c>
    </row>
    <row r="59" spans="1:16" hidden="1" x14ac:dyDescent="0.25">
      <c r="A59">
        <v>0</v>
      </c>
      <c r="B59">
        <v>5000</v>
      </c>
      <c r="C59">
        <f>1.225 * (1 - 0.00000687559 * B59) ^ 4.2561</f>
        <v>1.0555380742846066</v>
      </c>
      <c r="D59">
        <f>E59*(SQRT($C$2/C59))</f>
        <v>172.3657904487294</v>
      </c>
      <c r="E59">
        <v>160</v>
      </c>
      <c r="F59">
        <v>1215</v>
      </c>
      <c r="G59">
        <v>250</v>
      </c>
      <c r="H59">
        <f>CONVERT(G59,"HP","kW")</f>
        <v>186.42496789556756</v>
      </c>
      <c r="I59">
        <v>7.4000000000000003E-3</v>
      </c>
      <c r="J59">
        <v>1.1051</v>
      </c>
      <c r="K59">
        <v>0.59060000000000001</v>
      </c>
      <c r="L59">
        <v>2.18E-2</v>
      </c>
      <c r="M59">
        <v>1E-4</v>
      </c>
      <c r="N59">
        <f>CONVERT(O59,"lbf","N")</f>
        <v>15.56877565341175</v>
      </c>
      <c r="O59">
        <v>3.5</v>
      </c>
      <c r="P59">
        <f t="shared" si="0"/>
        <v>4.5871559633027525E-3</v>
      </c>
    </row>
    <row r="60" spans="1:16" hidden="1" x14ac:dyDescent="0.25">
      <c r="A60">
        <v>0</v>
      </c>
      <c r="B60">
        <v>5000</v>
      </c>
      <c r="C60">
        <f>1.225 * (1 - 0.00000687559 * B60) ^ 4.2561</f>
        <v>1.0555380742846066</v>
      </c>
      <c r="D60">
        <f>E60*(SQRT($C$2/C60))</f>
        <v>193.91151425482059</v>
      </c>
      <c r="E60">
        <v>180</v>
      </c>
      <c r="F60">
        <v>1215</v>
      </c>
      <c r="G60">
        <v>250</v>
      </c>
      <c r="H60">
        <f>CONVERT(G60,"HP","kW")</f>
        <v>186.42496789556756</v>
      </c>
      <c r="I60">
        <v>-3.2000000000000002E-3</v>
      </c>
      <c r="J60">
        <v>1.2432000000000001</v>
      </c>
      <c r="K60">
        <v>0.60619999999999996</v>
      </c>
      <c r="L60">
        <v>2.18E-2</v>
      </c>
      <c r="M60">
        <v>-1E-4</v>
      </c>
      <c r="N60">
        <f>CONVERT(O60,"lbf","N")</f>
        <v>-6.2275102613647002</v>
      </c>
      <c r="O60">
        <v>-1.4</v>
      </c>
      <c r="P60">
        <f t="shared" si="0"/>
        <v>-4.5871559633027525E-3</v>
      </c>
    </row>
    <row r="61" spans="1:16" hidden="1" x14ac:dyDescent="0.25">
      <c r="A61">
        <v>0</v>
      </c>
      <c r="B61">
        <v>5000</v>
      </c>
      <c r="C61">
        <f>1.225 * (1 - 0.00000687559 * B61) ^ 4.2561</f>
        <v>1.0555380742846066</v>
      </c>
      <c r="D61">
        <f>E61*(SQRT($C$2/C61))</f>
        <v>215.45723806091175</v>
      </c>
      <c r="E61">
        <v>200</v>
      </c>
      <c r="F61">
        <v>1215</v>
      </c>
      <c r="G61">
        <v>250</v>
      </c>
      <c r="H61">
        <f>CONVERT(G61,"HP","kW")</f>
        <v>186.42496789556756</v>
      </c>
      <c r="I61">
        <v>-4.6300000000000001E-2</v>
      </c>
      <c r="J61">
        <v>1.3814</v>
      </c>
      <c r="K61">
        <v>0.62309999999999999</v>
      </c>
      <c r="L61">
        <v>2.18E-2</v>
      </c>
      <c r="M61">
        <v>-6.9999999999999999E-4</v>
      </c>
      <c r="N61">
        <f>CONVERT(O61,"lbf","N")</f>
        <v>-77.843878267058756</v>
      </c>
      <c r="O61">
        <v>-17.5</v>
      </c>
      <c r="P61">
        <f t="shared" si="0"/>
        <v>-3.2110091743119268E-2</v>
      </c>
    </row>
    <row r="62" spans="1:16" hidden="1" x14ac:dyDescent="0.25">
      <c r="A62">
        <v>0</v>
      </c>
      <c r="B62">
        <v>5000</v>
      </c>
      <c r="C62">
        <f>1.225 * (1 - 0.00000687559 * B62) ^ 4.2561</f>
        <v>1.0555380742846066</v>
      </c>
      <c r="D62">
        <f>E62*(SQRT($C$2/C62))</f>
        <v>237.00296186700291</v>
      </c>
      <c r="E62">
        <v>220</v>
      </c>
      <c r="F62">
        <v>1215</v>
      </c>
      <c r="G62">
        <v>250</v>
      </c>
      <c r="H62">
        <f>CONVERT(G62,"HP","kW")</f>
        <v>186.42496789556756</v>
      </c>
      <c r="I62">
        <v>-0.14000000000000001</v>
      </c>
      <c r="J62">
        <v>1.5195000000000001</v>
      </c>
      <c r="K62">
        <v>0.64139999999999997</v>
      </c>
      <c r="L62">
        <v>2.18E-2</v>
      </c>
      <c r="M62">
        <v>-2E-3</v>
      </c>
      <c r="N62">
        <f>CONVERT(O62,"lbf","N")</f>
        <v>-213.95945969403007</v>
      </c>
      <c r="O62">
        <v>-48.1</v>
      </c>
      <c r="P62">
        <f t="shared" si="0"/>
        <v>-9.1743119266055051E-2</v>
      </c>
    </row>
    <row r="63" spans="1:16" hidden="1" x14ac:dyDescent="0.25">
      <c r="A63">
        <v>0</v>
      </c>
      <c r="B63">
        <v>5000</v>
      </c>
      <c r="C63">
        <f>1.225 * (1 - 0.00000687559 * B63) ^ 4.2561</f>
        <v>1.0555380742846066</v>
      </c>
      <c r="D63">
        <f>E63*(SQRT($C$2/C63))</f>
        <v>258.5486856730941</v>
      </c>
      <c r="E63">
        <v>240</v>
      </c>
      <c r="F63">
        <v>1215</v>
      </c>
      <c r="G63">
        <v>250</v>
      </c>
      <c r="H63">
        <f>CONVERT(G63,"HP","kW")</f>
        <v>186.42496789556756</v>
      </c>
      <c r="I63">
        <v>-0.30580000000000002</v>
      </c>
      <c r="J63">
        <v>1.6577</v>
      </c>
      <c r="K63">
        <v>0.66080000000000005</v>
      </c>
      <c r="L63">
        <v>2.18E-2</v>
      </c>
      <c r="M63">
        <v>-4.0000000000000001E-3</v>
      </c>
      <c r="N63">
        <f>CONVERT(O63,"lbf","N")</f>
        <v>-428.80856371111224</v>
      </c>
      <c r="O63">
        <v>-96.4</v>
      </c>
      <c r="P63">
        <f t="shared" si="0"/>
        <v>-0.1834862385321101</v>
      </c>
    </row>
    <row r="64" spans="1:16" hidden="1" x14ac:dyDescent="0.25">
      <c r="A64">
        <v>0</v>
      </c>
      <c r="B64">
        <v>5000</v>
      </c>
      <c r="C64">
        <f>1.225 * (1 - 0.00000687559 * B64) ^ 4.2561</f>
        <v>1.0555380742846066</v>
      </c>
      <c r="D64">
        <f>E64*(SQRT($C$2/C64))</f>
        <v>280.09440947918529</v>
      </c>
      <c r="E64">
        <v>260</v>
      </c>
      <c r="F64">
        <v>1215</v>
      </c>
      <c r="G64">
        <v>250</v>
      </c>
      <c r="H64">
        <f>CONVERT(G64,"HP","kW")</f>
        <v>186.42496789556756</v>
      </c>
      <c r="I64">
        <v>-0.52470000000000006</v>
      </c>
      <c r="J64">
        <v>1.7958000000000001</v>
      </c>
      <c r="K64">
        <v>0.68130000000000002</v>
      </c>
      <c r="L64">
        <v>2.18E-2</v>
      </c>
      <c r="M64">
        <v>-6.4000000000000003E-3</v>
      </c>
      <c r="N64">
        <f>CONVERT(O64,"lbf","N")</f>
        <v>-678.79861848875225</v>
      </c>
      <c r="O64">
        <v>-152.6</v>
      </c>
      <c r="P64">
        <f t="shared" si="0"/>
        <v>-0.29357798165137616</v>
      </c>
    </row>
    <row r="65" spans="1:16" hidden="1" x14ac:dyDescent="0.25">
      <c r="A65">
        <v>0</v>
      </c>
      <c r="B65">
        <v>0</v>
      </c>
      <c r="C65">
        <f>1.225 * (1 - 0.00000687559 * B65) ^ 4.2561</f>
        <v>1.2250000000000001</v>
      </c>
      <c r="D65">
        <f>E65*(SQRT($C$2/C65))</f>
        <v>80</v>
      </c>
      <c r="E65">
        <v>80</v>
      </c>
      <c r="F65">
        <v>1150</v>
      </c>
      <c r="G65">
        <v>250</v>
      </c>
      <c r="H65">
        <f>CONVERT(G65,"HP","kW")</f>
        <v>186.42496789556756</v>
      </c>
      <c r="I65">
        <v>-0.2024</v>
      </c>
      <c r="J65">
        <v>0.54190000000000005</v>
      </c>
      <c r="K65">
        <v>0.50549999999999995</v>
      </c>
      <c r="L65">
        <v>2.2100000000000002E-2</v>
      </c>
      <c r="M65">
        <v>-8.3000000000000001E-3</v>
      </c>
      <c r="N65">
        <f>CONVERT(O65,"lbf","N")</f>
        <v>-916.778474905189</v>
      </c>
      <c r="O65">
        <v>-206.1</v>
      </c>
      <c r="P65">
        <f t="shared" si="0"/>
        <v>-0.3755656108597285</v>
      </c>
    </row>
    <row r="66" spans="1:16" hidden="1" x14ac:dyDescent="0.25">
      <c r="A66">
        <v>0</v>
      </c>
      <c r="B66">
        <v>0</v>
      </c>
      <c r="C66">
        <f>1.225 * (1 - 0.00000687559 * B66) ^ 4.2561</f>
        <v>1.2250000000000001</v>
      </c>
      <c r="D66">
        <f>E66*(SQRT($C$2/C66))</f>
        <v>100</v>
      </c>
      <c r="E66">
        <v>100</v>
      </c>
      <c r="F66">
        <v>1150</v>
      </c>
      <c r="G66">
        <v>250</v>
      </c>
      <c r="H66">
        <f>CONVERT(G66,"HP","kW")</f>
        <v>186.42496789556756</v>
      </c>
      <c r="I66">
        <v>-1.9800000000000002E-2</v>
      </c>
      <c r="J66">
        <v>0.6774</v>
      </c>
      <c r="K66">
        <v>0.51349999999999996</v>
      </c>
      <c r="L66">
        <v>2.2100000000000002E-2</v>
      </c>
      <c r="M66">
        <v>-5.9999999999999995E-4</v>
      </c>
      <c r="N66">
        <f>CONVERT(O66,"lbf","N")</f>
        <v>-71.616368005694056</v>
      </c>
      <c r="O66">
        <v>-16.100000000000001</v>
      </c>
      <c r="P66">
        <f t="shared" si="0"/>
        <v>-2.7149321266968323E-2</v>
      </c>
    </row>
    <row r="67" spans="1:16" hidden="1" x14ac:dyDescent="0.25">
      <c r="A67">
        <v>0</v>
      </c>
      <c r="B67">
        <v>0</v>
      </c>
      <c r="C67">
        <f>1.225 * (1 - 0.00000687559 * B67) ^ 4.2561</f>
        <v>1.2250000000000001</v>
      </c>
      <c r="D67">
        <f>E67*(SQRT($C$2/C67))</f>
        <v>120</v>
      </c>
      <c r="E67">
        <v>120</v>
      </c>
      <c r="F67">
        <v>1150</v>
      </c>
      <c r="G67">
        <v>250</v>
      </c>
      <c r="H67">
        <f>CONVERT(G67,"HP","kW")</f>
        <v>186.42496789556756</v>
      </c>
      <c r="I67">
        <v>6.6400000000000001E-2</v>
      </c>
      <c r="J67">
        <v>0.81289999999999996</v>
      </c>
      <c r="K67">
        <v>0.5232</v>
      </c>
      <c r="L67">
        <v>2.2100000000000002E-2</v>
      </c>
      <c r="M67">
        <v>1.8E-3</v>
      </c>
      <c r="N67">
        <f>CONVERT(O67,"lbf","N")</f>
        <v>200.61479484824855</v>
      </c>
      <c r="O67">
        <v>45.1</v>
      </c>
      <c r="P67">
        <f t="shared" ref="P67:P130" si="1">M67/L67</f>
        <v>8.1447963800904966E-2</v>
      </c>
    </row>
    <row r="68" spans="1:16" hidden="1" x14ac:dyDescent="0.25">
      <c r="A68">
        <v>0</v>
      </c>
      <c r="B68">
        <v>0</v>
      </c>
      <c r="C68">
        <f>1.225 * (1 - 0.00000687559 * B68) ^ 4.2561</f>
        <v>1.2250000000000001</v>
      </c>
      <c r="D68">
        <f>E68*(SQRT($C$2/C68))</f>
        <v>160</v>
      </c>
      <c r="E68">
        <v>160</v>
      </c>
      <c r="F68">
        <v>1150</v>
      </c>
      <c r="G68">
        <v>250</v>
      </c>
      <c r="H68">
        <f>CONVERT(G68,"HP","kW")</f>
        <v>186.42496789556756</v>
      </c>
      <c r="I68">
        <v>0.1222</v>
      </c>
      <c r="J68">
        <v>1.0838000000000001</v>
      </c>
      <c r="K68">
        <v>0.54720000000000002</v>
      </c>
      <c r="L68">
        <v>2.2100000000000002E-2</v>
      </c>
      <c r="M68">
        <v>2.5000000000000001E-3</v>
      </c>
      <c r="N68">
        <f>CONVERT(O68,"lbf","N")</f>
        <v>276.67938446920311</v>
      </c>
      <c r="O68">
        <v>62.2</v>
      </c>
      <c r="P68">
        <f t="shared" si="1"/>
        <v>0.11312217194570136</v>
      </c>
    </row>
    <row r="69" spans="1:16" hidden="1" x14ac:dyDescent="0.25">
      <c r="A69">
        <v>0</v>
      </c>
      <c r="B69">
        <v>0</v>
      </c>
      <c r="C69">
        <f>1.225 * (1 - 0.00000687559 * B69) ^ 4.2561</f>
        <v>1.2250000000000001</v>
      </c>
      <c r="D69">
        <f>E69*(SQRT($C$2/C69))</f>
        <v>200</v>
      </c>
      <c r="E69">
        <v>200</v>
      </c>
      <c r="F69">
        <v>1150</v>
      </c>
      <c r="G69">
        <v>250</v>
      </c>
      <c r="H69">
        <f>CONVERT(G69,"HP","kW")</f>
        <v>186.42496789556756</v>
      </c>
      <c r="I69">
        <v>7.7700000000000005E-2</v>
      </c>
      <c r="J69">
        <v>1.3548</v>
      </c>
      <c r="K69">
        <v>0.57640000000000002</v>
      </c>
      <c r="L69">
        <v>2.2100000000000002E-2</v>
      </c>
      <c r="M69">
        <v>1.2999999999999999E-3</v>
      </c>
      <c r="N69">
        <f>CONVERT(O69,"lbf","N")</f>
        <v>141.00862520375784</v>
      </c>
      <c r="O69">
        <v>31.7</v>
      </c>
      <c r="P69">
        <f t="shared" si="1"/>
        <v>5.8823529411764698E-2</v>
      </c>
    </row>
    <row r="70" spans="1:16" hidden="1" x14ac:dyDescent="0.25">
      <c r="A70">
        <v>0</v>
      </c>
      <c r="B70">
        <v>0</v>
      </c>
      <c r="C70">
        <f>1.225 * (1 - 0.00000687559 * B70) ^ 4.2561</f>
        <v>1.2250000000000001</v>
      </c>
      <c r="D70">
        <f>E70*(SQRT($C$2/C70))</f>
        <v>220</v>
      </c>
      <c r="E70">
        <v>220</v>
      </c>
      <c r="F70">
        <v>1150</v>
      </c>
      <c r="G70">
        <v>250</v>
      </c>
      <c r="H70">
        <f>CONVERT(G70,"HP","kW")</f>
        <v>186.42496789556756</v>
      </c>
      <c r="I70">
        <v>2.6599999999999999E-2</v>
      </c>
      <c r="J70">
        <v>1.4902</v>
      </c>
      <c r="K70">
        <v>0.59289999999999998</v>
      </c>
      <c r="L70">
        <v>2.2100000000000002E-2</v>
      </c>
      <c r="M70">
        <v>4.0000000000000002E-4</v>
      </c>
      <c r="N70">
        <f>CONVERT(O70,"lbf","N")</f>
        <v>44.03739399107895</v>
      </c>
      <c r="O70">
        <v>9.9</v>
      </c>
      <c r="P70">
        <f t="shared" si="1"/>
        <v>1.8099547511312215E-2</v>
      </c>
    </row>
    <row r="71" spans="1:16" hidden="1" x14ac:dyDescent="0.25">
      <c r="A71">
        <v>0</v>
      </c>
      <c r="B71">
        <v>0</v>
      </c>
      <c r="C71">
        <f>1.225 * (1 - 0.00000687559 * B71) ^ 4.2561</f>
        <v>1.2250000000000001</v>
      </c>
      <c r="D71">
        <f>E71*(SQRT($C$2/C71))</f>
        <v>240</v>
      </c>
      <c r="E71">
        <v>240</v>
      </c>
      <c r="F71">
        <v>1150</v>
      </c>
      <c r="G71">
        <v>250</v>
      </c>
      <c r="H71">
        <f>CONVERT(G71,"HP","kW")</f>
        <v>186.42496789556756</v>
      </c>
      <c r="I71">
        <v>-7.6799999999999993E-2</v>
      </c>
      <c r="J71">
        <v>1.6256999999999999</v>
      </c>
      <c r="K71">
        <v>0.61029999999999995</v>
      </c>
      <c r="L71">
        <v>2.2100000000000002E-2</v>
      </c>
      <c r="M71">
        <v>-1E-3</v>
      </c>
      <c r="N71">
        <f>CONVERT(O71,"lbf","N")</f>
        <v>-116.09858415829906</v>
      </c>
      <c r="O71">
        <v>-26.1</v>
      </c>
      <c r="P71">
        <f t="shared" si="1"/>
        <v>-4.5248868778280542E-2</v>
      </c>
    </row>
    <row r="72" spans="1:16" hidden="1" x14ac:dyDescent="0.25">
      <c r="A72">
        <v>0</v>
      </c>
      <c r="B72">
        <v>0</v>
      </c>
      <c r="C72">
        <f>1.225 * (1 - 0.00000687559 * B72) ^ 4.2561</f>
        <v>1.2250000000000001</v>
      </c>
      <c r="D72">
        <f>E72*(SQRT($C$2/C72))</f>
        <v>260</v>
      </c>
      <c r="E72">
        <v>260</v>
      </c>
      <c r="F72">
        <v>1150</v>
      </c>
      <c r="G72">
        <v>250</v>
      </c>
      <c r="H72">
        <f>CONVERT(G72,"HP","kW")</f>
        <v>186.42496789556756</v>
      </c>
      <c r="I72">
        <v>-0.21240000000000001</v>
      </c>
      <c r="J72">
        <v>1.7612000000000001</v>
      </c>
      <c r="K72">
        <v>0.62880000000000003</v>
      </c>
      <c r="L72">
        <v>2.2100000000000002E-2</v>
      </c>
      <c r="M72">
        <v>-2.7000000000000001E-3</v>
      </c>
      <c r="N72">
        <f>CONVERT(O72,"lbf","N")</f>
        <v>-295.80673741482326</v>
      </c>
      <c r="O72">
        <v>-66.5</v>
      </c>
      <c r="P72">
        <f t="shared" si="1"/>
        <v>-0.12217194570135746</v>
      </c>
    </row>
    <row r="73" spans="1:16" hidden="1" x14ac:dyDescent="0.25">
      <c r="A73">
        <v>0</v>
      </c>
      <c r="B73">
        <v>0</v>
      </c>
      <c r="C73">
        <f>1.225 * (1 - 0.00000687559 * B73) ^ 4.2561</f>
        <v>1.2250000000000001</v>
      </c>
      <c r="D73">
        <f>E73*(SQRT($C$2/C73))</f>
        <v>140</v>
      </c>
      <c r="E73">
        <v>140</v>
      </c>
      <c r="F73">
        <v>1150</v>
      </c>
      <c r="G73">
        <v>250</v>
      </c>
      <c r="H73">
        <f>CONVERT(G73,"HP","kW")</f>
        <v>186.42496789556756</v>
      </c>
      <c r="I73">
        <v>0.112</v>
      </c>
      <c r="J73">
        <v>0.94830000000000003</v>
      </c>
      <c r="K73">
        <v>0.53449999999999998</v>
      </c>
      <c r="L73">
        <v>2.2200000000000001E-2</v>
      </c>
      <c r="M73">
        <v>2.5999999999999999E-3</v>
      </c>
      <c r="N73">
        <f>CONVERT(O73,"lbf","N")</f>
        <v>290.02404931498461</v>
      </c>
      <c r="O73">
        <v>65.2</v>
      </c>
      <c r="P73">
        <f t="shared" si="1"/>
        <v>0.1171171171171171</v>
      </c>
    </row>
    <row r="74" spans="1:16" hidden="1" x14ac:dyDescent="0.25">
      <c r="A74">
        <v>0</v>
      </c>
      <c r="B74">
        <v>0</v>
      </c>
      <c r="C74">
        <f>1.225 * (1 - 0.00000687559 * B74) ^ 4.2561</f>
        <v>1.2250000000000001</v>
      </c>
      <c r="D74">
        <f>E74*(SQRT($C$2/C74))</f>
        <v>180</v>
      </c>
      <c r="E74">
        <v>180</v>
      </c>
      <c r="F74">
        <v>1150</v>
      </c>
      <c r="G74">
        <v>250</v>
      </c>
      <c r="H74">
        <f>CONVERT(G74,"HP","kW")</f>
        <v>186.42496789556756</v>
      </c>
      <c r="I74">
        <v>0.1135</v>
      </c>
      <c r="J74">
        <v>1.2193000000000001</v>
      </c>
      <c r="K74">
        <v>0.56120000000000003</v>
      </c>
      <c r="L74">
        <v>2.2200000000000001E-2</v>
      </c>
      <c r="M74">
        <v>2.0999999999999999E-3</v>
      </c>
      <c r="N74">
        <f>CONVERT(O74,"lbf","N")</f>
        <v>228.63859102438971</v>
      </c>
      <c r="O74">
        <v>51.4</v>
      </c>
      <c r="P74">
        <f t="shared" si="1"/>
        <v>9.4594594594594586E-2</v>
      </c>
    </row>
    <row r="75" spans="1:16" hidden="1" x14ac:dyDescent="0.25">
      <c r="A75">
        <v>0</v>
      </c>
      <c r="B75">
        <v>15000</v>
      </c>
      <c r="C75">
        <f>1.225 * (1 - 0.00000687559 * B75) ^ 4.2561</f>
        <v>0.77079726910167001</v>
      </c>
      <c r="D75">
        <f>E75*(SQRT($C$2/C75))</f>
        <v>252.13199277533059</v>
      </c>
      <c r="E75">
        <v>200</v>
      </c>
      <c r="F75">
        <v>1215</v>
      </c>
      <c r="G75">
        <v>200</v>
      </c>
      <c r="H75">
        <f>CONVERT(G75,"HP","kW")</f>
        <v>149.13997431645407</v>
      </c>
      <c r="I75">
        <v>-0.2596</v>
      </c>
      <c r="J75">
        <v>1.6165</v>
      </c>
      <c r="K75">
        <v>0.67949999999999999</v>
      </c>
      <c r="L75">
        <v>2.3800000000000002E-2</v>
      </c>
      <c r="M75">
        <v>-3.8E-3</v>
      </c>
      <c r="N75">
        <f>CONVERT(O75,"lbf","N")</f>
        <v>-298.47567038397955</v>
      </c>
      <c r="O75">
        <v>-67.099999999999994</v>
      </c>
      <c r="P75">
        <f t="shared" si="1"/>
        <v>-0.15966386554621848</v>
      </c>
    </row>
    <row r="76" spans="1:16" hidden="1" x14ac:dyDescent="0.25">
      <c r="A76">
        <v>0</v>
      </c>
      <c r="B76">
        <v>10000</v>
      </c>
      <c r="C76">
        <f>1.225 * (1 - 0.00000687559 * B76) ^ 4.2561</f>
        <v>0.90462252368600637</v>
      </c>
      <c r="D76">
        <f>E76*(SQRT($C$2/C76))</f>
        <v>256.01005727719473</v>
      </c>
      <c r="E76">
        <v>220</v>
      </c>
      <c r="F76">
        <v>1150</v>
      </c>
      <c r="G76">
        <v>200</v>
      </c>
      <c r="H76">
        <f>CONVERT(G76,"HP","kW")</f>
        <v>149.13997431645407</v>
      </c>
      <c r="I76">
        <v>-0.15079999999999999</v>
      </c>
      <c r="J76">
        <v>1.7341</v>
      </c>
      <c r="K76">
        <v>0.64770000000000005</v>
      </c>
      <c r="L76">
        <v>2.3900000000000001E-2</v>
      </c>
      <c r="M76">
        <v>-2.0999999999999999E-3</v>
      </c>
      <c r="N76">
        <f>CONVERT(O76,"lbf","N")</f>
        <v>-170.8117100260032</v>
      </c>
      <c r="O76">
        <v>-38.4</v>
      </c>
      <c r="P76">
        <f t="shared" si="1"/>
        <v>-8.7866108786610872E-2</v>
      </c>
    </row>
    <row r="77" spans="1:16" hidden="1" x14ac:dyDescent="0.25">
      <c r="A77">
        <v>0</v>
      </c>
      <c r="B77">
        <v>15000</v>
      </c>
      <c r="C77">
        <f>1.225 * (1 - 0.00000687559 * B77) ^ 4.2561</f>
        <v>0.77079726910167001</v>
      </c>
      <c r="D77">
        <f>E77*(SQRT($C$2/C77))</f>
        <v>100.85279711013223</v>
      </c>
      <c r="E77">
        <v>80</v>
      </c>
      <c r="F77">
        <v>1215</v>
      </c>
      <c r="G77">
        <v>200</v>
      </c>
      <c r="H77">
        <f>CONVERT(G77,"HP","kW")</f>
        <v>149.13997431645407</v>
      </c>
      <c r="I77">
        <v>-0.156</v>
      </c>
      <c r="J77">
        <v>0.64659999999999995</v>
      </c>
      <c r="K77">
        <v>0.57069999999999999</v>
      </c>
      <c r="L77">
        <v>2.3900000000000001E-2</v>
      </c>
      <c r="M77">
        <v>-5.7999999999999996E-3</v>
      </c>
      <c r="N77">
        <f>CONVERT(O77,"lbf","N")</f>
        <v>-448.38073881825841</v>
      </c>
      <c r="O77">
        <v>-100.8</v>
      </c>
      <c r="P77">
        <f t="shared" si="1"/>
        <v>-0.24267782426778239</v>
      </c>
    </row>
    <row r="78" spans="1:16" hidden="1" x14ac:dyDescent="0.25">
      <c r="A78">
        <v>0</v>
      </c>
      <c r="B78">
        <v>15000</v>
      </c>
      <c r="C78">
        <f>1.225 * (1 - 0.00000687559 * B78) ^ 4.2561</f>
        <v>0.77079726910167001</v>
      </c>
      <c r="D78">
        <f>E78*(SQRT($C$2/C78))</f>
        <v>126.06599638766529</v>
      </c>
      <c r="E78">
        <v>100</v>
      </c>
      <c r="F78">
        <v>1215</v>
      </c>
      <c r="G78">
        <v>200</v>
      </c>
      <c r="H78">
        <f>CONVERT(G78,"HP","kW")</f>
        <v>149.13997431645407</v>
      </c>
      <c r="I78">
        <v>1.4999999999999999E-2</v>
      </c>
      <c r="J78">
        <v>0.80820000000000003</v>
      </c>
      <c r="K78">
        <v>0.58330000000000004</v>
      </c>
      <c r="L78">
        <v>2.3900000000000001E-2</v>
      </c>
      <c r="M78">
        <v>4.0000000000000002E-4</v>
      </c>
      <c r="N78">
        <f>CONVERT(O78,"lbf","N")</f>
        <v>34.251306437505853</v>
      </c>
      <c r="O78">
        <v>7.7</v>
      </c>
      <c r="P78">
        <f t="shared" si="1"/>
        <v>1.6736401673640166E-2</v>
      </c>
    </row>
    <row r="79" spans="1:16" hidden="1" x14ac:dyDescent="0.25">
      <c r="A79">
        <v>0</v>
      </c>
      <c r="B79">
        <v>15000</v>
      </c>
      <c r="C79">
        <f>1.225 * (1 - 0.00000687559 * B79) ^ 4.2561</f>
        <v>0.77079726910167001</v>
      </c>
      <c r="D79">
        <f>E79*(SQRT($C$2/C79))</f>
        <v>151.27919566519836</v>
      </c>
      <c r="E79">
        <v>120</v>
      </c>
      <c r="F79">
        <v>1215</v>
      </c>
      <c r="G79">
        <v>200</v>
      </c>
      <c r="H79">
        <f>CONVERT(G79,"HP","kW")</f>
        <v>149.13997431645407</v>
      </c>
      <c r="I79">
        <v>7.3400000000000007E-2</v>
      </c>
      <c r="J79">
        <v>0.96989999999999998</v>
      </c>
      <c r="K79">
        <v>0.59840000000000004</v>
      </c>
      <c r="L79">
        <v>2.3900000000000001E-2</v>
      </c>
      <c r="M79">
        <v>1.8E-3</v>
      </c>
      <c r="N79">
        <f>CONVERT(O79,"lbf","N")</f>
        <v>140.56380304223183</v>
      </c>
      <c r="O79">
        <v>31.6</v>
      </c>
      <c r="P79">
        <f t="shared" si="1"/>
        <v>7.5313807531380741E-2</v>
      </c>
    </row>
    <row r="80" spans="1:16" hidden="1" x14ac:dyDescent="0.25">
      <c r="A80">
        <v>0</v>
      </c>
      <c r="B80">
        <v>15000</v>
      </c>
      <c r="C80">
        <f>1.225 * (1 - 0.00000687559 * B80) ^ 4.2561</f>
        <v>0.77079726910167001</v>
      </c>
      <c r="D80">
        <f>E80*(SQRT($C$2/C80))</f>
        <v>176.49239494273141</v>
      </c>
      <c r="E80">
        <v>140</v>
      </c>
      <c r="F80">
        <v>1215</v>
      </c>
      <c r="G80">
        <v>200</v>
      </c>
      <c r="H80">
        <f>CONVERT(G80,"HP","kW")</f>
        <v>149.13997431645407</v>
      </c>
      <c r="I80">
        <v>7.1300000000000002E-2</v>
      </c>
      <c r="J80">
        <v>1.1315</v>
      </c>
      <c r="K80">
        <v>0.61580000000000001</v>
      </c>
      <c r="L80">
        <v>2.3900000000000001E-2</v>
      </c>
      <c r="M80">
        <v>1.5E-3</v>
      </c>
      <c r="N80">
        <f>CONVERT(O80,"lbf","N")</f>
        <v>116.98822848135116</v>
      </c>
      <c r="O80">
        <v>26.3</v>
      </c>
      <c r="P80">
        <f t="shared" si="1"/>
        <v>6.2761506276150625E-2</v>
      </c>
    </row>
    <row r="81" spans="1:16" hidden="1" x14ac:dyDescent="0.25">
      <c r="A81">
        <v>0</v>
      </c>
      <c r="B81">
        <v>15000</v>
      </c>
      <c r="C81">
        <f>1.225 * (1 - 0.00000687559 * B81) ^ 4.2561</f>
        <v>0.77079726910167001</v>
      </c>
      <c r="D81">
        <f>E81*(SQRT($C$2/C81))</f>
        <v>201.70559422026446</v>
      </c>
      <c r="E81">
        <v>160</v>
      </c>
      <c r="F81">
        <v>1215</v>
      </c>
      <c r="G81">
        <v>200</v>
      </c>
      <c r="H81">
        <f>CONVERT(G81,"HP","kW")</f>
        <v>149.13997431645407</v>
      </c>
      <c r="I81">
        <v>2.1100000000000001E-2</v>
      </c>
      <c r="J81">
        <v>1.2931999999999999</v>
      </c>
      <c r="K81">
        <v>0.63519999999999999</v>
      </c>
      <c r="L81">
        <v>2.3900000000000001E-2</v>
      </c>
      <c r="M81">
        <v>4.0000000000000002E-4</v>
      </c>
      <c r="N81">
        <f>CONVERT(O81,"lbf","N")</f>
        <v>30.247906983771397</v>
      </c>
      <c r="O81">
        <v>6.8</v>
      </c>
      <c r="P81">
        <f t="shared" si="1"/>
        <v>1.6736401673640166E-2</v>
      </c>
    </row>
    <row r="82" spans="1:16" hidden="1" x14ac:dyDescent="0.25">
      <c r="A82">
        <v>0</v>
      </c>
      <c r="B82">
        <v>15000</v>
      </c>
      <c r="C82">
        <f>1.225 * (1 - 0.00000687559 * B82) ^ 4.2561</f>
        <v>0.77079726910167001</v>
      </c>
      <c r="D82">
        <f>E82*(SQRT($C$2/C82))</f>
        <v>226.91879349779754</v>
      </c>
      <c r="E82">
        <v>180</v>
      </c>
      <c r="F82">
        <v>1215</v>
      </c>
      <c r="G82">
        <v>200</v>
      </c>
      <c r="H82">
        <f>CONVERT(G82,"HP","kW")</f>
        <v>149.13997431645407</v>
      </c>
      <c r="I82">
        <v>-7.5300000000000006E-2</v>
      </c>
      <c r="J82">
        <v>1.4548000000000001</v>
      </c>
      <c r="K82">
        <v>0.65649999999999997</v>
      </c>
      <c r="L82">
        <v>2.3900000000000001E-2</v>
      </c>
      <c r="M82">
        <v>-1.1999999999999999E-3</v>
      </c>
      <c r="N82">
        <f>CONVERT(O82,"lbf","N")</f>
        <v>-96.081586889626806</v>
      </c>
      <c r="O82">
        <v>-21.6</v>
      </c>
      <c r="P82">
        <f t="shared" si="1"/>
        <v>-5.0209205020920494E-2</v>
      </c>
    </row>
    <row r="83" spans="1:16" hidden="1" x14ac:dyDescent="0.25">
      <c r="A83">
        <v>0</v>
      </c>
      <c r="B83">
        <v>15000</v>
      </c>
      <c r="C83">
        <f>1.225 * (1 - 0.00000687559 * B83) ^ 4.2561</f>
        <v>0.77079726910167001</v>
      </c>
      <c r="D83">
        <f>E83*(SQRT($C$2/C83))</f>
        <v>277.34519205286364</v>
      </c>
      <c r="E83">
        <v>220</v>
      </c>
      <c r="F83">
        <v>1215</v>
      </c>
      <c r="G83">
        <v>200</v>
      </c>
      <c r="H83">
        <f>CONVERT(G83,"HP","kW")</f>
        <v>149.13997431645407</v>
      </c>
      <c r="I83">
        <v>-0.56840000000000002</v>
      </c>
      <c r="J83">
        <v>1.7781</v>
      </c>
      <c r="K83">
        <v>0.70409999999999995</v>
      </c>
      <c r="L83">
        <v>2.3900000000000001E-2</v>
      </c>
      <c r="M83">
        <v>-7.6E-3</v>
      </c>
      <c r="N83">
        <f>CONVERT(O83,"lbf","N")</f>
        <v>-594.28240779880275</v>
      </c>
      <c r="O83">
        <v>-133.6</v>
      </c>
      <c r="P83">
        <f t="shared" si="1"/>
        <v>-0.31799163179916318</v>
      </c>
    </row>
    <row r="84" spans="1:16" hidden="1" x14ac:dyDescent="0.25">
      <c r="A84">
        <v>0</v>
      </c>
      <c r="B84">
        <v>15000</v>
      </c>
      <c r="C84">
        <f>1.225 * (1 - 0.00000687559 * B84) ^ 4.2561</f>
        <v>0.77079726910167001</v>
      </c>
      <c r="D84">
        <f>E84*(SQRT($C$2/C84))</f>
        <v>302.55839133039672</v>
      </c>
      <c r="E84">
        <v>240</v>
      </c>
      <c r="F84">
        <v>1215</v>
      </c>
      <c r="G84">
        <v>200</v>
      </c>
      <c r="H84">
        <f>CONVERT(G84,"HP","kW")</f>
        <v>149.13997431645407</v>
      </c>
      <c r="I84">
        <v>-0.98929999999999996</v>
      </c>
      <c r="J84">
        <v>1.9398</v>
      </c>
      <c r="K84">
        <v>0.73009999999999997</v>
      </c>
      <c r="L84">
        <v>2.3900000000000001E-2</v>
      </c>
      <c r="M84">
        <v>-1.2200000000000001E-2</v>
      </c>
      <c r="N84">
        <f>CONVERT(O84,"lbf","N")</f>
        <v>-947.91602621201264</v>
      </c>
      <c r="O84">
        <v>-213.1</v>
      </c>
      <c r="P84">
        <f t="shared" si="1"/>
        <v>-0.5104602510460251</v>
      </c>
    </row>
    <row r="85" spans="1:16" hidden="1" x14ac:dyDescent="0.25">
      <c r="A85">
        <v>0</v>
      </c>
      <c r="B85">
        <v>15000</v>
      </c>
      <c r="C85">
        <f>1.225 * (1 - 0.00000687559 * B85) ^ 4.2561</f>
        <v>0.77079726910167001</v>
      </c>
      <c r="D85">
        <f>E85*(SQRT($C$2/C85))</f>
        <v>327.77159060792974</v>
      </c>
      <c r="E85">
        <v>260</v>
      </c>
      <c r="F85">
        <v>1215</v>
      </c>
      <c r="G85">
        <v>200</v>
      </c>
      <c r="H85">
        <f>CONVERT(G85,"HP","kW")</f>
        <v>149.13997431645407</v>
      </c>
      <c r="I85">
        <v>0</v>
      </c>
      <c r="J85">
        <v>2.1013999999999999</v>
      </c>
      <c r="K85">
        <v>0.75729999999999997</v>
      </c>
      <c r="L85">
        <v>2.3900000000000001E-2</v>
      </c>
      <c r="M85">
        <v>-1.7299999999999999E-2</v>
      </c>
      <c r="N85">
        <f>CONVERT(O85,"lbf","N")</f>
        <v>-1348.7007937469837</v>
      </c>
      <c r="O85">
        <v>-303.2</v>
      </c>
      <c r="P85">
        <f t="shared" si="1"/>
        <v>-0.72384937238493718</v>
      </c>
    </row>
    <row r="86" spans="1:16" hidden="1" x14ac:dyDescent="0.25">
      <c r="A86">
        <v>0</v>
      </c>
      <c r="B86">
        <v>10000</v>
      </c>
      <c r="C86">
        <f>1.225 * (1 - 0.00000687559 * B86) ^ 4.2561</f>
        <v>0.90462252368600637</v>
      </c>
      <c r="D86">
        <f>E86*(SQRT($C$2/C86))</f>
        <v>69.820924711962206</v>
      </c>
      <c r="E86">
        <v>60</v>
      </c>
      <c r="F86">
        <v>1150</v>
      </c>
      <c r="G86">
        <v>200</v>
      </c>
      <c r="H86">
        <f>CONVERT(G86,"HP","kW")</f>
        <v>149.13997431645407</v>
      </c>
      <c r="I86">
        <v>-0.22470000000000001</v>
      </c>
      <c r="J86">
        <v>0.47289999999999999</v>
      </c>
      <c r="K86">
        <v>0.5202</v>
      </c>
      <c r="L86">
        <v>2.4E-2</v>
      </c>
      <c r="M86">
        <v>-1.14E-2</v>
      </c>
      <c r="N86">
        <f>CONVERT(O86,"lbf","N")</f>
        <v>-932.79207272012684</v>
      </c>
      <c r="O86">
        <v>-209.7</v>
      </c>
      <c r="P86">
        <f t="shared" si="1"/>
        <v>-0.47500000000000003</v>
      </c>
    </row>
    <row r="87" spans="1:16" hidden="1" x14ac:dyDescent="0.25">
      <c r="A87">
        <v>0</v>
      </c>
      <c r="B87">
        <v>10000</v>
      </c>
      <c r="C87">
        <f>1.225 * (1 - 0.00000687559 * B87) ^ 4.2561</f>
        <v>0.90462252368600637</v>
      </c>
      <c r="D87">
        <f>E87*(SQRT($C$2/C87))</f>
        <v>93.09456628261627</v>
      </c>
      <c r="E87">
        <v>80</v>
      </c>
      <c r="F87">
        <v>1150</v>
      </c>
      <c r="G87">
        <v>200</v>
      </c>
      <c r="H87">
        <f>CONVERT(G87,"HP","kW")</f>
        <v>149.13997431645407</v>
      </c>
      <c r="I87">
        <v>-5.9999999999999995E-4</v>
      </c>
      <c r="J87">
        <v>0.63060000000000005</v>
      </c>
      <c r="K87">
        <v>0.52910000000000001</v>
      </c>
      <c r="L87">
        <v>2.4E-2</v>
      </c>
      <c r="M87">
        <v>0</v>
      </c>
      <c r="N87">
        <f>CONVERT(O87,"lbf","N")</f>
        <v>-1.7792886461042001</v>
      </c>
      <c r="O87">
        <v>-0.4</v>
      </c>
      <c r="P87">
        <f t="shared" si="1"/>
        <v>0</v>
      </c>
    </row>
    <row r="88" spans="1:16" hidden="1" x14ac:dyDescent="0.25">
      <c r="A88">
        <v>0</v>
      </c>
      <c r="B88">
        <v>10000</v>
      </c>
      <c r="C88">
        <f>1.225 * (1 - 0.00000687559 * B88) ^ 4.2561</f>
        <v>0.90462252368600637</v>
      </c>
      <c r="D88">
        <f>E88*(SQRT($C$2/C88))</f>
        <v>116.36820785327033</v>
      </c>
      <c r="E88">
        <v>100</v>
      </c>
      <c r="F88">
        <v>1150</v>
      </c>
      <c r="G88">
        <v>200</v>
      </c>
      <c r="H88">
        <f>CONVERT(G88,"HP","kW")</f>
        <v>149.13997431645407</v>
      </c>
      <c r="I88">
        <v>0.10489999999999999</v>
      </c>
      <c r="J88">
        <v>0.78820000000000001</v>
      </c>
      <c r="K88">
        <v>0.5403</v>
      </c>
      <c r="L88">
        <v>2.4E-2</v>
      </c>
      <c r="M88">
        <v>3.2000000000000002E-3</v>
      </c>
      <c r="N88">
        <f>CONVERT(O88,"lbf","N")</f>
        <v>261.11060881579141</v>
      </c>
      <c r="O88">
        <v>58.7</v>
      </c>
      <c r="P88">
        <f t="shared" si="1"/>
        <v>0.13333333333333333</v>
      </c>
    </row>
    <row r="89" spans="1:16" hidden="1" x14ac:dyDescent="0.25">
      <c r="A89">
        <v>0</v>
      </c>
      <c r="B89">
        <v>10000</v>
      </c>
      <c r="C89">
        <f>1.225 * (1 - 0.00000687559 * B89) ^ 4.2561</f>
        <v>0.90462252368600637</v>
      </c>
      <c r="D89">
        <f>E89*(SQRT($C$2/C89))</f>
        <v>139.64184942392441</v>
      </c>
      <c r="E89">
        <v>120</v>
      </c>
      <c r="F89">
        <v>1150</v>
      </c>
      <c r="G89">
        <v>200</v>
      </c>
      <c r="H89">
        <f>CONVERT(G89,"HP","kW")</f>
        <v>149.13997431645407</v>
      </c>
      <c r="I89">
        <v>0.15390000000000001</v>
      </c>
      <c r="J89">
        <v>0.94589999999999996</v>
      </c>
      <c r="K89">
        <v>0.55359999999999998</v>
      </c>
      <c r="L89">
        <v>2.4E-2</v>
      </c>
      <c r="M89">
        <v>3.8999999999999998E-3</v>
      </c>
      <c r="N89">
        <f>CONVERT(O89,"lbf","N")</f>
        <v>319.38231197570389</v>
      </c>
      <c r="O89">
        <v>71.8</v>
      </c>
      <c r="P89">
        <f t="shared" si="1"/>
        <v>0.16249999999999998</v>
      </c>
    </row>
    <row r="90" spans="1:16" hidden="1" x14ac:dyDescent="0.25">
      <c r="A90">
        <v>0</v>
      </c>
      <c r="B90">
        <v>10000</v>
      </c>
      <c r="C90">
        <f>1.225 * (1 - 0.00000687559 * B90) ^ 4.2561</f>
        <v>0.90462252368600637</v>
      </c>
      <c r="D90">
        <f>E90*(SQRT($C$2/C90))</f>
        <v>162.91549099457848</v>
      </c>
      <c r="E90">
        <v>140</v>
      </c>
      <c r="F90">
        <v>1150</v>
      </c>
      <c r="G90">
        <v>200</v>
      </c>
      <c r="H90">
        <f>CONVERT(G90,"HP","kW")</f>
        <v>149.13997431645407</v>
      </c>
      <c r="I90">
        <v>0.16200000000000001</v>
      </c>
      <c r="J90">
        <v>1.1034999999999999</v>
      </c>
      <c r="K90">
        <v>0.56899999999999995</v>
      </c>
      <c r="L90">
        <v>2.4E-2</v>
      </c>
      <c r="M90">
        <v>3.5000000000000001E-3</v>
      </c>
      <c r="N90">
        <f>CONVERT(O90,"lbf","N")</f>
        <v>288.24476066888036</v>
      </c>
      <c r="O90">
        <v>64.8</v>
      </c>
      <c r="P90">
        <f t="shared" si="1"/>
        <v>0.14583333333333334</v>
      </c>
    </row>
    <row r="91" spans="1:16" hidden="1" x14ac:dyDescent="0.25">
      <c r="A91">
        <v>0</v>
      </c>
      <c r="B91">
        <v>10000</v>
      </c>
      <c r="C91">
        <f>1.225 * (1 - 0.00000687559 * B91) ^ 4.2561</f>
        <v>0.90462252368600637</v>
      </c>
      <c r="D91">
        <f>E91*(SQRT($C$2/C91))</f>
        <v>186.18913256523254</v>
      </c>
      <c r="E91">
        <v>160</v>
      </c>
      <c r="F91">
        <v>1150</v>
      </c>
      <c r="G91">
        <v>200</v>
      </c>
      <c r="H91">
        <f>CONVERT(G91,"HP","kW")</f>
        <v>149.13997431645407</v>
      </c>
      <c r="I91">
        <v>0.14460000000000001</v>
      </c>
      <c r="J91">
        <v>1.2612000000000001</v>
      </c>
      <c r="K91">
        <v>0.58630000000000004</v>
      </c>
      <c r="L91">
        <v>2.4E-2</v>
      </c>
      <c r="M91">
        <v>2.8E-3</v>
      </c>
      <c r="N91">
        <f>CONVERT(O91,"lbf","N")</f>
        <v>225.0800137321813</v>
      </c>
      <c r="O91">
        <v>50.6</v>
      </c>
      <c r="P91">
        <f t="shared" si="1"/>
        <v>0.11666666666666667</v>
      </c>
    </row>
    <row r="92" spans="1:16" hidden="1" x14ac:dyDescent="0.25">
      <c r="A92">
        <v>0</v>
      </c>
      <c r="B92">
        <v>10000</v>
      </c>
      <c r="C92">
        <f>1.225 * (1 - 0.00000687559 * B92) ^ 4.2561</f>
        <v>0.90462252368600637</v>
      </c>
      <c r="D92">
        <f>E92*(SQRT($C$2/C92))</f>
        <v>209.4627741358866</v>
      </c>
      <c r="E92">
        <v>180</v>
      </c>
      <c r="F92">
        <v>1150</v>
      </c>
      <c r="G92">
        <v>200</v>
      </c>
      <c r="H92">
        <f>CONVERT(G92,"HP","kW")</f>
        <v>149.13997431645407</v>
      </c>
      <c r="I92">
        <v>9.9400000000000002E-2</v>
      </c>
      <c r="J92">
        <v>1.4188000000000001</v>
      </c>
      <c r="K92">
        <v>0.60529999999999995</v>
      </c>
      <c r="L92">
        <v>2.4E-2</v>
      </c>
      <c r="M92">
        <v>1.6999999999999999E-3</v>
      </c>
      <c r="N92">
        <f>CONVERT(O92,"lbf","N")</f>
        <v>137.45004791154946</v>
      </c>
      <c r="O92">
        <v>30.9</v>
      </c>
      <c r="P92">
        <f t="shared" si="1"/>
        <v>7.0833333333333331E-2</v>
      </c>
    </row>
    <row r="93" spans="1:16" hidden="1" x14ac:dyDescent="0.25">
      <c r="A93">
        <v>0</v>
      </c>
      <c r="B93">
        <v>10000</v>
      </c>
      <c r="C93">
        <f>1.225 * (1 - 0.00000687559 * B93) ^ 4.2561</f>
        <v>0.90462252368600637</v>
      </c>
      <c r="D93">
        <f>E93*(SQRT($C$2/C93))</f>
        <v>232.73641570654067</v>
      </c>
      <c r="E93">
        <v>200</v>
      </c>
      <c r="F93">
        <v>1150</v>
      </c>
      <c r="G93">
        <v>200</v>
      </c>
      <c r="H93">
        <f>CONVERT(G93,"HP","kW")</f>
        <v>149.13997431645407</v>
      </c>
      <c r="I93">
        <v>1.2500000000000001E-2</v>
      </c>
      <c r="J93">
        <v>1.5765</v>
      </c>
      <c r="K93">
        <v>0.62580000000000002</v>
      </c>
      <c r="L93">
        <v>2.4E-2</v>
      </c>
      <c r="M93">
        <v>2.0000000000000001E-4</v>
      </c>
      <c r="N93">
        <f>CONVERT(O93,"lbf","N")</f>
        <v>15.56877565341175</v>
      </c>
      <c r="O93">
        <v>3.5</v>
      </c>
      <c r="P93">
        <f t="shared" si="1"/>
        <v>8.3333333333333332E-3</v>
      </c>
    </row>
    <row r="94" spans="1:16" hidden="1" x14ac:dyDescent="0.25">
      <c r="A94">
        <v>0</v>
      </c>
      <c r="B94">
        <v>10000</v>
      </c>
      <c r="C94">
        <f>1.225 * (1 - 0.00000687559 * B94) ^ 4.2561</f>
        <v>0.90462252368600637</v>
      </c>
      <c r="D94">
        <f>E94*(SQRT($C$2/C94))</f>
        <v>279.28369884784883</v>
      </c>
      <c r="E94">
        <v>240</v>
      </c>
      <c r="F94">
        <v>1150</v>
      </c>
      <c r="G94">
        <v>200</v>
      </c>
      <c r="H94">
        <f>CONVERT(G94,"HP","kW")</f>
        <v>149.13997431645407</v>
      </c>
      <c r="I94">
        <v>-0.37519999999999998</v>
      </c>
      <c r="J94">
        <v>1.8917999999999999</v>
      </c>
      <c r="K94">
        <v>0.67090000000000005</v>
      </c>
      <c r="L94">
        <v>2.4E-2</v>
      </c>
      <c r="M94">
        <v>-4.7999999999999996E-3</v>
      </c>
      <c r="N94">
        <f>CONVERT(O94,"lbf","N")</f>
        <v>-389.6642134968198</v>
      </c>
      <c r="O94">
        <v>-87.6</v>
      </c>
      <c r="P94">
        <f t="shared" si="1"/>
        <v>-0.19999999999999998</v>
      </c>
    </row>
    <row r="95" spans="1:16" hidden="1" x14ac:dyDescent="0.25">
      <c r="A95">
        <v>0</v>
      </c>
      <c r="B95">
        <v>10000</v>
      </c>
      <c r="C95">
        <f>1.225 * (1 - 0.00000687559 * B95) ^ 4.2561</f>
        <v>0.90462252368600637</v>
      </c>
      <c r="D95">
        <f>E95*(SQRT($C$2/C95))</f>
        <v>302.55734041850286</v>
      </c>
      <c r="E95">
        <v>260</v>
      </c>
      <c r="F95">
        <v>1150</v>
      </c>
      <c r="G95">
        <v>200</v>
      </c>
      <c r="H95">
        <f>CONVERT(G95,"HP","kW")</f>
        <v>149.13997431645407</v>
      </c>
      <c r="I95">
        <v>-0.69069999999999998</v>
      </c>
      <c r="J95">
        <v>2.0493999999999999</v>
      </c>
      <c r="K95">
        <v>0.69520000000000004</v>
      </c>
      <c r="L95">
        <v>2.41E-2</v>
      </c>
      <c r="M95">
        <v>-8.0999999999999996E-3</v>
      </c>
      <c r="N95">
        <f>CONVERT(O95,"lbf","N")</f>
        <v>-661.89537635076249</v>
      </c>
      <c r="O95">
        <v>-148.80000000000001</v>
      </c>
      <c r="P95">
        <f t="shared" si="1"/>
        <v>-0.33609958506224064</v>
      </c>
    </row>
    <row r="96" spans="1:16" hidden="1" x14ac:dyDescent="0.25">
      <c r="A96">
        <v>0</v>
      </c>
      <c r="B96">
        <v>10000</v>
      </c>
      <c r="C96">
        <f>1.225 * (1 - 0.00000687559 * B96) ^ 4.2561</f>
        <v>0.90462252368600637</v>
      </c>
      <c r="D96">
        <f>E96*(SQRT($C$2/C96))</f>
        <v>93.09456628261627</v>
      </c>
      <c r="E96">
        <v>80</v>
      </c>
      <c r="F96">
        <v>1215</v>
      </c>
      <c r="G96">
        <v>250</v>
      </c>
      <c r="H96">
        <f>CONVERT(G96,"HP","kW")</f>
        <v>186.42496789556756</v>
      </c>
      <c r="I96">
        <v>-3.1399999999999997E-2</v>
      </c>
      <c r="J96">
        <v>0.59689999999999999</v>
      </c>
      <c r="K96">
        <v>0.55679999999999996</v>
      </c>
      <c r="L96">
        <v>2.5399999999999999E-2</v>
      </c>
      <c r="M96">
        <v>-1.2999999999999999E-3</v>
      </c>
      <c r="N96">
        <f>CONVERT(O96,"lbf","N")</f>
        <v>-122.32609441966375</v>
      </c>
      <c r="O96">
        <v>-27.5</v>
      </c>
      <c r="P96">
        <f t="shared" si="1"/>
        <v>-5.1181102362204724E-2</v>
      </c>
    </row>
    <row r="97" spans="1:16" hidden="1" x14ac:dyDescent="0.25">
      <c r="A97">
        <v>0</v>
      </c>
      <c r="B97">
        <v>10000</v>
      </c>
      <c r="C97">
        <f>1.225 * (1 - 0.00000687559 * B97) ^ 4.2561</f>
        <v>0.90462252368600637</v>
      </c>
      <c r="D97">
        <f>E97*(SQRT($C$2/C97))</f>
        <v>139.64184942392441</v>
      </c>
      <c r="E97">
        <v>120</v>
      </c>
      <c r="F97">
        <v>1215</v>
      </c>
      <c r="G97">
        <v>250</v>
      </c>
      <c r="H97">
        <f>CONVERT(G97,"HP","kW")</f>
        <v>186.42496789556756</v>
      </c>
      <c r="I97">
        <v>0.14929999999999999</v>
      </c>
      <c r="J97">
        <v>0.89529999999999998</v>
      </c>
      <c r="K97">
        <v>0.58009999999999995</v>
      </c>
      <c r="L97">
        <v>2.5399999999999999E-2</v>
      </c>
      <c r="M97">
        <v>4.1999999999999997E-3</v>
      </c>
      <c r="N97">
        <f>CONVERT(O97,"lbf","N")</f>
        <v>387.44010268918953</v>
      </c>
      <c r="O97">
        <v>87.1</v>
      </c>
      <c r="P97">
        <f t="shared" si="1"/>
        <v>0.1653543307086614</v>
      </c>
    </row>
    <row r="98" spans="1:16" hidden="1" x14ac:dyDescent="0.25">
      <c r="A98">
        <v>0</v>
      </c>
      <c r="B98">
        <v>10000</v>
      </c>
      <c r="C98">
        <f>1.225 * (1 - 0.00000687559 * B98) ^ 4.2561</f>
        <v>0.90462252368600637</v>
      </c>
      <c r="D98">
        <f>E98*(SQRT($C$2/C98))</f>
        <v>162.91549099457848</v>
      </c>
      <c r="E98">
        <v>140</v>
      </c>
      <c r="F98">
        <v>1215</v>
      </c>
      <c r="G98">
        <v>250</v>
      </c>
      <c r="H98">
        <f>CONVERT(G98,"HP","kW")</f>
        <v>186.42496789556756</v>
      </c>
      <c r="I98">
        <v>0.16930000000000001</v>
      </c>
      <c r="J98">
        <v>1.0445</v>
      </c>
      <c r="K98">
        <v>0.59489999999999998</v>
      </c>
      <c r="L98">
        <v>2.5399999999999999E-2</v>
      </c>
      <c r="M98">
        <v>4.1000000000000003E-3</v>
      </c>
      <c r="N98">
        <f>CONVERT(O98,"lbf","N")</f>
        <v>376.76437081256432</v>
      </c>
      <c r="O98">
        <v>84.7</v>
      </c>
      <c r="P98">
        <f t="shared" si="1"/>
        <v>0.16141732283464569</v>
      </c>
    </row>
    <row r="99" spans="1:16" hidden="1" x14ac:dyDescent="0.25">
      <c r="A99">
        <v>0</v>
      </c>
      <c r="B99">
        <v>10000</v>
      </c>
      <c r="C99">
        <f>1.225 * (1 - 0.00000687559 * B99) ^ 4.2561</f>
        <v>0.90462252368600637</v>
      </c>
      <c r="D99">
        <f>E99*(SQRT($C$2/C99))</f>
        <v>186.18913256523254</v>
      </c>
      <c r="E99">
        <v>160</v>
      </c>
      <c r="F99">
        <v>1215</v>
      </c>
      <c r="G99">
        <v>250</v>
      </c>
      <c r="H99">
        <f>CONVERT(G99,"HP","kW")</f>
        <v>186.42496789556756</v>
      </c>
      <c r="I99">
        <v>0.16450000000000001</v>
      </c>
      <c r="J99">
        <v>1.1937</v>
      </c>
      <c r="K99">
        <v>0.61140000000000005</v>
      </c>
      <c r="L99">
        <v>2.5399999999999999E-2</v>
      </c>
      <c r="M99">
        <v>3.5000000000000001E-3</v>
      </c>
      <c r="N99">
        <f>CONVERT(O99,"lbf","N")</f>
        <v>320.27195629875598</v>
      </c>
      <c r="O99">
        <v>72</v>
      </c>
      <c r="P99">
        <f t="shared" si="1"/>
        <v>0.13779527559055119</v>
      </c>
    </row>
    <row r="100" spans="1:16" hidden="1" x14ac:dyDescent="0.25">
      <c r="A100">
        <v>0</v>
      </c>
      <c r="B100">
        <v>10000</v>
      </c>
      <c r="C100">
        <f>1.225 * (1 - 0.00000687559 * B100) ^ 4.2561</f>
        <v>0.90462252368600637</v>
      </c>
      <c r="D100">
        <f>E100*(SQRT($C$2/C100))</f>
        <v>209.4627741358866</v>
      </c>
      <c r="E100">
        <v>180</v>
      </c>
      <c r="F100">
        <v>1215</v>
      </c>
      <c r="G100">
        <v>250</v>
      </c>
      <c r="H100">
        <f>CONVERT(G100,"HP","kW")</f>
        <v>186.42496789556756</v>
      </c>
      <c r="I100">
        <v>0.1153</v>
      </c>
      <c r="J100">
        <v>1.3429</v>
      </c>
      <c r="K100">
        <v>0.62960000000000005</v>
      </c>
      <c r="L100">
        <v>2.5399999999999999E-2</v>
      </c>
      <c r="M100">
        <v>2.2000000000000001E-3</v>
      </c>
      <c r="N100">
        <f>CONVERT(O100,"lbf","N")</f>
        <v>199.72515052519645</v>
      </c>
      <c r="O100">
        <v>44.9</v>
      </c>
      <c r="P100">
        <f t="shared" si="1"/>
        <v>8.6614173228346469E-2</v>
      </c>
    </row>
    <row r="101" spans="1:16" hidden="1" x14ac:dyDescent="0.25">
      <c r="A101">
        <v>0</v>
      </c>
      <c r="B101">
        <v>10000</v>
      </c>
      <c r="C101">
        <f>1.225 * (1 - 0.00000687559 * B101) ^ 4.2561</f>
        <v>0.90462252368600637</v>
      </c>
      <c r="D101">
        <f>E101*(SQRT($C$2/C101))</f>
        <v>232.73641570654067</v>
      </c>
      <c r="E101">
        <v>200</v>
      </c>
      <c r="F101">
        <v>1215</v>
      </c>
      <c r="G101">
        <v>250</v>
      </c>
      <c r="H101">
        <f>CONVERT(G101,"HP","kW")</f>
        <v>186.42496789556756</v>
      </c>
      <c r="I101">
        <v>3.09E-2</v>
      </c>
      <c r="J101">
        <v>1.4922</v>
      </c>
      <c r="K101">
        <v>0.64929999999999999</v>
      </c>
      <c r="L101">
        <v>2.5399999999999999E-2</v>
      </c>
      <c r="M101">
        <v>5.0000000000000001E-4</v>
      </c>
      <c r="N101">
        <f>CONVERT(O101,"lbf","N")</f>
        <v>48.040793444813403</v>
      </c>
      <c r="O101">
        <v>10.8</v>
      </c>
      <c r="P101">
        <f t="shared" si="1"/>
        <v>1.968503937007874E-2</v>
      </c>
    </row>
    <row r="102" spans="1:16" hidden="1" x14ac:dyDescent="0.25">
      <c r="A102">
        <v>0</v>
      </c>
      <c r="B102">
        <v>10000</v>
      </c>
      <c r="C102">
        <f>1.225 * (1 - 0.00000687559 * B102) ^ 4.2561</f>
        <v>0.90462252368600637</v>
      </c>
      <c r="D102">
        <f>E102*(SQRT($C$2/C102))</f>
        <v>256.01005727719473</v>
      </c>
      <c r="E102">
        <v>220</v>
      </c>
      <c r="F102">
        <v>1215</v>
      </c>
      <c r="G102">
        <v>250</v>
      </c>
      <c r="H102">
        <f>CONVERT(G102,"HP","kW")</f>
        <v>186.42496789556756</v>
      </c>
      <c r="I102">
        <v>-0.13009999999999999</v>
      </c>
      <c r="J102">
        <v>1.6414</v>
      </c>
      <c r="K102">
        <v>0.67049999999999998</v>
      </c>
      <c r="L102">
        <v>2.5399999999999999E-2</v>
      </c>
      <c r="M102">
        <v>-2E-3</v>
      </c>
      <c r="N102">
        <f>CONVERT(O102,"lbf","N")</f>
        <v>-184.15637487178472</v>
      </c>
      <c r="O102">
        <v>-41.4</v>
      </c>
      <c r="P102">
        <f t="shared" si="1"/>
        <v>-7.874015748031496E-2</v>
      </c>
    </row>
    <row r="103" spans="1:16" hidden="1" x14ac:dyDescent="0.25">
      <c r="A103">
        <v>0</v>
      </c>
      <c r="B103">
        <v>10000</v>
      </c>
      <c r="C103">
        <f>1.225 * (1 - 0.00000687559 * B103) ^ 4.2561</f>
        <v>0.90462252368600637</v>
      </c>
      <c r="D103">
        <f>E103*(SQRT($C$2/C103))</f>
        <v>279.28369884784883</v>
      </c>
      <c r="E103">
        <v>240</v>
      </c>
      <c r="F103">
        <v>1215</v>
      </c>
      <c r="G103">
        <v>250</v>
      </c>
      <c r="H103">
        <f>CONVERT(G103,"HP","kW")</f>
        <v>186.42496789556756</v>
      </c>
      <c r="I103">
        <v>-0.35580000000000001</v>
      </c>
      <c r="J103">
        <v>1.7906</v>
      </c>
      <c r="K103">
        <v>0.69289999999999996</v>
      </c>
      <c r="L103">
        <v>2.5399999999999999E-2</v>
      </c>
      <c r="M103">
        <v>-5.0000000000000001E-3</v>
      </c>
      <c r="N103">
        <f>CONVERT(O103,"lbf","N")</f>
        <v>-461.7254036640399</v>
      </c>
      <c r="O103">
        <v>-103.8</v>
      </c>
      <c r="P103">
        <f t="shared" si="1"/>
        <v>-0.19685039370078741</v>
      </c>
    </row>
    <row r="104" spans="1:16" hidden="1" x14ac:dyDescent="0.25">
      <c r="A104">
        <v>0</v>
      </c>
      <c r="B104">
        <v>10000</v>
      </c>
      <c r="C104">
        <f>1.225 * (1 - 0.00000687559 * B104) ^ 4.2561</f>
        <v>0.90462252368600637</v>
      </c>
      <c r="D104">
        <f>E104*(SQRT($C$2/C104))</f>
        <v>116.36820785327033</v>
      </c>
      <c r="E104">
        <v>100</v>
      </c>
      <c r="F104">
        <v>1215</v>
      </c>
      <c r="G104">
        <v>250</v>
      </c>
      <c r="H104">
        <f>CONVERT(G104,"HP","kW")</f>
        <v>186.42496789556756</v>
      </c>
      <c r="I104">
        <v>9.4299999999999995E-2</v>
      </c>
      <c r="J104">
        <v>0.74609999999999999</v>
      </c>
      <c r="K104">
        <v>0.56740000000000002</v>
      </c>
      <c r="L104">
        <v>2.5499999999999998E-2</v>
      </c>
      <c r="M104">
        <v>3.2000000000000002E-3</v>
      </c>
      <c r="N104">
        <f>CONVERT(O104,"lbf","N")</f>
        <v>293.58262660719299</v>
      </c>
      <c r="O104">
        <v>66</v>
      </c>
      <c r="P104">
        <f t="shared" si="1"/>
        <v>0.1254901960784314</v>
      </c>
    </row>
    <row r="105" spans="1:16" hidden="1" x14ac:dyDescent="0.25">
      <c r="A105">
        <v>0</v>
      </c>
      <c r="B105">
        <v>10000</v>
      </c>
      <c r="C105">
        <f>1.225 * (1 - 0.00000687559 * B105) ^ 4.2561</f>
        <v>0.90462252368600637</v>
      </c>
      <c r="D105">
        <f>E105*(SQRT($C$2/C105))</f>
        <v>302.55734041850286</v>
      </c>
      <c r="E105">
        <v>260</v>
      </c>
      <c r="F105">
        <v>1215</v>
      </c>
      <c r="G105">
        <v>250</v>
      </c>
      <c r="H105">
        <f>CONVERT(G105,"HP","kW")</f>
        <v>186.42496789556756</v>
      </c>
      <c r="I105">
        <v>-0.70599999999999996</v>
      </c>
      <c r="J105">
        <v>1.9398</v>
      </c>
      <c r="K105">
        <v>0.71650000000000003</v>
      </c>
      <c r="L105">
        <v>2.5499999999999998E-2</v>
      </c>
      <c r="M105">
        <v>-9.2999999999999992E-3</v>
      </c>
      <c r="N105">
        <f>CONVERT(O105,"lbf","N")</f>
        <v>-845.60692906102111</v>
      </c>
      <c r="O105">
        <v>-190.1</v>
      </c>
      <c r="P105">
        <f t="shared" si="1"/>
        <v>-0.36470588235294116</v>
      </c>
    </row>
    <row r="106" spans="1:16" hidden="1" x14ac:dyDescent="0.25">
      <c r="A106">
        <v>0</v>
      </c>
      <c r="B106">
        <v>5000</v>
      </c>
      <c r="C106">
        <f>1.225 * (1 - 0.00000687559 * B106) ^ 4.2561</f>
        <v>1.0555380742846066</v>
      </c>
      <c r="D106">
        <f>E106*(SQRT($C$2/C106))</f>
        <v>258.5486856730941</v>
      </c>
      <c r="E106">
        <v>240</v>
      </c>
      <c r="F106">
        <v>1150</v>
      </c>
      <c r="G106">
        <v>250</v>
      </c>
      <c r="H106">
        <f>CONVERT(G106,"HP","kW")</f>
        <v>186.42496789556756</v>
      </c>
      <c r="I106">
        <v>-4.1799999999999997E-2</v>
      </c>
      <c r="J106">
        <v>1.7513000000000001</v>
      </c>
      <c r="K106">
        <v>0.63849999999999996</v>
      </c>
      <c r="L106">
        <v>2.5600000000000001E-2</v>
      </c>
      <c r="M106">
        <v>-5.9999999999999995E-4</v>
      </c>
      <c r="N106">
        <f>CONVERT(O106,"lbf","N")</f>
        <v>-58.716525321438603</v>
      </c>
      <c r="O106">
        <v>-13.2</v>
      </c>
      <c r="P106">
        <f t="shared" si="1"/>
        <v>-2.3437499999999997E-2</v>
      </c>
    </row>
    <row r="107" spans="1:16" hidden="1" x14ac:dyDescent="0.25">
      <c r="A107">
        <v>0</v>
      </c>
      <c r="B107">
        <v>5000</v>
      </c>
      <c r="C107">
        <f>1.225 * (1 - 0.00000687559 * B107) ^ 4.2561</f>
        <v>1.0555380742846066</v>
      </c>
      <c r="D107">
        <f>E107*(SQRT($C$2/C107))</f>
        <v>0</v>
      </c>
      <c r="E107">
        <v>0</v>
      </c>
      <c r="F107">
        <v>1150</v>
      </c>
      <c r="G107">
        <v>250</v>
      </c>
      <c r="H107">
        <f>CONVERT(G107,"HP","kW")</f>
        <v>186.42496789556756</v>
      </c>
      <c r="I107">
        <v>0</v>
      </c>
      <c r="J107">
        <v>0</v>
      </c>
      <c r="K107">
        <v>0.4975</v>
      </c>
      <c r="L107">
        <v>2.5700000000000001E-2</v>
      </c>
      <c r="M107">
        <v>5.4800000000000001E-2</v>
      </c>
      <c r="N107">
        <f>CONVERT(O107,"lbf","N")</f>
        <v>5235.1120190000829</v>
      </c>
      <c r="O107">
        <v>1176.9000000000001</v>
      </c>
      <c r="P107">
        <f t="shared" si="1"/>
        <v>2.132295719844358</v>
      </c>
    </row>
    <row r="108" spans="1:16" hidden="1" x14ac:dyDescent="0.25">
      <c r="A108">
        <v>0</v>
      </c>
      <c r="B108">
        <v>5000</v>
      </c>
      <c r="C108">
        <f>1.225 * (1 - 0.00000687559 * B108) ^ 4.2561</f>
        <v>1.0555380742846066</v>
      </c>
      <c r="D108">
        <f>E108*(SQRT($C$2/C108))</f>
        <v>21.545723806091175</v>
      </c>
      <c r="E108">
        <v>20</v>
      </c>
      <c r="F108">
        <v>1150</v>
      </c>
      <c r="G108">
        <v>250</v>
      </c>
      <c r="H108">
        <f>CONVERT(G108,"HP","kW")</f>
        <v>186.42496789556756</v>
      </c>
      <c r="I108">
        <v>0.1875</v>
      </c>
      <c r="J108">
        <v>0.1459</v>
      </c>
      <c r="K108">
        <v>0.50019999999999998</v>
      </c>
      <c r="L108">
        <v>2.5700000000000001E-2</v>
      </c>
      <c r="M108">
        <v>3.3000000000000002E-2</v>
      </c>
      <c r="N108">
        <f>CONVERT(O108,"lbf","N")</f>
        <v>3153.7891252196946</v>
      </c>
      <c r="O108">
        <v>709</v>
      </c>
      <c r="P108">
        <f t="shared" si="1"/>
        <v>1.284046692607004</v>
      </c>
    </row>
    <row r="109" spans="1:16" hidden="1" x14ac:dyDescent="0.25">
      <c r="A109">
        <v>0</v>
      </c>
      <c r="B109">
        <v>5000</v>
      </c>
      <c r="C109">
        <f>1.225 * (1 - 0.00000687559 * B109) ^ 4.2561</f>
        <v>1.0555380742846066</v>
      </c>
      <c r="D109">
        <f>E109*(SQRT($C$2/C109))</f>
        <v>64.637171418273525</v>
      </c>
      <c r="E109">
        <v>60</v>
      </c>
      <c r="F109">
        <v>1150</v>
      </c>
      <c r="G109">
        <v>250</v>
      </c>
      <c r="H109">
        <f>CONVERT(G109,"HP","kW")</f>
        <v>186.42496789556756</v>
      </c>
      <c r="I109">
        <v>8.6E-3</v>
      </c>
      <c r="J109">
        <v>0.43780000000000002</v>
      </c>
      <c r="K109">
        <v>0.50929999999999997</v>
      </c>
      <c r="L109">
        <v>2.5700000000000001E-2</v>
      </c>
      <c r="M109">
        <v>5.0000000000000001E-4</v>
      </c>
      <c r="N109">
        <f>CONVERT(O109,"lbf","N")</f>
        <v>48.485615606339451</v>
      </c>
      <c r="O109">
        <v>10.9</v>
      </c>
      <c r="P109">
        <f t="shared" si="1"/>
        <v>1.9455252918287938E-2</v>
      </c>
    </row>
    <row r="110" spans="1:16" hidden="1" x14ac:dyDescent="0.25">
      <c r="A110">
        <v>0</v>
      </c>
      <c r="B110">
        <v>5000</v>
      </c>
      <c r="C110">
        <f>1.225 * (1 - 0.00000687559 * B110) ^ 4.2561</f>
        <v>1.0555380742846066</v>
      </c>
      <c r="D110">
        <f>E110*(SQRT($C$2/C110))</f>
        <v>86.1828952243647</v>
      </c>
      <c r="E110">
        <v>80</v>
      </c>
      <c r="F110">
        <v>1150</v>
      </c>
      <c r="G110">
        <v>250</v>
      </c>
      <c r="H110">
        <f>CONVERT(G110,"HP","kW")</f>
        <v>186.42496789556756</v>
      </c>
      <c r="I110">
        <v>0.11360000000000001</v>
      </c>
      <c r="J110">
        <v>0.58379999999999999</v>
      </c>
      <c r="K110">
        <v>0.51670000000000005</v>
      </c>
      <c r="L110">
        <v>2.5700000000000001E-2</v>
      </c>
      <c r="M110">
        <v>5.0000000000000001E-3</v>
      </c>
      <c r="N110">
        <f>CONVERT(O110,"lbf","N")</f>
        <v>477.73900147897774</v>
      </c>
      <c r="O110">
        <v>107.4</v>
      </c>
      <c r="P110">
        <f t="shared" si="1"/>
        <v>0.19455252918287938</v>
      </c>
    </row>
    <row r="111" spans="1:16" hidden="1" x14ac:dyDescent="0.25">
      <c r="A111">
        <v>0</v>
      </c>
      <c r="B111">
        <v>5000</v>
      </c>
      <c r="C111">
        <f>1.225 * (1 - 0.00000687559 * B111) ^ 4.2561</f>
        <v>1.0555380742846066</v>
      </c>
      <c r="D111">
        <f>E111*(SQRT($C$2/C111))</f>
        <v>107.72861903045587</v>
      </c>
      <c r="E111">
        <v>100</v>
      </c>
      <c r="F111">
        <v>1150</v>
      </c>
      <c r="G111">
        <v>250</v>
      </c>
      <c r="H111">
        <f>CONVERT(G111,"HP","kW")</f>
        <v>186.42496789556756</v>
      </c>
      <c r="I111">
        <v>0.19359999999999999</v>
      </c>
      <c r="J111">
        <v>0.72970000000000002</v>
      </c>
      <c r="K111">
        <v>0.5262</v>
      </c>
      <c r="L111">
        <v>2.5700000000000001E-2</v>
      </c>
      <c r="M111">
        <v>6.7999999999999996E-3</v>
      </c>
      <c r="N111">
        <f>CONVERT(O111,"lbf","N")</f>
        <v>651.21964447413723</v>
      </c>
      <c r="O111">
        <v>146.4</v>
      </c>
      <c r="P111">
        <f t="shared" si="1"/>
        <v>0.26459143968871596</v>
      </c>
    </row>
    <row r="112" spans="1:16" hidden="1" x14ac:dyDescent="0.25">
      <c r="A112">
        <v>0</v>
      </c>
      <c r="B112">
        <v>5000</v>
      </c>
      <c r="C112">
        <f>1.225 * (1 - 0.00000687559 * B112) ^ 4.2561</f>
        <v>1.0555380742846066</v>
      </c>
      <c r="D112">
        <f>E112*(SQRT($C$2/C112))</f>
        <v>129.27434283654705</v>
      </c>
      <c r="E112">
        <v>120</v>
      </c>
      <c r="F112">
        <v>1150</v>
      </c>
      <c r="G112">
        <v>250</v>
      </c>
      <c r="H112">
        <f>CONVERT(G112,"HP","kW")</f>
        <v>186.42496789556756</v>
      </c>
      <c r="I112">
        <v>0.23769999999999999</v>
      </c>
      <c r="J112">
        <v>0.87570000000000003</v>
      </c>
      <c r="K112">
        <v>0.53759999999999997</v>
      </c>
      <c r="L112">
        <v>2.5700000000000001E-2</v>
      </c>
      <c r="M112">
        <v>7.0000000000000001E-3</v>
      </c>
      <c r="N112">
        <f>CONVERT(O112,"lbf","N")</f>
        <v>666.34359796602291</v>
      </c>
      <c r="O112">
        <v>149.80000000000001</v>
      </c>
      <c r="P112">
        <f t="shared" si="1"/>
        <v>0.2723735408560311</v>
      </c>
    </row>
    <row r="113" spans="1:16" hidden="1" x14ac:dyDescent="0.25">
      <c r="A113">
        <v>0</v>
      </c>
      <c r="B113">
        <v>5000</v>
      </c>
      <c r="C113">
        <f>1.225 * (1 - 0.00000687559 * B113) ^ 4.2561</f>
        <v>1.0555380742846066</v>
      </c>
      <c r="D113">
        <f>E113*(SQRT($C$2/C113))</f>
        <v>150.82006664263821</v>
      </c>
      <c r="E113">
        <v>140</v>
      </c>
      <c r="F113">
        <v>1150</v>
      </c>
      <c r="G113">
        <v>250</v>
      </c>
      <c r="H113">
        <f>CONVERT(G113,"HP","kW")</f>
        <v>186.42496789556756</v>
      </c>
      <c r="I113">
        <v>0.25509999999999999</v>
      </c>
      <c r="J113">
        <v>1.0216000000000001</v>
      </c>
      <c r="K113">
        <v>0.55069999999999997</v>
      </c>
      <c r="L113">
        <v>2.5700000000000001E-2</v>
      </c>
      <c r="M113">
        <v>6.4000000000000003E-3</v>
      </c>
      <c r="N113">
        <f>CONVERT(O113,"lbf","N")</f>
        <v>612.96493858289693</v>
      </c>
      <c r="O113">
        <v>137.80000000000001</v>
      </c>
      <c r="P113">
        <f t="shared" si="1"/>
        <v>0.24902723735408561</v>
      </c>
    </row>
    <row r="114" spans="1:16" hidden="1" x14ac:dyDescent="0.25">
      <c r="A114">
        <v>0</v>
      </c>
      <c r="B114">
        <v>5000</v>
      </c>
      <c r="C114">
        <f>1.225 * (1 - 0.00000687559 * B114) ^ 4.2561</f>
        <v>1.0555380742846066</v>
      </c>
      <c r="D114">
        <f>E114*(SQRT($C$2/C114))</f>
        <v>193.91151425482059</v>
      </c>
      <c r="E114">
        <v>180</v>
      </c>
      <c r="F114">
        <v>1150</v>
      </c>
      <c r="G114">
        <v>250</v>
      </c>
      <c r="H114">
        <f>CONVERT(G114,"HP","kW")</f>
        <v>186.42496789556756</v>
      </c>
      <c r="I114">
        <v>0.22309999999999999</v>
      </c>
      <c r="J114">
        <v>1.3134999999999999</v>
      </c>
      <c r="K114">
        <v>0.58179999999999998</v>
      </c>
      <c r="L114">
        <v>2.5700000000000001E-2</v>
      </c>
      <c r="M114">
        <v>4.4000000000000003E-3</v>
      </c>
      <c r="N114">
        <f>CONVERT(O114,"lbf","N")</f>
        <v>416.79836534990886</v>
      </c>
      <c r="O114">
        <v>93.7</v>
      </c>
      <c r="P114">
        <f t="shared" si="1"/>
        <v>0.17120622568093385</v>
      </c>
    </row>
    <row r="115" spans="1:16" hidden="1" x14ac:dyDescent="0.25">
      <c r="A115">
        <v>0</v>
      </c>
      <c r="B115">
        <v>5000</v>
      </c>
      <c r="C115">
        <f>1.225 * (1 - 0.00000687559 * B115) ^ 4.2561</f>
        <v>1.0555380742846066</v>
      </c>
      <c r="D115">
        <f>E115*(SQRT($C$2/C115))</f>
        <v>215.45723806091175</v>
      </c>
      <c r="E115">
        <v>200</v>
      </c>
      <c r="F115">
        <v>1150</v>
      </c>
      <c r="G115">
        <v>250</v>
      </c>
      <c r="H115">
        <f>CONVERT(G115,"HP","kW")</f>
        <v>186.42496789556756</v>
      </c>
      <c r="I115">
        <v>0.1762</v>
      </c>
      <c r="J115">
        <v>1.4595</v>
      </c>
      <c r="K115">
        <v>0.59940000000000004</v>
      </c>
      <c r="L115">
        <v>2.5700000000000001E-2</v>
      </c>
      <c r="M115">
        <v>3.0999999999999999E-3</v>
      </c>
      <c r="N115">
        <f>CONVERT(O115,"lbf","N")</f>
        <v>296.25155957634928</v>
      </c>
      <c r="O115">
        <v>66.599999999999994</v>
      </c>
      <c r="P115">
        <f t="shared" si="1"/>
        <v>0.1206225680933852</v>
      </c>
    </row>
    <row r="116" spans="1:16" hidden="1" x14ac:dyDescent="0.25">
      <c r="A116">
        <v>0</v>
      </c>
      <c r="B116">
        <v>5000</v>
      </c>
      <c r="C116">
        <f>1.225 * (1 - 0.00000687559 * B116) ^ 4.2561</f>
        <v>1.0555380742846066</v>
      </c>
      <c r="D116">
        <f>E116*(SQRT($C$2/C116))</f>
        <v>237.00296186700291</v>
      </c>
      <c r="E116">
        <v>220</v>
      </c>
      <c r="F116">
        <v>1150</v>
      </c>
      <c r="G116">
        <v>250</v>
      </c>
      <c r="H116">
        <f>CONVERT(G116,"HP","kW")</f>
        <v>186.42496789556756</v>
      </c>
      <c r="I116">
        <v>8.8499999999999995E-2</v>
      </c>
      <c r="J116">
        <v>1.6053999999999999</v>
      </c>
      <c r="K116">
        <v>0.61839999999999995</v>
      </c>
      <c r="L116">
        <v>2.5700000000000001E-2</v>
      </c>
      <c r="M116">
        <v>1.4E-3</v>
      </c>
      <c r="N116">
        <f>CONVERT(O116,"lbf","N")</f>
        <v>135.22593710391919</v>
      </c>
      <c r="O116">
        <v>30.4</v>
      </c>
      <c r="P116">
        <f t="shared" si="1"/>
        <v>5.4474708171206226E-2</v>
      </c>
    </row>
    <row r="117" spans="1:16" hidden="1" x14ac:dyDescent="0.25">
      <c r="A117">
        <v>0</v>
      </c>
      <c r="B117">
        <v>5000</v>
      </c>
      <c r="C117">
        <f>1.225 * (1 - 0.00000687559 * B117) ^ 4.2561</f>
        <v>1.0555380742846066</v>
      </c>
      <c r="D117">
        <f>E117*(SQRT($C$2/C117))</f>
        <v>280.09440947918529</v>
      </c>
      <c r="E117">
        <v>260</v>
      </c>
      <c r="F117">
        <v>1150</v>
      </c>
      <c r="G117">
        <v>250</v>
      </c>
      <c r="H117">
        <f>CONVERT(G117,"HP","kW")</f>
        <v>186.42496789556756</v>
      </c>
      <c r="I117">
        <v>-0.22320000000000001</v>
      </c>
      <c r="J117">
        <v>1.8973</v>
      </c>
      <c r="K117">
        <v>0.65959999999999996</v>
      </c>
      <c r="L117">
        <v>2.5700000000000001E-2</v>
      </c>
      <c r="M117">
        <v>-3.0000000000000001E-3</v>
      </c>
      <c r="N117">
        <f>CONVERT(O117,"lbf","N")</f>
        <v>-288.68958283040644</v>
      </c>
      <c r="O117">
        <v>-64.900000000000006</v>
      </c>
      <c r="P117">
        <f t="shared" si="1"/>
        <v>-0.11673151750972763</v>
      </c>
    </row>
    <row r="118" spans="1:16" hidden="1" x14ac:dyDescent="0.25">
      <c r="A118">
        <v>0</v>
      </c>
      <c r="B118">
        <v>5000</v>
      </c>
      <c r="C118">
        <f>1.225 * (1 - 0.00000687559 * B118) ^ 4.2561</f>
        <v>1.0555380742846066</v>
      </c>
      <c r="D118">
        <f>E118*(SQRT($C$2/C118))</f>
        <v>0</v>
      </c>
      <c r="E118">
        <v>0</v>
      </c>
      <c r="F118">
        <v>1215</v>
      </c>
      <c r="G118">
        <v>250</v>
      </c>
      <c r="H118">
        <f>CONVERT(G118,"HP","kW")</f>
        <v>186.42496789556756</v>
      </c>
      <c r="I118" s="2" t="e">
        <f>#REF!</f>
        <v>#REF!</v>
      </c>
      <c r="J118" s="2" t="e">
        <f>#REF!</f>
        <v>#REF!</v>
      </c>
      <c r="K118" s="2" t="e">
        <f>#REF!</f>
        <v>#REF!</v>
      </c>
      <c r="L118" s="2" t="e">
        <f>#REF!</f>
        <v>#REF!</v>
      </c>
      <c r="M118" s="2" t="e">
        <f>#REF!</f>
        <v>#REF!</v>
      </c>
      <c r="N118" t="e">
        <f>CONVERT(O118,"lbf","N")</f>
        <v>#REF!</v>
      </c>
      <c r="O118" s="2" t="e">
        <f>#REF!</f>
        <v>#REF!</v>
      </c>
      <c r="P118" t="e">
        <f t="shared" si="1"/>
        <v>#REF!</v>
      </c>
    </row>
    <row r="119" spans="1:16" hidden="1" x14ac:dyDescent="0.25">
      <c r="A119">
        <v>0</v>
      </c>
      <c r="B119">
        <v>5000</v>
      </c>
      <c r="C119">
        <f>1.225 * (1 - 0.00000687559 * B119) ^ 4.2561</f>
        <v>1.0555380742846066</v>
      </c>
      <c r="D119">
        <f>E119*(SQRT($C$2/C119))</f>
        <v>21.545723806091175</v>
      </c>
      <c r="E119">
        <v>20</v>
      </c>
      <c r="F119">
        <v>1215</v>
      </c>
      <c r="G119">
        <v>250</v>
      </c>
      <c r="H119">
        <f>CONVERT(G119,"HP","kW")</f>
        <v>186.42496789556756</v>
      </c>
      <c r="I119" s="2" t="e">
        <f>#REF!</f>
        <v>#REF!</v>
      </c>
      <c r="J119" s="2" t="e">
        <f>#REF!</f>
        <v>#REF!</v>
      </c>
      <c r="K119" s="2" t="e">
        <f>#REF!</f>
        <v>#REF!</v>
      </c>
      <c r="L119" s="2" t="e">
        <f>#REF!</f>
        <v>#REF!</v>
      </c>
      <c r="M119" s="2" t="e">
        <f>#REF!</f>
        <v>#REF!</v>
      </c>
      <c r="N119" t="e">
        <f>CONVERT(O119,"lbf","N")</f>
        <v>#REF!</v>
      </c>
      <c r="O119" s="2" t="e">
        <f>#REF!</f>
        <v>#REF!</v>
      </c>
      <c r="P119" t="e">
        <f t="shared" si="1"/>
        <v>#REF!</v>
      </c>
    </row>
    <row r="120" spans="1:16" hidden="1" x14ac:dyDescent="0.25">
      <c r="A120">
        <v>0</v>
      </c>
      <c r="B120">
        <v>5000</v>
      </c>
      <c r="C120">
        <f>1.225 * (1 - 0.00000687559 * B120) ^ 4.2561</f>
        <v>1.0555380742846066</v>
      </c>
      <c r="D120">
        <f>E120*(SQRT($C$2/C120))</f>
        <v>64.637171418273525</v>
      </c>
      <c r="E120">
        <v>60</v>
      </c>
      <c r="F120">
        <v>1215</v>
      </c>
      <c r="G120">
        <v>250</v>
      </c>
      <c r="H120">
        <f>CONVERT(G120,"HP","kW")</f>
        <v>186.42496789556756</v>
      </c>
      <c r="I120" s="2" t="e">
        <f>#REF!</f>
        <v>#REF!</v>
      </c>
      <c r="J120" s="2" t="e">
        <f>#REF!</f>
        <v>#REF!</v>
      </c>
      <c r="K120" s="2" t="e">
        <f>#REF!</f>
        <v>#REF!</v>
      </c>
      <c r="L120" s="2" t="e">
        <f>#REF!</f>
        <v>#REF!</v>
      </c>
      <c r="M120" s="2" t="e">
        <f>#REF!</f>
        <v>#REF!</v>
      </c>
      <c r="N120" t="e">
        <f>CONVERT(O120,"lbf","N")</f>
        <v>#REF!</v>
      </c>
      <c r="O120" s="2" t="e">
        <f>#REF!</f>
        <v>#REF!</v>
      </c>
      <c r="P120" t="e">
        <f t="shared" si="1"/>
        <v>#REF!</v>
      </c>
    </row>
    <row r="121" spans="1:16" hidden="1" x14ac:dyDescent="0.25">
      <c r="A121">
        <v>0</v>
      </c>
      <c r="B121">
        <v>5000</v>
      </c>
      <c r="C121">
        <f>1.225 * (1 - 0.00000687559 * B121) ^ 4.2561</f>
        <v>1.0555380742846066</v>
      </c>
      <c r="D121">
        <f>E121*(SQRT($C$2/C121))</f>
        <v>43.09144761218235</v>
      </c>
      <c r="E121">
        <v>40</v>
      </c>
      <c r="F121">
        <v>1150</v>
      </c>
      <c r="G121">
        <v>250</v>
      </c>
      <c r="H121">
        <f>CONVERT(G121,"HP","kW")</f>
        <v>186.42496789556756</v>
      </c>
      <c r="I121">
        <v>0.15429999999999999</v>
      </c>
      <c r="J121">
        <v>0.29189999999999999</v>
      </c>
      <c r="K121">
        <v>0.50380000000000003</v>
      </c>
      <c r="L121">
        <v>2.58E-2</v>
      </c>
      <c r="M121">
        <v>1.3599999999999999E-2</v>
      </c>
      <c r="N121">
        <f>CONVERT(O121,"lbf","N")</f>
        <v>1297.9910673330139</v>
      </c>
      <c r="O121">
        <v>291.8</v>
      </c>
      <c r="P121">
        <f t="shared" si="1"/>
        <v>0.52713178294573637</v>
      </c>
    </row>
    <row r="122" spans="1:16" hidden="1" x14ac:dyDescent="0.25">
      <c r="A122">
        <v>0</v>
      </c>
      <c r="B122">
        <v>5000</v>
      </c>
      <c r="C122">
        <f>1.225 * (1 - 0.00000687559 * B122) ^ 4.2561</f>
        <v>1.0555380742846066</v>
      </c>
      <c r="D122">
        <f>E122*(SQRT($C$2/C122))</f>
        <v>172.3657904487294</v>
      </c>
      <c r="E122">
        <v>160</v>
      </c>
      <c r="F122">
        <v>1150</v>
      </c>
      <c r="G122">
        <v>250</v>
      </c>
      <c r="H122">
        <f>CONVERT(G122,"HP","kW")</f>
        <v>186.42496789556756</v>
      </c>
      <c r="I122">
        <v>0.25230000000000002</v>
      </c>
      <c r="J122">
        <v>1.1676</v>
      </c>
      <c r="K122">
        <v>0.5655</v>
      </c>
      <c r="L122">
        <v>2.58E-2</v>
      </c>
      <c r="M122">
        <v>5.5999999999999999E-3</v>
      </c>
      <c r="N122">
        <f>CONVERT(O122,"lbf","N")</f>
        <v>530.22801653905162</v>
      </c>
      <c r="O122">
        <v>119.2</v>
      </c>
      <c r="P122">
        <f t="shared" si="1"/>
        <v>0.21705426356589147</v>
      </c>
    </row>
    <row r="123" spans="1:16" hidden="1" x14ac:dyDescent="0.25">
      <c r="A123">
        <v>0</v>
      </c>
      <c r="B123">
        <v>5000</v>
      </c>
      <c r="C123">
        <f>1.225 * (1 - 0.00000687559 * B123) ^ 4.2561</f>
        <v>1.0555380742846066</v>
      </c>
      <c r="D123">
        <f>E123*(SQRT($C$2/C123))</f>
        <v>43.09144761218235</v>
      </c>
      <c r="E123">
        <v>40</v>
      </c>
      <c r="F123">
        <v>1215</v>
      </c>
      <c r="G123">
        <v>250</v>
      </c>
      <c r="H123">
        <f>CONVERT(G123,"HP","kW")</f>
        <v>186.42496789556756</v>
      </c>
      <c r="I123" s="2" t="e">
        <f>#REF!</f>
        <v>#REF!</v>
      </c>
      <c r="J123" s="2" t="e">
        <f>#REF!</f>
        <v>#REF!</v>
      </c>
      <c r="K123" s="2" t="e">
        <f>#REF!</f>
        <v>#REF!</v>
      </c>
      <c r="L123" s="2" t="e">
        <f>#REF!</f>
        <v>#REF!</v>
      </c>
      <c r="M123" s="2" t="e">
        <f>#REF!</f>
        <v>#REF!</v>
      </c>
      <c r="N123" t="e">
        <f>CONVERT(O123,"lbf","N")</f>
        <v>#REF!</v>
      </c>
      <c r="O123" s="2" t="e">
        <f>#REF!</f>
        <v>#REF!</v>
      </c>
      <c r="P123" t="e">
        <f t="shared" si="1"/>
        <v>#REF!</v>
      </c>
    </row>
    <row r="124" spans="1:16" hidden="1" x14ac:dyDescent="0.25">
      <c r="A124">
        <v>0</v>
      </c>
      <c r="B124">
        <v>0</v>
      </c>
      <c r="C124">
        <f>1.225 * (1 - 0.00000687559 * B124) ^ 4.2561</f>
        <v>1.2250000000000001</v>
      </c>
      <c r="D124">
        <f>E124*(SQRT($C$2/C124))</f>
        <v>200</v>
      </c>
      <c r="E124">
        <v>200</v>
      </c>
      <c r="F124">
        <v>987</v>
      </c>
      <c r="G124">
        <v>200</v>
      </c>
      <c r="H124">
        <f>CONVERT(G124,"HP","kW")</f>
        <v>149.13997431645407</v>
      </c>
      <c r="I124">
        <v>0.39369999999999999</v>
      </c>
      <c r="J124">
        <v>1.5785</v>
      </c>
      <c r="K124">
        <v>0.51849999999999996</v>
      </c>
      <c r="L124">
        <v>2.7900000000000001E-2</v>
      </c>
      <c r="M124">
        <v>7.0000000000000001E-3</v>
      </c>
      <c r="N124">
        <f>CONVERT(O124,"lbf","N")</f>
        <v>570.70683323792218</v>
      </c>
      <c r="O124">
        <v>128.30000000000001</v>
      </c>
      <c r="P124">
        <f t="shared" si="1"/>
        <v>0.25089605734767023</v>
      </c>
    </row>
    <row r="125" spans="1:16" hidden="1" x14ac:dyDescent="0.25">
      <c r="A125">
        <v>0</v>
      </c>
      <c r="B125">
        <v>0</v>
      </c>
      <c r="C125">
        <f>1.225 * (1 - 0.00000687559 * B125) ^ 4.2561</f>
        <v>1.2250000000000001</v>
      </c>
      <c r="D125">
        <f>E125*(SQRT($C$2/C125))</f>
        <v>220</v>
      </c>
      <c r="E125">
        <v>220</v>
      </c>
      <c r="F125">
        <v>987</v>
      </c>
      <c r="G125">
        <v>200</v>
      </c>
      <c r="H125">
        <f>CONVERT(G125,"HP","kW")</f>
        <v>149.13997431645407</v>
      </c>
      <c r="I125">
        <v>0.3029</v>
      </c>
      <c r="J125">
        <v>1.7363</v>
      </c>
      <c r="K125">
        <v>0.53669999999999995</v>
      </c>
      <c r="L125">
        <v>2.7900000000000001E-2</v>
      </c>
      <c r="M125">
        <v>4.8999999999999998E-3</v>
      </c>
      <c r="N125">
        <f>CONVERT(O125,"lbf","N")</f>
        <v>399.00547888886689</v>
      </c>
      <c r="O125">
        <v>89.7</v>
      </c>
      <c r="P125">
        <f t="shared" si="1"/>
        <v>0.17562724014336917</v>
      </c>
    </row>
    <row r="126" spans="1:16" hidden="1" x14ac:dyDescent="0.25">
      <c r="A126">
        <v>0</v>
      </c>
      <c r="B126">
        <v>0</v>
      </c>
      <c r="C126">
        <f>1.225 * (1 - 0.00000687559 * B126) ^ 4.2561</f>
        <v>1.2250000000000001</v>
      </c>
      <c r="D126">
        <f>E126*(SQRT($C$2/C126))</f>
        <v>240</v>
      </c>
      <c r="E126">
        <v>240</v>
      </c>
      <c r="F126">
        <v>987</v>
      </c>
      <c r="G126">
        <v>200</v>
      </c>
      <c r="H126">
        <f>CONVERT(G126,"HP","kW")</f>
        <v>149.13997431645407</v>
      </c>
      <c r="I126">
        <v>0.1845</v>
      </c>
      <c r="J126">
        <v>1.8942000000000001</v>
      </c>
      <c r="K126">
        <v>0.55589999999999995</v>
      </c>
      <c r="L126">
        <v>2.7900000000000001E-2</v>
      </c>
      <c r="M126">
        <v>2.7000000000000001E-3</v>
      </c>
      <c r="N126">
        <f>CONVERT(O126,"lbf","N")</f>
        <v>222.85590292455106</v>
      </c>
      <c r="O126">
        <v>50.1</v>
      </c>
      <c r="P126">
        <f t="shared" si="1"/>
        <v>9.6774193548387094E-2</v>
      </c>
    </row>
    <row r="127" spans="1:16" hidden="1" x14ac:dyDescent="0.25">
      <c r="A127">
        <v>0</v>
      </c>
      <c r="B127">
        <v>0</v>
      </c>
      <c r="C127">
        <f>1.225 * (1 - 0.00000687559 * B127) ^ 4.2561</f>
        <v>1.2250000000000001</v>
      </c>
      <c r="D127">
        <f>E127*(SQRT($C$2/C127))</f>
        <v>0</v>
      </c>
      <c r="E127">
        <v>0</v>
      </c>
      <c r="F127">
        <v>987</v>
      </c>
      <c r="G127">
        <v>200</v>
      </c>
      <c r="H127">
        <f>CONVERT(G127,"HP","kW")</f>
        <v>149.13997431645407</v>
      </c>
      <c r="I127">
        <v>0</v>
      </c>
      <c r="J127">
        <v>0</v>
      </c>
      <c r="K127">
        <v>0.41870000000000002</v>
      </c>
      <c r="L127">
        <v>2.8000000000000001E-2</v>
      </c>
      <c r="M127">
        <v>7.1599999999999997E-2</v>
      </c>
      <c r="N127">
        <f>CONVERT(O127,"lbf","N")</f>
        <v>5850.3010683906105</v>
      </c>
      <c r="O127">
        <v>1315.2</v>
      </c>
      <c r="P127">
        <f t="shared" si="1"/>
        <v>2.5571428571428569</v>
      </c>
    </row>
    <row r="128" spans="1:16" hidden="1" x14ac:dyDescent="0.25">
      <c r="A128">
        <v>0</v>
      </c>
      <c r="B128">
        <v>0</v>
      </c>
      <c r="C128">
        <f>1.225 * (1 - 0.00000687559 * B128) ^ 4.2561</f>
        <v>1.2250000000000001</v>
      </c>
      <c r="D128">
        <f>E128*(SQRT($C$2/C128))</f>
        <v>20</v>
      </c>
      <c r="E128">
        <v>20</v>
      </c>
      <c r="F128">
        <v>987</v>
      </c>
      <c r="G128">
        <v>200</v>
      </c>
      <c r="H128">
        <f>CONVERT(G128,"HP","kW")</f>
        <v>149.13997431645407</v>
      </c>
      <c r="I128">
        <v>0.30590000000000001</v>
      </c>
      <c r="J128">
        <v>0.1578</v>
      </c>
      <c r="K128">
        <v>0.42149999999999999</v>
      </c>
      <c r="L128">
        <v>2.8000000000000001E-2</v>
      </c>
      <c r="M128">
        <v>5.4300000000000001E-2</v>
      </c>
      <c r="N128">
        <f>CONVERT(O128,"lbf","N")</f>
        <v>4434.4321282531919</v>
      </c>
      <c r="O128">
        <v>996.9</v>
      </c>
      <c r="P128">
        <f t="shared" si="1"/>
        <v>1.9392857142857143</v>
      </c>
    </row>
    <row r="129" spans="1:16" hidden="1" x14ac:dyDescent="0.25">
      <c r="A129">
        <v>0</v>
      </c>
      <c r="B129">
        <v>0</v>
      </c>
      <c r="C129">
        <f>1.225 * (1 - 0.00000687559 * B129) ^ 4.2561</f>
        <v>1.2250000000000001</v>
      </c>
      <c r="D129">
        <f>E129*(SQRT($C$2/C129))</f>
        <v>40</v>
      </c>
      <c r="E129">
        <v>40</v>
      </c>
      <c r="F129">
        <v>987</v>
      </c>
      <c r="G129">
        <v>200</v>
      </c>
      <c r="H129">
        <f>CONVERT(G129,"HP","kW")</f>
        <v>149.13997431645407</v>
      </c>
      <c r="I129">
        <v>0.3982</v>
      </c>
      <c r="J129">
        <v>0.31569999999999998</v>
      </c>
      <c r="K129">
        <v>0.42530000000000001</v>
      </c>
      <c r="L129">
        <v>2.8000000000000001E-2</v>
      </c>
      <c r="M129">
        <v>3.5299999999999998E-2</v>
      </c>
      <c r="N129">
        <f>CONVERT(O129,"lbf","N")</f>
        <v>2886.0061839810123</v>
      </c>
      <c r="O129">
        <v>648.79999999999995</v>
      </c>
      <c r="P129">
        <f t="shared" si="1"/>
        <v>1.2607142857142857</v>
      </c>
    </row>
    <row r="130" spans="1:16" hidden="1" x14ac:dyDescent="0.25">
      <c r="A130">
        <v>0</v>
      </c>
      <c r="B130">
        <v>0</v>
      </c>
      <c r="C130">
        <f>1.225 * (1 - 0.00000687559 * B130) ^ 4.2561</f>
        <v>1.2250000000000001</v>
      </c>
      <c r="D130">
        <f>E130*(SQRT($C$2/C130))</f>
        <v>60</v>
      </c>
      <c r="E130">
        <v>60</v>
      </c>
      <c r="F130">
        <v>987</v>
      </c>
      <c r="G130">
        <v>200</v>
      </c>
      <c r="H130">
        <f>CONVERT(G130,"HP","kW")</f>
        <v>149.13997431645407</v>
      </c>
      <c r="I130">
        <v>0.43409999999999999</v>
      </c>
      <c r="J130">
        <v>0.47349999999999998</v>
      </c>
      <c r="K130">
        <v>0.43080000000000002</v>
      </c>
      <c r="L130">
        <v>2.8000000000000001E-2</v>
      </c>
      <c r="M130">
        <v>2.5700000000000001E-2</v>
      </c>
      <c r="N130">
        <f>CONVERT(O130,"lbf","N")</f>
        <v>2097.3364915953257</v>
      </c>
      <c r="O130">
        <v>471.5</v>
      </c>
      <c r="P130">
        <f t="shared" si="1"/>
        <v>0.91785714285714282</v>
      </c>
    </row>
    <row r="131" spans="1:16" hidden="1" x14ac:dyDescent="0.25">
      <c r="A131">
        <v>0</v>
      </c>
      <c r="B131">
        <v>0</v>
      </c>
      <c r="C131">
        <f>1.225 * (1 - 0.00000687559 * B131) ^ 4.2561</f>
        <v>1.2250000000000001</v>
      </c>
      <c r="D131">
        <f>E131*(SQRT($C$2/C131))</f>
        <v>80</v>
      </c>
      <c r="E131">
        <v>80</v>
      </c>
      <c r="F131">
        <v>987</v>
      </c>
      <c r="G131">
        <v>200</v>
      </c>
      <c r="H131">
        <f>CONVERT(G131,"HP","kW")</f>
        <v>149.13997431645407</v>
      </c>
      <c r="I131">
        <v>0.47670000000000001</v>
      </c>
      <c r="J131">
        <v>0.63139999999999996</v>
      </c>
      <c r="K131">
        <v>0.43819999999999998</v>
      </c>
      <c r="L131">
        <v>2.8000000000000001E-2</v>
      </c>
      <c r="M131">
        <v>2.12E-2</v>
      </c>
      <c r="N131">
        <f>CONVERT(O131,"lbf","N")</f>
        <v>1727.689275367178</v>
      </c>
      <c r="O131">
        <v>388.4</v>
      </c>
      <c r="P131">
        <f t="shared" ref="P131:P194" si="2">M131/L131</f>
        <v>0.75714285714285712</v>
      </c>
    </row>
    <row r="132" spans="1:16" hidden="1" x14ac:dyDescent="0.25">
      <c r="A132">
        <v>0</v>
      </c>
      <c r="B132">
        <v>0</v>
      </c>
      <c r="C132">
        <f>1.225 * (1 - 0.00000687559 * B132) ^ 4.2561</f>
        <v>1.2250000000000001</v>
      </c>
      <c r="D132">
        <f>E132*(SQRT($C$2/C132))</f>
        <v>100</v>
      </c>
      <c r="E132">
        <v>100</v>
      </c>
      <c r="F132">
        <v>987</v>
      </c>
      <c r="G132">
        <v>200</v>
      </c>
      <c r="H132">
        <f>CONVERT(G132,"HP","kW")</f>
        <v>149.13997431645407</v>
      </c>
      <c r="I132">
        <v>0.50790000000000002</v>
      </c>
      <c r="J132">
        <v>0.78920000000000001</v>
      </c>
      <c r="K132">
        <v>0.44750000000000001</v>
      </c>
      <c r="L132">
        <v>2.8000000000000001E-2</v>
      </c>
      <c r="M132">
        <v>1.7999999999999999E-2</v>
      </c>
      <c r="N132">
        <f>CONVERT(O132,"lbf","N")</f>
        <v>1472.3613546512256</v>
      </c>
      <c r="O132">
        <v>331</v>
      </c>
      <c r="P132">
        <f t="shared" si="2"/>
        <v>0.64285714285714279</v>
      </c>
    </row>
    <row r="133" spans="1:16" hidden="1" x14ac:dyDescent="0.25">
      <c r="A133">
        <v>0</v>
      </c>
      <c r="B133">
        <v>0</v>
      </c>
      <c r="C133">
        <f>1.225 * (1 - 0.00000687559 * B133) ^ 4.2561</f>
        <v>1.2250000000000001</v>
      </c>
      <c r="D133">
        <f>E133*(SQRT($C$2/C133))</f>
        <v>120</v>
      </c>
      <c r="E133">
        <v>120</v>
      </c>
      <c r="F133">
        <v>987</v>
      </c>
      <c r="G133">
        <v>200</v>
      </c>
      <c r="H133">
        <f>CONVERT(G133,"HP","kW")</f>
        <v>149.13997431645407</v>
      </c>
      <c r="I133">
        <v>0.52210000000000001</v>
      </c>
      <c r="J133">
        <v>0.94710000000000005</v>
      </c>
      <c r="K133">
        <v>0.45860000000000001</v>
      </c>
      <c r="L133">
        <v>2.8000000000000001E-2</v>
      </c>
      <c r="M133">
        <v>1.54E-2</v>
      </c>
      <c r="N133">
        <f>CONVERT(O133,"lbf","N")</f>
        <v>1261.5156500878779</v>
      </c>
      <c r="O133">
        <v>283.60000000000002</v>
      </c>
      <c r="P133">
        <f t="shared" si="2"/>
        <v>0.55000000000000004</v>
      </c>
    </row>
    <row r="134" spans="1:16" hidden="1" x14ac:dyDescent="0.25">
      <c r="A134">
        <v>0</v>
      </c>
      <c r="B134">
        <v>0</v>
      </c>
      <c r="C134">
        <f>1.225 * (1 - 0.00000687559 * B134) ^ 4.2561</f>
        <v>1.2250000000000001</v>
      </c>
      <c r="D134">
        <f>E134*(SQRT($C$2/C134))</f>
        <v>140</v>
      </c>
      <c r="E134">
        <v>140</v>
      </c>
      <c r="F134">
        <v>987</v>
      </c>
      <c r="G134">
        <v>200</v>
      </c>
      <c r="H134">
        <f>CONVERT(G134,"HP","kW")</f>
        <v>149.13997431645407</v>
      </c>
      <c r="I134">
        <v>0.51700000000000002</v>
      </c>
      <c r="J134">
        <v>1.1049</v>
      </c>
      <c r="K134">
        <v>0.47139999999999999</v>
      </c>
      <c r="L134">
        <v>2.8000000000000001E-2</v>
      </c>
      <c r="M134">
        <v>1.3100000000000001E-2</v>
      </c>
      <c r="N134">
        <f>CONVERT(O134,"lbf","N")</f>
        <v>1070.6869427932024</v>
      </c>
      <c r="O134">
        <v>240.7</v>
      </c>
      <c r="P134">
        <f t="shared" si="2"/>
        <v>0.46785714285714286</v>
      </c>
    </row>
    <row r="135" spans="1:16" hidden="1" x14ac:dyDescent="0.25">
      <c r="A135">
        <v>0</v>
      </c>
      <c r="B135">
        <v>0</v>
      </c>
      <c r="C135">
        <f>1.225 * (1 - 0.00000687559 * B135) ^ 4.2561</f>
        <v>1.2250000000000001</v>
      </c>
      <c r="D135">
        <f>E135*(SQRT($C$2/C135))</f>
        <v>160</v>
      </c>
      <c r="E135">
        <v>160</v>
      </c>
      <c r="F135">
        <v>987</v>
      </c>
      <c r="G135">
        <v>200</v>
      </c>
      <c r="H135">
        <f>CONVERT(G135,"HP","kW")</f>
        <v>149.13997431645407</v>
      </c>
      <c r="I135">
        <v>0.49580000000000002</v>
      </c>
      <c r="J135">
        <v>1.2627999999999999</v>
      </c>
      <c r="K135">
        <v>0.48570000000000002</v>
      </c>
      <c r="L135">
        <v>2.8000000000000001E-2</v>
      </c>
      <c r="M135">
        <v>1.0999999999999999E-2</v>
      </c>
      <c r="N135">
        <f>CONVERT(O135,"lbf","N")</f>
        <v>898.54076628262101</v>
      </c>
      <c r="O135">
        <v>202</v>
      </c>
      <c r="P135">
        <f t="shared" si="2"/>
        <v>0.39285714285714285</v>
      </c>
    </row>
    <row r="136" spans="1:16" hidden="1" x14ac:dyDescent="0.25">
      <c r="A136">
        <v>0</v>
      </c>
      <c r="B136">
        <v>0</v>
      </c>
      <c r="C136">
        <f>1.225 * (1 - 0.00000687559 * B136) ^ 4.2561</f>
        <v>1.2250000000000001</v>
      </c>
      <c r="D136">
        <f>E136*(SQRT($C$2/C136))</f>
        <v>180</v>
      </c>
      <c r="E136">
        <v>180</v>
      </c>
      <c r="F136">
        <v>987</v>
      </c>
      <c r="G136">
        <v>200</v>
      </c>
      <c r="H136">
        <f>CONVERT(G136,"HP","kW")</f>
        <v>149.13997431645407</v>
      </c>
      <c r="I136">
        <v>0.45789999999999997</v>
      </c>
      <c r="J136">
        <v>1.4206000000000001</v>
      </c>
      <c r="K136">
        <v>0.50149999999999995</v>
      </c>
      <c r="L136">
        <v>2.8000000000000001E-2</v>
      </c>
      <c r="M136">
        <v>8.9999999999999993E-3</v>
      </c>
      <c r="N136">
        <f>CONVERT(O136,"lbf","N")</f>
        <v>737.51514381019103</v>
      </c>
      <c r="O136">
        <v>165.8</v>
      </c>
      <c r="P136">
        <f t="shared" si="2"/>
        <v>0.3214285714285714</v>
      </c>
    </row>
    <row r="137" spans="1:16" hidden="1" x14ac:dyDescent="0.25">
      <c r="A137">
        <v>0</v>
      </c>
      <c r="B137">
        <v>0</v>
      </c>
      <c r="C137">
        <f>1.225 * (1 - 0.00000687559 * B137) ^ 4.2561</f>
        <v>1.2250000000000001</v>
      </c>
      <c r="D137">
        <f>E137*(SQRT($C$2/C137))</f>
        <v>260</v>
      </c>
      <c r="E137">
        <v>260</v>
      </c>
      <c r="F137">
        <v>987</v>
      </c>
      <c r="G137">
        <v>200</v>
      </c>
      <c r="H137">
        <f>CONVERT(G137,"HP","kW")</f>
        <v>149.13997431645407</v>
      </c>
      <c r="I137">
        <v>2.9600000000000001E-2</v>
      </c>
      <c r="J137">
        <v>2.052</v>
      </c>
      <c r="K137">
        <v>0.57609999999999995</v>
      </c>
      <c r="L137">
        <v>2.8000000000000001E-2</v>
      </c>
      <c r="M137">
        <v>4.0000000000000002E-4</v>
      </c>
      <c r="N137">
        <f>CONVERT(O137,"lbf","N")</f>
        <v>32.916839952927702</v>
      </c>
      <c r="O137">
        <v>7.4</v>
      </c>
      <c r="P137">
        <f t="shared" si="2"/>
        <v>1.4285714285714285E-2</v>
      </c>
    </row>
    <row r="138" spans="1:16" hidden="1" x14ac:dyDescent="0.25">
      <c r="A138">
        <v>0</v>
      </c>
      <c r="B138">
        <v>0</v>
      </c>
      <c r="C138">
        <f>1.225 * (1 - 0.00000687559 * B138) ^ 4.2561</f>
        <v>1.2250000000000001</v>
      </c>
      <c r="D138">
        <f>E138*(SQRT($C$2/C138))</f>
        <v>0</v>
      </c>
      <c r="E138">
        <v>0</v>
      </c>
      <c r="F138">
        <v>1150</v>
      </c>
      <c r="G138">
        <v>200</v>
      </c>
      <c r="H138">
        <f>CONVERT(G138,"HP","kW")</f>
        <v>149.13997431645407</v>
      </c>
      <c r="I138" s="2" t="e">
        <f>#REF!</f>
        <v>#REF!</v>
      </c>
      <c r="J138" s="2" t="e">
        <f>#REF!</f>
        <v>#REF!</v>
      </c>
      <c r="K138" s="2" t="e">
        <f>#REF!</f>
        <v>#REF!</v>
      </c>
      <c r="L138" s="2" t="e">
        <f>#REF!</f>
        <v>#REF!</v>
      </c>
      <c r="M138" s="2" t="e">
        <f>#REF!</f>
        <v>#REF!</v>
      </c>
      <c r="N138" t="e">
        <f>CONVERT(O138,"lbf","N")</f>
        <v>#REF!</v>
      </c>
      <c r="O138" s="2" t="e">
        <f>#REF!</f>
        <v>#REF!</v>
      </c>
      <c r="P138" t="e">
        <f t="shared" si="2"/>
        <v>#REF!</v>
      </c>
    </row>
    <row r="139" spans="1:16" hidden="1" x14ac:dyDescent="0.25">
      <c r="A139">
        <v>0</v>
      </c>
      <c r="B139">
        <v>0</v>
      </c>
      <c r="C139">
        <f>1.225 * (1 - 0.00000687559 * B139) ^ 4.2561</f>
        <v>1.2250000000000001</v>
      </c>
      <c r="D139">
        <f>E139*(SQRT($C$2/C139))</f>
        <v>20</v>
      </c>
      <c r="E139">
        <v>20</v>
      </c>
      <c r="F139">
        <v>1150</v>
      </c>
      <c r="G139">
        <v>200</v>
      </c>
      <c r="H139">
        <f>CONVERT(G139,"HP","kW")</f>
        <v>149.13997431645407</v>
      </c>
      <c r="I139" s="2" t="e">
        <f>#REF!</f>
        <v>#REF!</v>
      </c>
      <c r="J139" s="2" t="e">
        <f>#REF!</f>
        <v>#REF!</v>
      </c>
      <c r="K139" s="2" t="e">
        <f>#REF!</f>
        <v>#REF!</v>
      </c>
      <c r="L139" s="2" t="e">
        <f>#REF!</f>
        <v>#REF!</v>
      </c>
      <c r="M139" s="2" t="e">
        <f>#REF!</f>
        <v>#REF!</v>
      </c>
      <c r="N139" t="e">
        <f>CONVERT(O139,"lbf","N")</f>
        <v>#REF!</v>
      </c>
      <c r="O139" s="2" t="e">
        <f>#REF!</f>
        <v>#REF!</v>
      </c>
      <c r="P139" t="e">
        <f t="shared" si="2"/>
        <v>#REF!</v>
      </c>
    </row>
    <row r="140" spans="1:16" hidden="1" x14ac:dyDescent="0.25">
      <c r="A140">
        <v>0</v>
      </c>
      <c r="B140">
        <v>0</v>
      </c>
      <c r="C140">
        <f>1.225 * (1 - 0.00000687559 * B140) ^ 4.2561</f>
        <v>1.2250000000000001</v>
      </c>
      <c r="D140">
        <f>E140*(SQRT($C$2/C140))</f>
        <v>40</v>
      </c>
      <c r="E140">
        <v>40</v>
      </c>
      <c r="F140">
        <v>1150</v>
      </c>
      <c r="G140">
        <v>200</v>
      </c>
      <c r="H140">
        <f>CONVERT(G140,"HP","kW")</f>
        <v>149.13997431645407</v>
      </c>
      <c r="I140" s="2" t="e">
        <f>#REF!</f>
        <v>#REF!</v>
      </c>
      <c r="J140" s="2" t="e">
        <f>#REF!</f>
        <v>#REF!</v>
      </c>
      <c r="K140" s="2" t="e">
        <f>#REF!</f>
        <v>#REF!</v>
      </c>
      <c r="L140" s="2" t="e">
        <f>#REF!</f>
        <v>#REF!</v>
      </c>
      <c r="M140" s="2" t="e">
        <f>#REF!</f>
        <v>#REF!</v>
      </c>
      <c r="N140" t="e">
        <f>CONVERT(O140,"lbf","N")</f>
        <v>#REF!</v>
      </c>
      <c r="O140" s="2" t="e">
        <f>#REF!</f>
        <v>#REF!</v>
      </c>
      <c r="P140" t="e">
        <f t="shared" si="2"/>
        <v>#REF!</v>
      </c>
    </row>
    <row r="141" spans="1:16" hidden="1" x14ac:dyDescent="0.25">
      <c r="A141">
        <v>0</v>
      </c>
      <c r="B141">
        <v>0</v>
      </c>
      <c r="C141">
        <f>1.225 * (1 - 0.00000687559 * B141) ^ 4.2561</f>
        <v>1.2250000000000001</v>
      </c>
      <c r="D141">
        <f>E141*(SQRT($C$2/C141))</f>
        <v>60</v>
      </c>
      <c r="E141">
        <v>60</v>
      </c>
      <c r="F141">
        <v>1150</v>
      </c>
      <c r="G141">
        <v>200</v>
      </c>
      <c r="H141">
        <f>CONVERT(G141,"HP","kW")</f>
        <v>149.13997431645407</v>
      </c>
      <c r="I141" s="2" t="e">
        <f>#REF!</f>
        <v>#REF!</v>
      </c>
      <c r="J141" s="2" t="e">
        <f>#REF!</f>
        <v>#REF!</v>
      </c>
      <c r="K141" s="2" t="e">
        <f>#REF!</f>
        <v>#REF!</v>
      </c>
      <c r="L141" s="2" t="e">
        <f>#REF!</f>
        <v>#REF!</v>
      </c>
      <c r="M141" s="2" t="e">
        <f>#REF!</f>
        <v>#REF!</v>
      </c>
      <c r="N141" t="e">
        <f>CONVERT(O141,"lbf","N")</f>
        <v>#REF!</v>
      </c>
      <c r="O141" s="2" t="e">
        <f>#REF!</f>
        <v>#REF!</v>
      </c>
      <c r="P141" t="e">
        <f t="shared" si="2"/>
        <v>#REF!</v>
      </c>
    </row>
    <row r="142" spans="1:16" hidden="1" x14ac:dyDescent="0.25">
      <c r="A142">
        <v>0</v>
      </c>
      <c r="B142">
        <v>0</v>
      </c>
      <c r="C142">
        <f>1.225 * (1 - 0.00000687559 * B142) ^ 4.2561</f>
        <v>1.2250000000000001</v>
      </c>
      <c r="D142">
        <f>E142*(SQRT($C$2/C142))</f>
        <v>0</v>
      </c>
      <c r="E142">
        <v>0</v>
      </c>
      <c r="F142">
        <v>1215</v>
      </c>
      <c r="G142">
        <v>200</v>
      </c>
      <c r="H142">
        <f>CONVERT(G142,"HP","kW")</f>
        <v>149.13997431645407</v>
      </c>
      <c r="I142" s="2" t="e">
        <f>#REF!</f>
        <v>#REF!</v>
      </c>
      <c r="J142" s="2" t="e">
        <f>#REF!</f>
        <v>#REF!</v>
      </c>
      <c r="K142" s="2" t="e">
        <f>#REF!</f>
        <v>#REF!</v>
      </c>
      <c r="L142" s="2" t="e">
        <f>#REF!</f>
        <v>#REF!</v>
      </c>
      <c r="M142" s="2" t="e">
        <f>#REF!</f>
        <v>#REF!</v>
      </c>
      <c r="N142" t="e">
        <f>CONVERT(O142,"lbf","N")</f>
        <v>#REF!</v>
      </c>
      <c r="O142" s="2" t="e">
        <f>#REF!</f>
        <v>#REF!</v>
      </c>
      <c r="P142" t="e">
        <f t="shared" si="2"/>
        <v>#REF!</v>
      </c>
    </row>
    <row r="143" spans="1:16" hidden="1" x14ac:dyDescent="0.25">
      <c r="A143">
        <v>0</v>
      </c>
      <c r="B143">
        <v>0</v>
      </c>
      <c r="C143">
        <f>1.225 * (1 - 0.00000687559 * B143) ^ 4.2561</f>
        <v>1.2250000000000001</v>
      </c>
      <c r="D143">
        <f>E143*(SQRT($C$2/C143))</f>
        <v>20</v>
      </c>
      <c r="E143">
        <v>20</v>
      </c>
      <c r="F143">
        <v>1215</v>
      </c>
      <c r="G143">
        <v>200</v>
      </c>
      <c r="H143">
        <f>CONVERT(G143,"HP","kW")</f>
        <v>149.13997431645407</v>
      </c>
      <c r="I143" s="2" t="e">
        <f>#REF!</f>
        <v>#REF!</v>
      </c>
      <c r="J143" s="2" t="e">
        <f>#REF!</f>
        <v>#REF!</v>
      </c>
      <c r="K143" s="2" t="e">
        <f>#REF!</f>
        <v>#REF!</v>
      </c>
      <c r="L143" s="2" t="e">
        <f>#REF!</f>
        <v>#REF!</v>
      </c>
      <c r="M143" s="2" t="e">
        <f>#REF!</f>
        <v>#REF!</v>
      </c>
      <c r="N143" t="e">
        <f>CONVERT(O143,"lbf","N")</f>
        <v>#REF!</v>
      </c>
      <c r="O143" s="2" t="e">
        <f>#REF!</f>
        <v>#REF!</v>
      </c>
      <c r="P143" t="e">
        <f t="shared" si="2"/>
        <v>#REF!</v>
      </c>
    </row>
    <row r="144" spans="1:16" hidden="1" x14ac:dyDescent="0.25">
      <c r="A144">
        <v>0</v>
      </c>
      <c r="B144">
        <v>0</v>
      </c>
      <c r="C144">
        <f>1.225 * (1 - 0.00000687559 * B144) ^ 4.2561</f>
        <v>1.2250000000000001</v>
      </c>
      <c r="D144">
        <f>E144*(SQRT($C$2/C144))</f>
        <v>40</v>
      </c>
      <c r="E144">
        <v>40</v>
      </c>
      <c r="F144">
        <v>1215</v>
      </c>
      <c r="G144">
        <v>200</v>
      </c>
      <c r="H144">
        <f>CONVERT(G144,"HP","kW")</f>
        <v>149.13997431645407</v>
      </c>
      <c r="I144" s="2" t="e">
        <f>#REF!</f>
        <v>#REF!</v>
      </c>
      <c r="J144" s="2" t="e">
        <f>#REF!</f>
        <v>#REF!</v>
      </c>
      <c r="K144" s="2" t="e">
        <f>#REF!</f>
        <v>#REF!</v>
      </c>
      <c r="L144" s="2" t="e">
        <f>#REF!</f>
        <v>#REF!</v>
      </c>
      <c r="M144" s="2" t="e">
        <f>#REF!</f>
        <v>#REF!</v>
      </c>
      <c r="N144" t="e">
        <f>CONVERT(O144,"lbf","N")</f>
        <v>#REF!</v>
      </c>
      <c r="O144" s="2" t="e">
        <f>#REF!</f>
        <v>#REF!</v>
      </c>
      <c r="P144" t="e">
        <f t="shared" si="2"/>
        <v>#REF!</v>
      </c>
    </row>
    <row r="145" spans="1:16" hidden="1" x14ac:dyDescent="0.25">
      <c r="A145">
        <v>0</v>
      </c>
      <c r="B145">
        <v>0</v>
      </c>
      <c r="C145">
        <f>1.225 * (1 - 0.00000687559 * B145) ^ 4.2561</f>
        <v>1.2250000000000001</v>
      </c>
      <c r="D145">
        <f>E145*(SQRT($C$2/C145))</f>
        <v>60</v>
      </c>
      <c r="E145">
        <v>60</v>
      </c>
      <c r="F145">
        <v>1215</v>
      </c>
      <c r="G145">
        <v>200</v>
      </c>
      <c r="H145">
        <f>CONVERT(G145,"HP","kW")</f>
        <v>149.13997431645407</v>
      </c>
      <c r="I145" s="2" t="e">
        <f>#REF!</f>
        <v>#REF!</v>
      </c>
      <c r="J145" s="2" t="e">
        <f>#REF!</f>
        <v>#REF!</v>
      </c>
      <c r="K145" s="2" t="e">
        <f>#REF!</f>
        <v>#REF!</v>
      </c>
      <c r="L145" s="2" t="e">
        <f>#REF!</f>
        <v>#REF!</v>
      </c>
      <c r="M145" s="2" t="e">
        <f>#REF!</f>
        <v>#REF!</v>
      </c>
      <c r="N145" t="e">
        <f>CONVERT(O145,"lbf","N")</f>
        <v>#REF!</v>
      </c>
      <c r="O145" s="2" t="e">
        <f>#REF!</f>
        <v>#REF!</v>
      </c>
      <c r="P145" t="e">
        <f t="shared" si="2"/>
        <v>#REF!</v>
      </c>
    </row>
    <row r="146" spans="1:16" hidden="1" x14ac:dyDescent="0.25">
      <c r="A146">
        <v>0</v>
      </c>
      <c r="B146">
        <v>15000</v>
      </c>
      <c r="C146">
        <f>1.225 * (1 - 0.00000687559 * B146) ^ 4.2561</f>
        <v>0.77079726910167001</v>
      </c>
      <c r="D146">
        <f>E146*(SQRT($C$2/C146))</f>
        <v>0</v>
      </c>
      <c r="E146">
        <v>0</v>
      </c>
      <c r="F146">
        <v>1150</v>
      </c>
      <c r="G146">
        <v>200</v>
      </c>
      <c r="H146">
        <f>CONVERT(G146,"HP","kW")</f>
        <v>149.13997431645407</v>
      </c>
      <c r="I146">
        <v>0</v>
      </c>
      <c r="J146">
        <v>0</v>
      </c>
      <c r="K146">
        <v>0.51570000000000005</v>
      </c>
      <c r="L146">
        <v>2.81E-2</v>
      </c>
      <c r="M146">
        <v>6.3600000000000004E-2</v>
      </c>
      <c r="N146">
        <f>CONVERT(O146,"lbf","N")</f>
        <v>4437.101061222349</v>
      </c>
      <c r="O146">
        <v>997.5</v>
      </c>
      <c r="P146">
        <f t="shared" si="2"/>
        <v>2.2633451957295376</v>
      </c>
    </row>
    <row r="147" spans="1:16" hidden="1" x14ac:dyDescent="0.25">
      <c r="A147">
        <v>0</v>
      </c>
      <c r="B147">
        <v>15000</v>
      </c>
      <c r="C147">
        <f>1.225 * (1 - 0.00000687559 * B147) ^ 4.2561</f>
        <v>0.77079726910167001</v>
      </c>
      <c r="D147">
        <f>E147*(SQRT($C$2/C147))</f>
        <v>25.213199277533057</v>
      </c>
      <c r="E147">
        <v>20</v>
      </c>
      <c r="F147">
        <v>1150</v>
      </c>
      <c r="G147">
        <v>200</v>
      </c>
      <c r="H147">
        <f>CONVERT(G147,"HP","kW")</f>
        <v>149.13997431645407</v>
      </c>
      <c r="I147">
        <v>0.24709999999999999</v>
      </c>
      <c r="J147">
        <v>0.17080000000000001</v>
      </c>
      <c r="K147">
        <v>0.51929999999999998</v>
      </c>
      <c r="L147">
        <v>2.81E-2</v>
      </c>
      <c r="M147">
        <v>4.07E-2</v>
      </c>
      <c r="N147">
        <f>CONVERT(O147,"lbf","N")</f>
        <v>2841.5239678284074</v>
      </c>
      <c r="O147">
        <v>638.79999999999995</v>
      </c>
      <c r="P147">
        <f t="shared" si="2"/>
        <v>1.4483985765124556</v>
      </c>
    </row>
    <row r="148" spans="1:16" hidden="1" x14ac:dyDescent="0.25">
      <c r="A148">
        <v>0</v>
      </c>
      <c r="B148">
        <v>15000</v>
      </c>
      <c r="C148">
        <f>1.225 * (1 - 0.00000687559 * B148) ^ 4.2561</f>
        <v>0.77079726910167001</v>
      </c>
      <c r="D148">
        <f>E148*(SQRT($C$2/C148))</f>
        <v>50.426398555066115</v>
      </c>
      <c r="E148">
        <v>40</v>
      </c>
      <c r="F148">
        <v>1150</v>
      </c>
      <c r="G148">
        <v>200</v>
      </c>
      <c r="H148">
        <f>CONVERT(G148,"HP","kW")</f>
        <v>149.13997431645407</v>
      </c>
      <c r="I148">
        <v>0.18590000000000001</v>
      </c>
      <c r="J148">
        <v>0.34160000000000001</v>
      </c>
      <c r="K148">
        <v>0.52439999999999998</v>
      </c>
      <c r="L148">
        <v>2.81E-2</v>
      </c>
      <c r="M148">
        <v>1.5299999999999999E-2</v>
      </c>
      <c r="N148">
        <f>CONVERT(O148,"lbf","N")</f>
        <v>1068.9076541470981</v>
      </c>
      <c r="O148">
        <v>240.3</v>
      </c>
      <c r="P148">
        <f t="shared" si="2"/>
        <v>0.54448398576512458</v>
      </c>
    </row>
    <row r="149" spans="1:16" hidden="1" x14ac:dyDescent="0.25">
      <c r="A149">
        <v>0</v>
      </c>
      <c r="B149">
        <v>15000</v>
      </c>
      <c r="C149">
        <f>1.225 * (1 - 0.00000687559 * B149) ^ 4.2561</f>
        <v>0.77079726910167001</v>
      </c>
      <c r="D149">
        <f>E149*(SQRT($C$2/C149))</f>
        <v>126.06599638766529</v>
      </c>
      <c r="E149">
        <v>100</v>
      </c>
      <c r="F149">
        <v>1150</v>
      </c>
      <c r="G149">
        <v>200</v>
      </c>
      <c r="H149">
        <f>CONVERT(G149,"HP","kW")</f>
        <v>149.13997431645407</v>
      </c>
      <c r="I149">
        <v>0.28710000000000002</v>
      </c>
      <c r="J149">
        <v>0.85389999999999999</v>
      </c>
      <c r="K149">
        <v>0.55589999999999995</v>
      </c>
      <c r="L149">
        <v>2.81E-2</v>
      </c>
      <c r="M149">
        <v>9.4999999999999998E-3</v>
      </c>
      <c r="N149">
        <f>CONVERT(O149,"lbf","N")</f>
        <v>660.11608770465818</v>
      </c>
      <c r="O149">
        <v>148.4</v>
      </c>
      <c r="P149">
        <f t="shared" si="2"/>
        <v>0.33807829181494659</v>
      </c>
    </row>
    <row r="150" spans="1:16" hidden="1" x14ac:dyDescent="0.25">
      <c r="A150">
        <v>0</v>
      </c>
      <c r="B150">
        <v>15000</v>
      </c>
      <c r="C150">
        <f>1.225 * (1 - 0.00000687559 * B150) ^ 4.2561</f>
        <v>0.77079726910167001</v>
      </c>
      <c r="D150">
        <f>E150*(SQRT($C$2/C150))</f>
        <v>151.27919566519836</v>
      </c>
      <c r="E150">
        <v>120</v>
      </c>
      <c r="F150">
        <v>1150</v>
      </c>
      <c r="G150">
        <v>200</v>
      </c>
      <c r="H150">
        <f>CONVERT(G150,"HP","kW")</f>
        <v>149.13997431645407</v>
      </c>
      <c r="I150">
        <v>0.30430000000000001</v>
      </c>
      <c r="J150">
        <v>1.0246999999999999</v>
      </c>
      <c r="K150">
        <v>0.57169999999999999</v>
      </c>
      <c r="L150">
        <v>2.81E-2</v>
      </c>
      <c r="M150">
        <v>8.3999999999999995E-3</v>
      </c>
      <c r="N150">
        <f>CONVERT(O150,"lbf","N")</f>
        <v>583.16185376065152</v>
      </c>
      <c r="O150">
        <v>131.1</v>
      </c>
      <c r="P150">
        <f t="shared" si="2"/>
        <v>0.29893238434163699</v>
      </c>
    </row>
    <row r="151" spans="1:16" hidden="1" x14ac:dyDescent="0.25">
      <c r="A151">
        <v>0</v>
      </c>
      <c r="B151">
        <v>15000</v>
      </c>
      <c r="C151">
        <f>1.225 * (1 - 0.00000687559 * B151) ^ 4.2561</f>
        <v>0.77079726910167001</v>
      </c>
      <c r="D151">
        <f>E151*(SQRT($C$2/C151))</f>
        <v>201.70559422026446</v>
      </c>
      <c r="E151">
        <v>160</v>
      </c>
      <c r="F151">
        <v>1150</v>
      </c>
      <c r="G151">
        <v>200</v>
      </c>
      <c r="H151">
        <f>CONVERT(G151,"HP","kW")</f>
        <v>149.13997431645407</v>
      </c>
      <c r="I151">
        <v>0.25750000000000001</v>
      </c>
      <c r="J151">
        <v>1.3663000000000001</v>
      </c>
      <c r="K151">
        <v>0.61009999999999998</v>
      </c>
      <c r="L151">
        <v>2.81E-2</v>
      </c>
      <c r="M151">
        <v>5.3E-3</v>
      </c>
      <c r="N151">
        <f>CONVERT(O151,"lbf","N")</f>
        <v>370.09203838967363</v>
      </c>
      <c r="O151">
        <v>83.2</v>
      </c>
      <c r="P151">
        <f t="shared" si="2"/>
        <v>0.18861209964412812</v>
      </c>
    </row>
    <row r="152" spans="1:16" hidden="1" x14ac:dyDescent="0.25">
      <c r="A152">
        <v>0</v>
      </c>
      <c r="B152">
        <v>15000</v>
      </c>
      <c r="C152">
        <f>1.225 * (1 - 0.00000687559 * B152) ^ 4.2561</f>
        <v>0.77079726910167001</v>
      </c>
      <c r="D152">
        <f>E152*(SQRT($C$2/C152))</f>
        <v>226.91879349779754</v>
      </c>
      <c r="E152">
        <v>180</v>
      </c>
      <c r="F152">
        <v>1150</v>
      </c>
      <c r="G152">
        <v>200</v>
      </c>
      <c r="H152">
        <f>CONVERT(G152,"HP","kW")</f>
        <v>149.13997431645407</v>
      </c>
      <c r="I152">
        <v>0.18770000000000001</v>
      </c>
      <c r="J152">
        <v>1.5370999999999999</v>
      </c>
      <c r="K152">
        <v>0.63229999999999997</v>
      </c>
      <c r="L152">
        <v>2.81E-2</v>
      </c>
      <c r="M152">
        <v>3.3999999999999998E-3</v>
      </c>
      <c r="N152">
        <f>CONVERT(O152,"lbf","N")</f>
        <v>239.75914506254097</v>
      </c>
      <c r="O152">
        <v>53.9</v>
      </c>
      <c r="P152">
        <f t="shared" si="2"/>
        <v>0.12099644128113879</v>
      </c>
    </row>
    <row r="153" spans="1:16" hidden="1" x14ac:dyDescent="0.25">
      <c r="A153" s="4">
        <v>0</v>
      </c>
      <c r="B153" s="4">
        <v>15000</v>
      </c>
      <c r="C153" s="4">
        <f>1.225 * (1 - 0.00000687559 * B153) ^ 4.2561</f>
        <v>0.77079726910167001</v>
      </c>
      <c r="D153" s="4">
        <f>E153*(SQRT($C$2/C153))</f>
        <v>252.13199277533059</v>
      </c>
      <c r="E153" s="4">
        <v>200</v>
      </c>
      <c r="F153" s="4">
        <v>1150</v>
      </c>
      <c r="G153" s="4">
        <v>200</v>
      </c>
      <c r="H153" s="4">
        <f>CONVERT(G153,"HP","kW")</f>
        <v>149.13997431645407</v>
      </c>
      <c r="I153" s="4">
        <v>2.98E-2</v>
      </c>
      <c r="J153" s="4">
        <v>1.7079</v>
      </c>
      <c r="K153" s="4">
        <v>0.65620000000000001</v>
      </c>
      <c r="L153" s="4">
        <v>2.81E-2</v>
      </c>
      <c r="M153" s="4">
        <v>5.0000000000000001E-4</v>
      </c>
      <c r="N153">
        <f>CONVERT(O153,"lbf","N")</f>
        <v>34.251306437505853</v>
      </c>
      <c r="O153" s="4">
        <v>7.7</v>
      </c>
      <c r="P153">
        <f t="shared" si="2"/>
        <v>1.7793594306049824E-2</v>
      </c>
    </row>
    <row r="154" spans="1:16" hidden="1" x14ac:dyDescent="0.25">
      <c r="A154">
        <v>0</v>
      </c>
      <c r="B154">
        <v>15000</v>
      </c>
      <c r="C154">
        <f>1.225 * (1 - 0.00000687559 * B154) ^ 4.2561</f>
        <v>0.77079726910167001</v>
      </c>
      <c r="D154">
        <f>E154*(SQRT($C$2/C154))</f>
        <v>277.34519205286364</v>
      </c>
      <c r="E154">
        <v>220</v>
      </c>
      <c r="F154">
        <v>1150</v>
      </c>
      <c r="G154">
        <v>200</v>
      </c>
      <c r="H154">
        <f>CONVERT(G154,"HP","kW")</f>
        <v>149.13997431645407</v>
      </c>
      <c r="I154">
        <v>-0.1855</v>
      </c>
      <c r="J154">
        <v>1.8787</v>
      </c>
      <c r="K154">
        <v>0.68159999999999998</v>
      </c>
      <c r="L154">
        <v>2.81E-2</v>
      </c>
      <c r="M154">
        <v>-2.8E-3</v>
      </c>
      <c r="N154">
        <f>CONVERT(O154,"lbf","N")</f>
        <v>-193.9424624253578</v>
      </c>
      <c r="O154">
        <v>-43.6</v>
      </c>
      <c r="P154">
        <f t="shared" si="2"/>
        <v>-9.9644128113879002E-2</v>
      </c>
    </row>
    <row r="155" spans="1:16" hidden="1" x14ac:dyDescent="0.25">
      <c r="A155">
        <v>0</v>
      </c>
      <c r="B155">
        <v>15000</v>
      </c>
      <c r="C155">
        <f>1.225 * (1 - 0.00000687559 * B155) ^ 4.2561</f>
        <v>0.77079726910167001</v>
      </c>
      <c r="D155">
        <f>E155*(SQRT($C$2/C155))</f>
        <v>327.77159060792974</v>
      </c>
      <c r="E155">
        <v>260</v>
      </c>
      <c r="F155">
        <v>1150</v>
      </c>
      <c r="G155">
        <v>200</v>
      </c>
      <c r="H155">
        <f>CONVERT(G155,"HP","kW")</f>
        <v>149.13997431645407</v>
      </c>
      <c r="I155">
        <v>0</v>
      </c>
      <c r="J155">
        <v>2.2202000000000002</v>
      </c>
      <c r="K155">
        <v>0.73640000000000005</v>
      </c>
      <c r="L155">
        <v>2.81E-2</v>
      </c>
      <c r="M155">
        <v>-1.29E-2</v>
      </c>
      <c r="N155">
        <f>CONVERT(O155,"lbf","N")</f>
        <v>-899.87523276719924</v>
      </c>
      <c r="O155">
        <v>-202.3</v>
      </c>
      <c r="P155">
        <f t="shared" si="2"/>
        <v>-0.45907473309608543</v>
      </c>
    </row>
    <row r="156" spans="1:16" hidden="1" x14ac:dyDescent="0.25">
      <c r="A156">
        <v>0</v>
      </c>
      <c r="B156">
        <v>20000</v>
      </c>
      <c r="C156">
        <f>1.225 * (1 - 0.00000687559 * B156) ^ 4.2561</f>
        <v>0.65267221054298263</v>
      </c>
      <c r="D156">
        <f>E156*(SQRT($C$2/C156))</f>
        <v>356.19993138163375</v>
      </c>
      <c r="E156">
        <v>260</v>
      </c>
      <c r="F156">
        <v>1215</v>
      </c>
      <c r="G156">
        <v>200</v>
      </c>
      <c r="H156">
        <f>CONVERT(G156,"HP","kW")</f>
        <v>149.13997431645407</v>
      </c>
      <c r="I156">
        <v>0</v>
      </c>
      <c r="J156">
        <v>2.2837000000000001</v>
      </c>
      <c r="K156">
        <v>0.80489999999999995</v>
      </c>
      <c r="L156">
        <v>2.81E-2</v>
      </c>
      <c r="M156">
        <v>-2.3800000000000002E-2</v>
      </c>
      <c r="N156">
        <f>CONVERT(O156,"lbf","N")</f>
        <v>-1572.891163156113</v>
      </c>
      <c r="O156">
        <v>-353.6</v>
      </c>
      <c r="P156">
        <f t="shared" si="2"/>
        <v>-0.84697508896797158</v>
      </c>
    </row>
    <row r="157" spans="1:16" hidden="1" x14ac:dyDescent="0.25">
      <c r="A157">
        <v>0</v>
      </c>
      <c r="B157">
        <v>15000</v>
      </c>
      <c r="C157">
        <f>1.225 * (1 - 0.00000687559 * B157) ^ 4.2561</f>
        <v>0.77079726910167001</v>
      </c>
      <c r="D157">
        <f>E157*(SQRT($C$2/C157))</f>
        <v>75.639597832599179</v>
      </c>
      <c r="E157">
        <v>60</v>
      </c>
      <c r="F157">
        <v>1150</v>
      </c>
      <c r="G157">
        <v>200</v>
      </c>
      <c r="H157">
        <f>CONVERT(G157,"HP","kW")</f>
        <v>149.13997431645407</v>
      </c>
      <c r="I157">
        <v>0.16020000000000001</v>
      </c>
      <c r="J157">
        <v>0.51239999999999997</v>
      </c>
      <c r="K157">
        <v>0.53210000000000002</v>
      </c>
      <c r="L157">
        <v>2.8199999999999999E-2</v>
      </c>
      <c r="M157">
        <v>8.8000000000000005E-3</v>
      </c>
      <c r="N157">
        <f>CONVERT(O157,"lbf","N")</f>
        <v>614.29940506747505</v>
      </c>
      <c r="O157">
        <v>138.1</v>
      </c>
      <c r="P157">
        <f t="shared" si="2"/>
        <v>0.31205673758865249</v>
      </c>
    </row>
    <row r="158" spans="1:16" hidden="1" x14ac:dyDescent="0.25">
      <c r="A158">
        <v>0</v>
      </c>
      <c r="B158">
        <v>15000</v>
      </c>
      <c r="C158">
        <f>1.225 * (1 - 0.00000687559 * B158) ^ 4.2561</f>
        <v>0.77079726910167001</v>
      </c>
      <c r="D158">
        <f>E158*(SQRT($C$2/C158))</f>
        <v>100.85279711013223</v>
      </c>
      <c r="E158">
        <v>80</v>
      </c>
      <c r="F158">
        <v>1150</v>
      </c>
      <c r="G158">
        <v>200</v>
      </c>
      <c r="H158">
        <f>CONVERT(G158,"HP","kW")</f>
        <v>149.13997431645407</v>
      </c>
      <c r="I158">
        <v>0.24010000000000001</v>
      </c>
      <c r="J158">
        <v>0.68310000000000004</v>
      </c>
      <c r="K158">
        <v>0.54259999999999997</v>
      </c>
      <c r="L158">
        <v>2.8199999999999999E-2</v>
      </c>
      <c r="M158">
        <v>9.9000000000000008E-3</v>
      </c>
      <c r="N158">
        <f>CONVERT(O158,"lbf","N")</f>
        <v>689.91917252690359</v>
      </c>
      <c r="O158">
        <v>155.1</v>
      </c>
      <c r="P158">
        <f t="shared" si="2"/>
        <v>0.35106382978723411</v>
      </c>
    </row>
    <row r="159" spans="1:16" hidden="1" x14ac:dyDescent="0.25">
      <c r="A159">
        <v>0</v>
      </c>
      <c r="B159">
        <v>15000</v>
      </c>
      <c r="C159">
        <f>1.225 * (1 - 0.00000687559 * B159) ^ 4.2561</f>
        <v>0.77079726910167001</v>
      </c>
      <c r="D159">
        <f>E159*(SQRT($C$2/C159))</f>
        <v>176.49239494273141</v>
      </c>
      <c r="E159">
        <v>140</v>
      </c>
      <c r="F159">
        <v>1150</v>
      </c>
      <c r="G159">
        <v>200</v>
      </c>
      <c r="H159">
        <f>CONVERT(G159,"HP","kW")</f>
        <v>149.13997431645407</v>
      </c>
      <c r="I159">
        <v>0.29499999999999998</v>
      </c>
      <c r="J159">
        <v>1.1955</v>
      </c>
      <c r="K159">
        <v>0.58989999999999998</v>
      </c>
      <c r="L159">
        <v>2.8199999999999999E-2</v>
      </c>
      <c r="M159">
        <v>6.8999999999999999E-3</v>
      </c>
      <c r="N159">
        <f>CONVERT(O159,"lbf","N")</f>
        <v>484.41133390186849</v>
      </c>
      <c r="O159">
        <v>108.9</v>
      </c>
      <c r="P159">
        <f t="shared" si="2"/>
        <v>0.24468085106382978</v>
      </c>
    </row>
    <row r="160" spans="1:16" hidden="1" x14ac:dyDescent="0.25">
      <c r="A160">
        <v>0</v>
      </c>
      <c r="B160">
        <v>15000</v>
      </c>
      <c r="C160">
        <f>1.225 * (1 - 0.00000687559 * B160) ^ 4.2561</f>
        <v>0.77079726910167001</v>
      </c>
      <c r="D160">
        <f>E160*(SQRT($C$2/C160))</f>
        <v>302.55839133039672</v>
      </c>
      <c r="E160">
        <v>240</v>
      </c>
      <c r="F160">
        <v>1150</v>
      </c>
      <c r="G160">
        <v>200</v>
      </c>
      <c r="H160">
        <f>CONVERT(G160,"HP","kW")</f>
        <v>149.13997431645407</v>
      </c>
      <c r="I160">
        <v>-0.50670000000000004</v>
      </c>
      <c r="J160">
        <v>2.0493999999999999</v>
      </c>
      <c r="K160">
        <v>0.70840000000000003</v>
      </c>
      <c r="L160">
        <v>2.8199999999999999E-2</v>
      </c>
      <c r="M160">
        <v>-7.0000000000000001E-3</v>
      </c>
      <c r="N160">
        <f>CONVERT(O160,"lbf","N")</f>
        <v>-485.74580038644666</v>
      </c>
      <c r="O160">
        <v>-109.2</v>
      </c>
      <c r="P160">
        <f t="shared" si="2"/>
        <v>-0.24822695035460993</v>
      </c>
    </row>
    <row r="161" spans="1:16" hidden="1" x14ac:dyDescent="0.25">
      <c r="A161">
        <v>0</v>
      </c>
      <c r="B161">
        <v>20000</v>
      </c>
      <c r="C161">
        <f>1.225 * (1 - 0.00000687559 * B161) ^ 4.2561</f>
        <v>0.65267221054298263</v>
      </c>
      <c r="D161">
        <f>E161*(SQRT($C$2/C161))</f>
        <v>0</v>
      </c>
      <c r="E161">
        <v>0</v>
      </c>
      <c r="F161">
        <v>1215</v>
      </c>
      <c r="G161">
        <v>200</v>
      </c>
      <c r="H161">
        <f>CONVERT(G161,"HP","kW")</f>
        <v>149.13997431645407</v>
      </c>
      <c r="I161">
        <v>0</v>
      </c>
      <c r="J161">
        <v>0</v>
      </c>
      <c r="K161">
        <v>0.55589999999999995</v>
      </c>
      <c r="L161">
        <v>2.8199999999999999E-2</v>
      </c>
      <c r="M161">
        <v>5.8400000000000001E-2</v>
      </c>
      <c r="N161">
        <f>CONVERT(O161,"lbf","N")</f>
        <v>3850.8254523310147</v>
      </c>
      <c r="O161">
        <v>865.7</v>
      </c>
      <c r="P161">
        <f t="shared" si="2"/>
        <v>2.0709219858156027</v>
      </c>
    </row>
    <row r="162" spans="1:16" hidden="1" x14ac:dyDescent="0.25">
      <c r="A162">
        <v>0</v>
      </c>
      <c r="B162">
        <v>20000</v>
      </c>
      <c r="C162">
        <f>1.225 * (1 - 0.00000687559 * B162) ^ 4.2561</f>
        <v>0.65267221054298263</v>
      </c>
      <c r="D162">
        <f>E162*(SQRT($C$2/C162))</f>
        <v>27.399994721664136</v>
      </c>
      <c r="E162">
        <v>20</v>
      </c>
      <c r="F162">
        <v>1215</v>
      </c>
      <c r="G162">
        <v>200</v>
      </c>
      <c r="H162">
        <f>CONVERT(G162,"HP","kW")</f>
        <v>149.13997431645407</v>
      </c>
      <c r="I162">
        <v>0.18870000000000001</v>
      </c>
      <c r="J162">
        <v>0.1757</v>
      </c>
      <c r="K162">
        <v>0.55979999999999996</v>
      </c>
      <c r="L162">
        <v>2.8199999999999999E-2</v>
      </c>
      <c r="M162">
        <v>3.0300000000000001E-2</v>
      </c>
      <c r="N162">
        <f>CONVERT(O162,"lbf","N")</f>
        <v>1996.3618609289124</v>
      </c>
      <c r="O162">
        <v>448.8</v>
      </c>
      <c r="P162">
        <f t="shared" si="2"/>
        <v>1.074468085106383</v>
      </c>
    </row>
    <row r="163" spans="1:16" hidden="1" x14ac:dyDescent="0.25">
      <c r="A163">
        <v>0</v>
      </c>
      <c r="B163">
        <v>20000</v>
      </c>
      <c r="C163">
        <f>1.225 * (1 - 0.00000687559 * B163) ^ 4.2561</f>
        <v>0.65267221054298263</v>
      </c>
      <c r="D163">
        <f>E163*(SQRT($C$2/C163))</f>
        <v>54.799989443328272</v>
      </c>
      <c r="E163">
        <v>40</v>
      </c>
      <c r="F163">
        <v>1215</v>
      </c>
      <c r="G163">
        <v>200</v>
      </c>
      <c r="H163">
        <f>CONVERT(G163,"HP","kW")</f>
        <v>149.13997431645407</v>
      </c>
      <c r="I163">
        <v>6.4799999999999996E-2</v>
      </c>
      <c r="J163">
        <v>0.3513</v>
      </c>
      <c r="K163">
        <v>0.56540000000000001</v>
      </c>
      <c r="L163">
        <v>2.8199999999999999E-2</v>
      </c>
      <c r="M163">
        <v>5.1999999999999998E-3</v>
      </c>
      <c r="N163">
        <f>CONVERT(O163,"lbf","N")</f>
        <v>342.95788653658451</v>
      </c>
      <c r="O163">
        <v>77.099999999999994</v>
      </c>
      <c r="P163">
        <f t="shared" si="2"/>
        <v>0.18439716312056736</v>
      </c>
    </row>
    <row r="164" spans="1:16" hidden="1" x14ac:dyDescent="0.25">
      <c r="A164">
        <v>0</v>
      </c>
      <c r="B164">
        <v>20000</v>
      </c>
      <c r="C164">
        <f>1.225 * (1 - 0.00000687559 * B164) ^ 4.2561</f>
        <v>0.65267221054298263</v>
      </c>
      <c r="D164">
        <f>E164*(SQRT($C$2/C164))</f>
        <v>82.199984164992401</v>
      </c>
      <c r="E164">
        <v>60</v>
      </c>
      <c r="F164">
        <v>1215</v>
      </c>
      <c r="G164">
        <v>200</v>
      </c>
      <c r="H164">
        <f>CONVERT(G164,"HP","kW")</f>
        <v>149.13997431645407</v>
      </c>
      <c r="I164">
        <v>2.8500000000000001E-2</v>
      </c>
      <c r="J164">
        <v>0.52700000000000002</v>
      </c>
      <c r="K164">
        <v>0.57410000000000005</v>
      </c>
      <c r="L164">
        <v>2.8199999999999999E-2</v>
      </c>
      <c r="M164">
        <v>1.5E-3</v>
      </c>
      <c r="N164">
        <f>CONVERT(O164,"lbf","N")</f>
        <v>100.52980850488731</v>
      </c>
      <c r="O164">
        <v>22.6</v>
      </c>
      <c r="P164">
        <f t="shared" si="2"/>
        <v>5.3191489361702128E-2</v>
      </c>
    </row>
    <row r="165" spans="1:16" hidden="1" x14ac:dyDescent="0.25">
      <c r="A165">
        <v>0</v>
      </c>
      <c r="B165">
        <v>20000</v>
      </c>
      <c r="C165">
        <f>1.225 * (1 - 0.00000687559 * B165) ^ 4.2561</f>
        <v>0.65267221054298263</v>
      </c>
      <c r="D165">
        <f>E165*(SQRT($C$2/C165))</f>
        <v>109.59997888665654</v>
      </c>
      <c r="E165">
        <v>80</v>
      </c>
      <c r="F165">
        <v>1215</v>
      </c>
      <c r="G165">
        <v>200</v>
      </c>
      <c r="H165">
        <f>CONVERT(G165,"HP","kW")</f>
        <v>149.13997431645407</v>
      </c>
      <c r="I165">
        <v>0.17299999999999999</v>
      </c>
      <c r="J165">
        <v>0.70269999999999999</v>
      </c>
      <c r="K165">
        <v>0.58609999999999995</v>
      </c>
      <c r="L165">
        <v>2.8199999999999999E-2</v>
      </c>
      <c r="M165">
        <v>6.8999999999999999E-3</v>
      </c>
      <c r="N165">
        <f>CONVERT(O165,"lbf","N")</f>
        <v>457.7220042103055</v>
      </c>
      <c r="O165">
        <v>102.9</v>
      </c>
      <c r="P165">
        <f t="shared" si="2"/>
        <v>0.24468085106382978</v>
      </c>
    </row>
    <row r="166" spans="1:16" hidden="1" x14ac:dyDescent="0.25">
      <c r="A166">
        <v>0</v>
      </c>
      <c r="B166">
        <v>20000</v>
      </c>
      <c r="C166">
        <f>1.225 * (1 - 0.00000687559 * B166) ^ 4.2561</f>
        <v>0.65267221054298263</v>
      </c>
      <c r="D166">
        <f>E166*(SQRT($C$2/C166))</f>
        <v>136.99997360832069</v>
      </c>
      <c r="E166">
        <v>100</v>
      </c>
      <c r="F166">
        <v>1215</v>
      </c>
      <c r="G166">
        <v>200</v>
      </c>
      <c r="H166">
        <f>CONVERT(G166,"HP","kW")</f>
        <v>149.13997431645407</v>
      </c>
      <c r="I166">
        <v>0.23630000000000001</v>
      </c>
      <c r="J166">
        <v>0.87829999999999997</v>
      </c>
      <c r="K166">
        <v>0.60119999999999996</v>
      </c>
      <c r="L166">
        <v>2.8199999999999999E-2</v>
      </c>
      <c r="M166">
        <v>7.6E-3</v>
      </c>
      <c r="N166">
        <f>CONVERT(O166,"lbf","N")</f>
        <v>499.98010955528019</v>
      </c>
      <c r="O166">
        <v>112.4</v>
      </c>
      <c r="P166">
        <f t="shared" si="2"/>
        <v>0.26950354609929078</v>
      </c>
    </row>
    <row r="167" spans="1:16" hidden="1" x14ac:dyDescent="0.25">
      <c r="A167">
        <v>0</v>
      </c>
      <c r="B167">
        <v>20000</v>
      </c>
      <c r="C167">
        <f>1.225 * (1 - 0.00000687559 * B167) ^ 4.2561</f>
        <v>0.65267221054298263</v>
      </c>
      <c r="D167">
        <f>E167*(SQRT($C$2/C167))</f>
        <v>164.3999683299848</v>
      </c>
      <c r="E167">
        <v>120</v>
      </c>
      <c r="F167">
        <v>1215</v>
      </c>
      <c r="G167">
        <v>200</v>
      </c>
      <c r="H167">
        <f>CONVERT(G167,"HP","kW")</f>
        <v>149.13997431645407</v>
      </c>
      <c r="I167">
        <v>0.23139999999999999</v>
      </c>
      <c r="J167">
        <v>1.054</v>
      </c>
      <c r="K167">
        <v>0.61909999999999998</v>
      </c>
      <c r="L167">
        <v>2.8199999999999999E-2</v>
      </c>
      <c r="M167">
        <v>6.1999999999999998E-3</v>
      </c>
      <c r="N167">
        <f>CONVERT(O167,"lbf","N")</f>
        <v>407.9019221193879</v>
      </c>
      <c r="O167">
        <v>91.7</v>
      </c>
      <c r="P167">
        <f t="shared" si="2"/>
        <v>0.21985815602836878</v>
      </c>
    </row>
    <row r="168" spans="1:16" hidden="1" x14ac:dyDescent="0.25">
      <c r="A168">
        <v>0</v>
      </c>
      <c r="B168">
        <v>20000</v>
      </c>
      <c r="C168">
        <f>1.225 * (1 - 0.00000687559 * B168) ^ 4.2561</f>
        <v>0.65267221054298263</v>
      </c>
      <c r="D168">
        <f>E168*(SQRT($C$2/C168))</f>
        <v>191.79996305164894</v>
      </c>
      <c r="E168">
        <v>140</v>
      </c>
      <c r="F168">
        <v>1215</v>
      </c>
      <c r="G168">
        <v>200</v>
      </c>
      <c r="H168">
        <f>CONVERT(G168,"HP","kW")</f>
        <v>149.13997431645407</v>
      </c>
      <c r="I168">
        <v>0.18690000000000001</v>
      </c>
      <c r="J168">
        <v>1.2297</v>
      </c>
      <c r="K168">
        <v>0.63970000000000005</v>
      </c>
      <c r="L168">
        <v>2.8199999999999999E-2</v>
      </c>
      <c r="M168">
        <v>4.3E-3</v>
      </c>
      <c r="N168">
        <f>CONVERT(O168,"lbf","N")</f>
        <v>282.46207256904177</v>
      </c>
      <c r="O168">
        <v>63.5</v>
      </c>
      <c r="P168">
        <f t="shared" si="2"/>
        <v>0.1524822695035461</v>
      </c>
    </row>
    <row r="169" spans="1:16" hidden="1" x14ac:dyDescent="0.25">
      <c r="A169">
        <v>0</v>
      </c>
      <c r="B169">
        <v>20000</v>
      </c>
      <c r="C169">
        <f>1.225 * (1 - 0.00000687559 * B169) ^ 4.2561</f>
        <v>0.65267221054298263</v>
      </c>
      <c r="D169">
        <f>E169*(SQRT($C$2/C169))</f>
        <v>219.19995777331309</v>
      </c>
      <c r="E169">
        <v>160</v>
      </c>
      <c r="F169">
        <v>1215</v>
      </c>
      <c r="G169">
        <v>200</v>
      </c>
      <c r="H169">
        <f>CONVERT(G169,"HP","kW")</f>
        <v>149.13997431645407</v>
      </c>
      <c r="I169">
        <v>9.6699999999999994E-2</v>
      </c>
      <c r="J169">
        <v>1.4054</v>
      </c>
      <c r="K169">
        <v>0.66259999999999997</v>
      </c>
      <c r="L169">
        <v>2.8199999999999999E-2</v>
      </c>
      <c r="M169">
        <v>1.9E-3</v>
      </c>
      <c r="N169">
        <f>CONVERT(O169,"lbf","N")</f>
        <v>128.1087825195024</v>
      </c>
      <c r="O169">
        <v>28.8</v>
      </c>
      <c r="P169">
        <f t="shared" si="2"/>
        <v>6.7375886524822695E-2</v>
      </c>
    </row>
    <row r="170" spans="1:16" hidden="1" x14ac:dyDescent="0.25">
      <c r="A170">
        <v>0</v>
      </c>
      <c r="B170">
        <v>20000</v>
      </c>
      <c r="C170">
        <f>1.225 * (1 - 0.00000687559 * B170) ^ 4.2561</f>
        <v>0.65267221054298263</v>
      </c>
      <c r="D170">
        <f>E170*(SQRT($C$2/C170))</f>
        <v>246.59995249497723</v>
      </c>
      <c r="E170">
        <v>180</v>
      </c>
      <c r="F170">
        <v>1215</v>
      </c>
      <c r="G170">
        <v>200</v>
      </c>
      <c r="H170">
        <f>CONVERT(G170,"HP","kW")</f>
        <v>149.13997431645407</v>
      </c>
      <c r="I170">
        <v>-6.2899999999999998E-2</v>
      </c>
      <c r="J170">
        <v>1.581</v>
      </c>
      <c r="K170">
        <v>0.68769999999999998</v>
      </c>
      <c r="L170">
        <v>2.8199999999999999E-2</v>
      </c>
      <c r="M170">
        <v>-1.1000000000000001E-3</v>
      </c>
      <c r="N170">
        <f>CONVERT(O170,"lbf","N")</f>
        <v>-73.84047881332431</v>
      </c>
      <c r="O170">
        <v>-16.600000000000001</v>
      </c>
      <c r="P170">
        <f t="shared" si="2"/>
        <v>-3.9007092198581561E-2</v>
      </c>
    </row>
    <row r="171" spans="1:16" hidden="1" x14ac:dyDescent="0.25">
      <c r="A171">
        <v>0</v>
      </c>
      <c r="B171">
        <v>20000</v>
      </c>
      <c r="C171">
        <f>1.225 * (1 - 0.00000687559 * B171) ^ 4.2561</f>
        <v>0.65267221054298263</v>
      </c>
      <c r="D171">
        <f>E171*(SQRT($C$2/C171))</f>
        <v>273.99994721664137</v>
      </c>
      <c r="E171">
        <v>200</v>
      </c>
      <c r="F171">
        <v>1215</v>
      </c>
      <c r="G171">
        <v>200</v>
      </c>
      <c r="H171">
        <f>CONVERT(G171,"HP","kW")</f>
        <v>149.13997431645407</v>
      </c>
      <c r="I171">
        <v>-0.38379999999999997</v>
      </c>
      <c r="J171">
        <v>1.7566999999999999</v>
      </c>
      <c r="K171">
        <v>0.71460000000000001</v>
      </c>
      <c r="L171">
        <v>2.8199999999999999E-2</v>
      </c>
      <c r="M171">
        <v>-6.1999999999999998E-3</v>
      </c>
      <c r="N171">
        <f>CONVERT(O171,"lbf","N")</f>
        <v>-406.12263347328366</v>
      </c>
      <c r="O171">
        <v>-91.3</v>
      </c>
      <c r="P171">
        <f t="shared" si="2"/>
        <v>-0.21985815602836878</v>
      </c>
    </row>
    <row r="172" spans="1:16" hidden="1" x14ac:dyDescent="0.25">
      <c r="A172">
        <v>0</v>
      </c>
      <c r="B172">
        <v>20000</v>
      </c>
      <c r="C172">
        <f>1.225 * (1 - 0.00000687559 * B172) ^ 4.2561</f>
        <v>0.65267221054298263</v>
      </c>
      <c r="D172">
        <f>E172*(SQRT($C$2/C172))</f>
        <v>301.39994193830552</v>
      </c>
      <c r="E172">
        <v>220</v>
      </c>
      <c r="F172">
        <v>1215</v>
      </c>
      <c r="G172">
        <v>200</v>
      </c>
      <c r="H172">
        <f>CONVERT(G172,"HP","kW")</f>
        <v>149.13997431645407</v>
      </c>
      <c r="I172">
        <v>-0.77100000000000002</v>
      </c>
      <c r="J172">
        <v>1.9323999999999999</v>
      </c>
      <c r="K172">
        <v>0.74329999999999996</v>
      </c>
      <c r="L172">
        <v>2.8199999999999999E-2</v>
      </c>
      <c r="M172">
        <v>-1.1299999999999999E-2</v>
      </c>
      <c r="N172">
        <f>CONVERT(O172,"lbf","N")</f>
        <v>-741.51854326392527</v>
      </c>
      <c r="O172">
        <v>-166.7</v>
      </c>
      <c r="P172">
        <f t="shared" si="2"/>
        <v>-0.400709219858156</v>
      </c>
    </row>
    <row r="173" spans="1:16" hidden="1" x14ac:dyDescent="0.25">
      <c r="A173">
        <v>0</v>
      </c>
      <c r="B173">
        <v>20000</v>
      </c>
      <c r="C173">
        <f>1.225 * (1 - 0.00000687559 * B173) ^ 4.2561</f>
        <v>0.65267221054298263</v>
      </c>
      <c r="D173">
        <f>E173*(SQRT($C$2/C173))</f>
        <v>328.7999366599696</v>
      </c>
      <c r="E173">
        <v>240</v>
      </c>
      <c r="F173">
        <v>1215</v>
      </c>
      <c r="G173">
        <v>200</v>
      </c>
      <c r="H173">
        <f>CONVERT(G173,"HP","kW")</f>
        <v>149.13997431645407</v>
      </c>
      <c r="I173">
        <v>0</v>
      </c>
      <c r="J173">
        <v>2.1080000000000001</v>
      </c>
      <c r="K173">
        <v>0.77339999999999998</v>
      </c>
      <c r="L173">
        <v>2.8199999999999999E-2</v>
      </c>
      <c r="M173">
        <v>-1.67E-2</v>
      </c>
      <c r="N173">
        <f>CONVERT(O173,"lbf","N")</f>
        <v>-1101.3796719384998</v>
      </c>
      <c r="O173">
        <v>-247.6</v>
      </c>
      <c r="P173">
        <f t="shared" si="2"/>
        <v>-0.59219858156028371</v>
      </c>
    </row>
    <row r="174" spans="1:16" hidden="1" x14ac:dyDescent="0.25">
      <c r="A174">
        <v>0</v>
      </c>
      <c r="B174">
        <v>15000</v>
      </c>
      <c r="C174">
        <f>1.225 * (1 - 0.00000687559 * B174) ^ 4.2561</f>
        <v>0.77079726910167001</v>
      </c>
      <c r="D174">
        <f>E174*(SQRT($C$2/C174))</f>
        <v>252.13199277533059</v>
      </c>
      <c r="E174">
        <v>200</v>
      </c>
      <c r="F174">
        <v>1215</v>
      </c>
      <c r="G174">
        <v>250</v>
      </c>
      <c r="H174">
        <f>CONVERT(G174,"HP","kW")</f>
        <v>186.42496789556756</v>
      </c>
      <c r="I174">
        <v>3.04E-2</v>
      </c>
      <c r="J174">
        <v>1.6165</v>
      </c>
      <c r="K174">
        <v>0.67949999999999999</v>
      </c>
      <c r="L174">
        <v>2.9700000000000001E-2</v>
      </c>
      <c r="M174">
        <v>5.9999999999999995E-4</v>
      </c>
      <c r="N174">
        <f>CONVERT(O174,"lbf","N")</f>
        <v>43.592571829552902</v>
      </c>
      <c r="O174">
        <v>9.8000000000000007</v>
      </c>
      <c r="P174">
        <f t="shared" si="2"/>
        <v>2.02020202020202E-2</v>
      </c>
    </row>
    <row r="175" spans="1:16" hidden="1" x14ac:dyDescent="0.25">
      <c r="A175">
        <v>0</v>
      </c>
      <c r="B175">
        <v>15000</v>
      </c>
      <c r="C175">
        <f>1.225 * (1 - 0.00000687559 * B175) ^ 4.2561</f>
        <v>0.77079726910167001</v>
      </c>
      <c r="D175">
        <f>E175*(SQRT($C$2/C175))</f>
        <v>0</v>
      </c>
      <c r="E175">
        <v>0</v>
      </c>
      <c r="F175">
        <v>1215</v>
      </c>
      <c r="G175">
        <v>250</v>
      </c>
      <c r="H175">
        <f>CONVERT(G175,"HP","kW")</f>
        <v>186.42496789556756</v>
      </c>
      <c r="I175">
        <v>0</v>
      </c>
      <c r="J175">
        <v>0</v>
      </c>
      <c r="K175">
        <v>0.54459999999999997</v>
      </c>
      <c r="L175">
        <v>2.98E-2</v>
      </c>
      <c r="M175">
        <v>6.6600000000000006E-2</v>
      </c>
      <c r="N175">
        <f>CONVERT(O175,"lbf","N")</f>
        <v>5187.9608698783213</v>
      </c>
      <c r="O175">
        <v>1166.3</v>
      </c>
      <c r="P175">
        <f t="shared" si="2"/>
        <v>2.2348993288590604</v>
      </c>
    </row>
    <row r="176" spans="1:16" hidden="1" x14ac:dyDescent="0.25">
      <c r="A176">
        <v>0</v>
      </c>
      <c r="B176">
        <v>15000</v>
      </c>
      <c r="C176">
        <f>1.225 * (1 - 0.00000687559 * B176) ^ 4.2561</f>
        <v>0.77079726910167001</v>
      </c>
      <c r="D176">
        <f>E176*(SQRT($C$2/C176))</f>
        <v>25.213199277533057</v>
      </c>
      <c r="E176">
        <v>20</v>
      </c>
      <c r="F176">
        <v>1215</v>
      </c>
      <c r="G176">
        <v>250</v>
      </c>
      <c r="H176">
        <f>CONVERT(G176,"HP","kW")</f>
        <v>186.42496789556756</v>
      </c>
      <c r="I176">
        <v>0.24490000000000001</v>
      </c>
      <c r="J176">
        <v>0.16159999999999999</v>
      </c>
      <c r="K176">
        <v>0.54830000000000001</v>
      </c>
      <c r="L176">
        <v>2.98E-2</v>
      </c>
      <c r="M176">
        <v>4.5199999999999997E-2</v>
      </c>
      <c r="N176">
        <f>CONVERT(O176,"lbf","N")</f>
        <v>3519.4329419941078</v>
      </c>
      <c r="O176">
        <v>791.2</v>
      </c>
      <c r="P176">
        <f t="shared" si="2"/>
        <v>1.5167785234899327</v>
      </c>
    </row>
    <row r="177" spans="1:16" hidden="1" x14ac:dyDescent="0.25">
      <c r="A177">
        <v>0</v>
      </c>
      <c r="B177">
        <v>15000</v>
      </c>
      <c r="C177">
        <f>1.225 * (1 - 0.00000687559 * B177) ^ 4.2561</f>
        <v>0.77079726910167001</v>
      </c>
      <c r="D177">
        <f>E177*(SQRT($C$2/C177))</f>
        <v>50.426398555066115</v>
      </c>
      <c r="E177">
        <v>40</v>
      </c>
      <c r="F177">
        <v>1215</v>
      </c>
      <c r="G177">
        <v>250</v>
      </c>
      <c r="H177">
        <f>CONVERT(G177,"HP","kW")</f>
        <v>186.42496789556756</v>
      </c>
      <c r="I177">
        <v>0.21990000000000001</v>
      </c>
      <c r="J177">
        <v>0.32329999999999998</v>
      </c>
      <c r="K177">
        <v>0.55330000000000001</v>
      </c>
      <c r="L177">
        <v>2.98E-2</v>
      </c>
      <c r="M177">
        <v>2.0299999999999999E-2</v>
      </c>
      <c r="N177">
        <f>CONVERT(O177,"lbf","N")</f>
        <v>1580.0083177405295</v>
      </c>
      <c r="O177">
        <v>355.2</v>
      </c>
      <c r="P177">
        <f t="shared" si="2"/>
        <v>0.68120805369127513</v>
      </c>
    </row>
    <row r="178" spans="1:16" hidden="1" x14ac:dyDescent="0.25">
      <c r="A178">
        <v>0</v>
      </c>
      <c r="B178">
        <v>15000</v>
      </c>
      <c r="C178">
        <f>1.225 * (1 - 0.00000687559 * B178) ^ 4.2561</f>
        <v>0.77079726910167001</v>
      </c>
      <c r="D178">
        <f>E178*(SQRT($C$2/C178))</f>
        <v>75.639597832599179</v>
      </c>
      <c r="E178">
        <v>60</v>
      </c>
      <c r="F178">
        <v>1215</v>
      </c>
      <c r="G178">
        <v>250</v>
      </c>
      <c r="H178">
        <f>CONVERT(G178,"HP","kW")</f>
        <v>186.42496789556756</v>
      </c>
      <c r="I178">
        <v>0.16420000000000001</v>
      </c>
      <c r="J178">
        <v>0.4849</v>
      </c>
      <c r="K178">
        <v>0.56069999999999998</v>
      </c>
      <c r="L178">
        <v>2.98E-2</v>
      </c>
      <c r="M178">
        <v>1.01E-2</v>
      </c>
      <c r="N178">
        <f>CONVERT(O178,"lbf","N")</f>
        <v>786.89040373958244</v>
      </c>
      <c r="O178">
        <v>176.9</v>
      </c>
      <c r="P178">
        <f t="shared" si="2"/>
        <v>0.33892617449664431</v>
      </c>
    </row>
    <row r="179" spans="1:16" hidden="1" x14ac:dyDescent="0.25">
      <c r="A179">
        <v>0</v>
      </c>
      <c r="B179">
        <v>15000</v>
      </c>
      <c r="C179">
        <f>1.225 * (1 - 0.00000687559 * B179) ^ 4.2561</f>
        <v>0.77079726910167001</v>
      </c>
      <c r="D179">
        <f>E179*(SQRT($C$2/C179))</f>
        <v>100.85279711013223</v>
      </c>
      <c r="E179">
        <v>80</v>
      </c>
      <c r="F179">
        <v>1215</v>
      </c>
      <c r="G179">
        <v>250</v>
      </c>
      <c r="H179">
        <f>CONVERT(G179,"HP","kW")</f>
        <v>186.42496789556756</v>
      </c>
      <c r="I179">
        <v>0.24049999999999999</v>
      </c>
      <c r="J179">
        <v>0.64659999999999995</v>
      </c>
      <c r="K179">
        <v>0.57069999999999999</v>
      </c>
      <c r="L179">
        <v>2.98E-2</v>
      </c>
      <c r="M179">
        <v>1.11E-2</v>
      </c>
      <c r="N179">
        <f>CONVERT(O179,"lbf","N")</f>
        <v>864.28945984511529</v>
      </c>
      <c r="O179">
        <v>194.3</v>
      </c>
      <c r="P179">
        <f t="shared" si="2"/>
        <v>0.37248322147651008</v>
      </c>
    </row>
    <row r="180" spans="1:16" hidden="1" x14ac:dyDescent="0.25">
      <c r="A180">
        <v>0</v>
      </c>
      <c r="B180">
        <v>15000</v>
      </c>
      <c r="C180">
        <f>1.225 * (1 - 0.00000687559 * B180) ^ 4.2561</f>
        <v>0.77079726910167001</v>
      </c>
      <c r="D180">
        <f>E180*(SQRT($C$2/C180))</f>
        <v>126.06599638766529</v>
      </c>
      <c r="E180">
        <v>100</v>
      </c>
      <c r="F180">
        <v>1215</v>
      </c>
      <c r="G180">
        <v>250</v>
      </c>
      <c r="H180">
        <f>CONVERT(G180,"HP","kW")</f>
        <v>186.42496789556756</v>
      </c>
      <c r="I180">
        <v>0.29260000000000003</v>
      </c>
      <c r="J180">
        <v>0.80820000000000003</v>
      </c>
      <c r="K180">
        <v>0.58330000000000004</v>
      </c>
      <c r="L180">
        <v>2.98E-2</v>
      </c>
      <c r="M180">
        <v>1.0800000000000001E-2</v>
      </c>
      <c r="N180">
        <f>CONVERT(O180,"lbf","N")</f>
        <v>841.15870744576057</v>
      </c>
      <c r="O180">
        <v>189.1</v>
      </c>
      <c r="P180">
        <f t="shared" si="2"/>
        <v>0.36241610738255037</v>
      </c>
    </row>
    <row r="181" spans="1:16" hidden="1" x14ac:dyDescent="0.25">
      <c r="A181">
        <v>0</v>
      </c>
      <c r="B181">
        <v>15000</v>
      </c>
      <c r="C181">
        <f>1.225 * (1 - 0.00000687559 * B181) ^ 4.2561</f>
        <v>0.77079726910167001</v>
      </c>
      <c r="D181">
        <f>E181*(SQRT($C$2/C181))</f>
        <v>151.27919566519836</v>
      </c>
      <c r="E181">
        <v>120</v>
      </c>
      <c r="F181">
        <v>1215</v>
      </c>
      <c r="G181">
        <v>250</v>
      </c>
      <c r="H181">
        <f>CONVERT(G181,"HP","kW")</f>
        <v>186.42496789556756</v>
      </c>
      <c r="I181">
        <v>0.3165</v>
      </c>
      <c r="J181">
        <v>0.96989999999999998</v>
      </c>
      <c r="K181">
        <v>0.59840000000000004</v>
      </c>
      <c r="L181">
        <v>2.98E-2</v>
      </c>
      <c r="M181">
        <v>9.7000000000000003E-3</v>
      </c>
      <c r="N181">
        <f>CONVERT(O181,"lbf","N")</f>
        <v>758.42178540191526</v>
      </c>
      <c r="O181">
        <v>170.5</v>
      </c>
      <c r="P181">
        <f t="shared" si="2"/>
        <v>0.32550335570469802</v>
      </c>
    </row>
    <row r="182" spans="1:16" hidden="1" x14ac:dyDescent="0.25">
      <c r="A182">
        <v>0</v>
      </c>
      <c r="B182">
        <v>15000</v>
      </c>
      <c r="C182">
        <f>1.225 * (1 - 0.00000687559 * B182) ^ 4.2561</f>
        <v>0.77079726910167001</v>
      </c>
      <c r="D182">
        <f>E182*(SQRT($C$2/C182))</f>
        <v>226.91879349779754</v>
      </c>
      <c r="E182">
        <v>180</v>
      </c>
      <c r="F182">
        <v>1215</v>
      </c>
      <c r="G182">
        <v>250</v>
      </c>
      <c r="H182">
        <f>CONVERT(G182,"HP","kW")</f>
        <v>186.42496789556756</v>
      </c>
      <c r="I182">
        <v>0.17810000000000001</v>
      </c>
      <c r="J182">
        <v>1.4548000000000001</v>
      </c>
      <c r="K182">
        <v>0.65649999999999997</v>
      </c>
      <c r="L182">
        <v>2.98E-2</v>
      </c>
      <c r="M182">
        <v>3.5999999999999999E-3</v>
      </c>
      <c r="N182">
        <f>CONVERT(O182,"lbf","N")</f>
        <v>284.24136121514596</v>
      </c>
      <c r="O182">
        <v>63.9</v>
      </c>
      <c r="P182">
        <f t="shared" si="2"/>
        <v>0.12080536912751677</v>
      </c>
    </row>
    <row r="183" spans="1:16" hidden="1" x14ac:dyDescent="0.25">
      <c r="A183">
        <v>0</v>
      </c>
      <c r="B183">
        <v>15000</v>
      </c>
      <c r="C183">
        <f>1.225 * (1 - 0.00000687559 * B183) ^ 4.2561</f>
        <v>0.77079726910167001</v>
      </c>
      <c r="D183">
        <f>E183*(SQRT($C$2/C183))</f>
        <v>277.34519205286364</v>
      </c>
      <c r="E183">
        <v>220</v>
      </c>
      <c r="F183">
        <v>1215</v>
      </c>
      <c r="G183">
        <v>250</v>
      </c>
      <c r="H183">
        <f>CONVERT(G183,"HP","kW")</f>
        <v>186.42496789556756</v>
      </c>
      <c r="I183">
        <v>-0.2135</v>
      </c>
      <c r="J183">
        <v>1.7781</v>
      </c>
      <c r="K183">
        <v>0.70409999999999995</v>
      </c>
      <c r="L183">
        <v>2.98E-2</v>
      </c>
      <c r="M183">
        <v>-3.5999999999999999E-3</v>
      </c>
      <c r="N183">
        <f>CONVERT(O183,"lbf","N")</f>
        <v>-278.90349527683338</v>
      </c>
      <c r="O183">
        <v>-62.7</v>
      </c>
      <c r="P183">
        <f t="shared" si="2"/>
        <v>-0.12080536912751677</v>
      </c>
    </row>
    <row r="184" spans="1:16" hidden="1" x14ac:dyDescent="0.25">
      <c r="A184">
        <v>0</v>
      </c>
      <c r="B184">
        <v>15000</v>
      </c>
      <c r="C184">
        <f>1.225 * (1 - 0.00000687559 * B184) ^ 4.2561</f>
        <v>0.77079726910167001</v>
      </c>
      <c r="D184">
        <f>E184*(SQRT($C$2/C184))</f>
        <v>327.77159060792974</v>
      </c>
      <c r="E184">
        <v>260</v>
      </c>
      <c r="F184">
        <v>1215</v>
      </c>
      <c r="G184">
        <v>250</v>
      </c>
      <c r="H184">
        <f>CONVERT(G184,"HP","kW")</f>
        <v>186.42496789556756</v>
      </c>
      <c r="I184">
        <v>-0.97289999999999999</v>
      </c>
      <c r="J184">
        <v>2.1013999999999999</v>
      </c>
      <c r="K184">
        <v>0.75729999999999997</v>
      </c>
      <c r="L184">
        <v>2.98E-2</v>
      </c>
      <c r="M184">
        <v>-1.38E-2</v>
      </c>
      <c r="N184">
        <f>CONVERT(O184,"lbf","N")</f>
        <v>-1075.5799865699889</v>
      </c>
      <c r="O184">
        <v>-241.8</v>
      </c>
      <c r="P184">
        <f t="shared" si="2"/>
        <v>-0.46308724832214765</v>
      </c>
    </row>
    <row r="185" spans="1:16" hidden="1" x14ac:dyDescent="0.25">
      <c r="A185">
        <v>0</v>
      </c>
      <c r="B185">
        <v>10000</v>
      </c>
      <c r="C185">
        <f>1.225 * (1 - 0.00000687559 * B185) ^ 4.2561</f>
        <v>0.90462252368600637</v>
      </c>
      <c r="D185">
        <f>E185*(SQRT($C$2/C185))</f>
        <v>209.4627741358866</v>
      </c>
      <c r="E185">
        <v>180</v>
      </c>
      <c r="F185">
        <v>1150</v>
      </c>
      <c r="G185">
        <v>250</v>
      </c>
      <c r="H185">
        <f>CONVERT(G185,"HP","kW")</f>
        <v>186.42496789556756</v>
      </c>
      <c r="I185">
        <v>0.31330000000000002</v>
      </c>
      <c r="J185">
        <v>1.4188000000000001</v>
      </c>
      <c r="K185">
        <v>0.60519999999999996</v>
      </c>
      <c r="L185">
        <v>2.9899999999999999E-2</v>
      </c>
      <c r="M185">
        <v>6.6E-3</v>
      </c>
      <c r="N185">
        <f>CONVERT(O185,"lbf","N")</f>
        <v>541.79339273872893</v>
      </c>
      <c r="O185">
        <v>121.8</v>
      </c>
      <c r="P185">
        <f t="shared" si="2"/>
        <v>0.22073578595317725</v>
      </c>
    </row>
    <row r="186" spans="1:16" hidden="1" x14ac:dyDescent="0.25">
      <c r="A186">
        <v>0</v>
      </c>
      <c r="B186">
        <v>10000</v>
      </c>
      <c r="C186">
        <f>1.225 * (1 - 0.00000687559 * B186) ^ 4.2561</f>
        <v>0.90462252368600637</v>
      </c>
      <c r="D186">
        <f>E186*(SQRT($C$2/C186))</f>
        <v>256.01005727719473</v>
      </c>
      <c r="E186">
        <v>220</v>
      </c>
      <c r="F186">
        <v>1150</v>
      </c>
      <c r="G186">
        <v>250</v>
      </c>
      <c r="H186">
        <f>CONVERT(G186,"HP","kW")</f>
        <v>186.42496789556756</v>
      </c>
      <c r="I186">
        <v>0.1192</v>
      </c>
      <c r="J186">
        <v>1.7341</v>
      </c>
      <c r="K186">
        <v>0.64770000000000005</v>
      </c>
      <c r="L186">
        <v>2.9899999999999999E-2</v>
      </c>
      <c r="M186">
        <v>2.0999999999999999E-3</v>
      </c>
      <c r="N186">
        <f>CONVERT(O186,"lbf","N")</f>
        <v>168.58759921837296</v>
      </c>
      <c r="O186">
        <v>37.9</v>
      </c>
      <c r="P186">
        <f t="shared" si="2"/>
        <v>7.0234113712374577E-2</v>
      </c>
    </row>
    <row r="187" spans="1:16" hidden="1" x14ac:dyDescent="0.25">
      <c r="A187">
        <v>0</v>
      </c>
      <c r="B187">
        <v>15000</v>
      </c>
      <c r="C187">
        <f>1.225 * (1 - 0.00000687559 * B187) ^ 4.2561</f>
        <v>0.77079726910167001</v>
      </c>
      <c r="D187">
        <f>E187*(SQRT($C$2/C187))</f>
        <v>176.49239494273141</v>
      </c>
      <c r="E187">
        <v>140</v>
      </c>
      <c r="F187">
        <v>1215</v>
      </c>
      <c r="G187">
        <v>250</v>
      </c>
      <c r="H187">
        <f>CONVERT(G187,"HP","kW")</f>
        <v>186.42496789556756</v>
      </c>
      <c r="I187">
        <v>0.31259999999999999</v>
      </c>
      <c r="J187">
        <v>1.1315</v>
      </c>
      <c r="K187">
        <v>0.61580000000000001</v>
      </c>
      <c r="L187">
        <v>2.9899999999999999E-2</v>
      </c>
      <c r="M187">
        <v>8.3000000000000001E-3</v>
      </c>
      <c r="N187">
        <f>CONVERT(O187,"lbf","N")</f>
        <v>641.87837908209019</v>
      </c>
      <c r="O187">
        <v>144.30000000000001</v>
      </c>
      <c r="P187">
        <f t="shared" si="2"/>
        <v>0.27759197324414714</v>
      </c>
    </row>
    <row r="188" spans="1:16" hidden="1" x14ac:dyDescent="0.25">
      <c r="A188">
        <v>0</v>
      </c>
      <c r="B188">
        <v>15000</v>
      </c>
      <c r="C188">
        <f>1.225 * (1 - 0.00000687559 * B188) ^ 4.2561</f>
        <v>0.77079726910167001</v>
      </c>
      <c r="D188">
        <f>E188*(SQRT($C$2/C188))</f>
        <v>201.70559422026446</v>
      </c>
      <c r="E188">
        <v>160</v>
      </c>
      <c r="F188">
        <v>1215</v>
      </c>
      <c r="G188">
        <v>250</v>
      </c>
      <c r="H188">
        <f>CONVERT(G188,"HP","kW")</f>
        <v>186.42496789556756</v>
      </c>
      <c r="I188">
        <v>0.26590000000000003</v>
      </c>
      <c r="J188">
        <v>1.2931999999999999</v>
      </c>
      <c r="K188">
        <v>0.63519999999999999</v>
      </c>
      <c r="L188">
        <v>2.9899999999999999E-2</v>
      </c>
      <c r="M188">
        <v>6.1000000000000004E-3</v>
      </c>
      <c r="N188">
        <f>CONVERT(O188,"lbf","N")</f>
        <v>477.73900147897774</v>
      </c>
      <c r="O188">
        <v>107.4</v>
      </c>
      <c r="P188">
        <f t="shared" si="2"/>
        <v>0.20401337792642141</v>
      </c>
    </row>
    <row r="189" spans="1:16" hidden="1" x14ac:dyDescent="0.25">
      <c r="A189">
        <v>0</v>
      </c>
      <c r="B189">
        <v>15000</v>
      </c>
      <c r="C189">
        <f>1.225 * (1 - 0.00000687559 * B189) ^ 4.2561</f>
        <v>0.77079726910167001</v>
      </c>
      <c r="D189">
        <f>E189*(SQRT($C$2/C189))</f>
        <v>302.55839133039672</v>
      </c>
      <c r="E189">
        <v>240</v>
      </c>
      <c r="F189">
        <v>1215</v>
      </c>
      <c r="G189">
        <v>250</v>
      </c>
      <c r="H189">
        <f>CONVERT(G189,"HP","kW")</f>
        <v>186.42496789556756</v>
      </c>
      <c r="I189">
        <v>-0.54579999999999995</v>
      </c>
      <c r="J189">
        <v>1.9398</v>
      </c>
      <c r="K189">
        <v>0.73009999999999997</v>
      </c>
      <c r="L189">
        <v>2.9899999999999999E-2</v>
      </c>
      <c r="M189">
        <v>-8.3999999999999995E-3</v>
      </c>
      <c r="N189">
        <f>CONVERT(O189,"lbf","N")</f>
        <v>-653.88857744329346</v>
      </c>
      <c r="O189">
        <v>-147</v>
      </c>
      <c r="P189">
        <f t="shared" si="2"/>
        <v>-0.28093645484949831</v>
      </c>
    </row>
    <row r="190" spans="1:16" hidden="1" x14ac:dyDescent="0.25">
      <c r="A190">
        <v>0</v>
      </c>
      <c r="B190">
        <v>10000</v>
      </c>
      <c r="C190">
        <f>1.225 * (1 - 0.00000687559 * B190) ^ 4.2561</f>
        <v>0.90462252368600637</v>
      </c>
      <c r="D190">
        <f>E190*(SQRT($C$2/C190))</f>
        <v>0</v>
      </c>
      <c r="E190">
        <v>0</v>
      </c>
      <c r="F190">
        <v>1150</v>
      </c>
      <c r="G190">
        <v>250</v>
      </c>
      <c r="H190">
        <f>CONVERT(G190,"HP","kW")</f>
        <v>186.42496789556756</v>
      </c>
      <c r="I190">
        <v>0</v>
      </c>
      <c r="J190">
        <v>0</v>
      </c>
      <c r="K190">
        <v>0.50560000000000005</v>
      </c>
      <c r="L190">
        <v>0.03</v>
      </c>
      <c r="M190">
        <v>7.1300000000000002E-2</v>
      </c>
      <c r="N190">
        <f>CONVERT(O190,"lbf","N")</f>
        <v>5838.7356921909322</v>
      </c>
      <c r="O190">
        <v>1312.6</v>
      </c>
      <c r="P190">
        <f t="shared" si="2"/>
        <v>2.3766666666666669</v>
      </c>
    </row>
    <row r="191" spans="1:16" hidden="1" x14ac:dyDescent="0.25">
      <c r="A191">
        <v>0</v>
      </c>
      <c r="B191">
        <v>10000</v>
      </c>
      <c r="C191">
        <f>1.225 * (1 - 0.00000687559 * B191) ^ 4.2561</f>
        <v>0.90462252368600637</v>
      </c>
      <c r="D191">
        <f>E191*(SQRT($C$2/C191))</f>
        <v>23.273641570654068</v>
      </c>
      <c r="E191">
        <v>20</v>
      </c>
      <c r="F191">
        <v>1150</v>
      </c>
      <c r="G191">
        <v>250</v>
      </c>
      <c r="H191">
        <f>CONVERT(G191,"HP","kW")</f>
        <v>186.42496789556756</v>
      </c>
      <c r="I191">
        <v>0.27150000000000002</v>
      </c>
      <c r="J191">
        <v>0.15759999999999999</v>
      </c>
      <c r="K191">
        <v>0.50900000000000001</v>
      </c>
      <c r="L191">
        <v>0.03</v>
      </c>
      <c r="M191">
        <v>5.1700000000000003E-2</v>
      </c>
      <c r="N191">
        <f>CONVERT(O191,"lbf","N")</f>
        <v>4228.0346453051052</v>
      </c>
      <c r="O191">
        <v>950.5</v>
      </c>
      <c r="P191">
        <f t="shared" si="2"/>
        <v>1.7233333333333334</v>
      </c>
    </row>
    <row r="192" spans="1:16" hidden="1" x14ac:dyDescent="0.25">
      <c r="A192">
        <v>0</v>
      </c>
      <c r="B192">
        <v>10000</v>
      </c>
      <c r="C192">
        <f>1.225 * (1 - 0.00000687559 * B192) ^ 4.2561</f>
        <v>0.90462252368600637</v>
      </c>
      <c r="D192">
        <f>E192*(SQRT($C$2/C192))</f>
        <v>46.547283141308135</v>
      </c>
      <c r="E192">
        <v>40</v>
      </c>
      <c r="F192">
        <v>1150</v>
      </c>
      <c r="G192">
        <v>250</v>
      </c>
      <c r="H192">
        <f>CONVERT(G192,"HP","kW")</f>
        <v>186.42496789556756</v>
      </c>
      <c r="I192">
        <v>0.29210000000000003</v>
      </c>
      <c r="J192">
        <v>0.31530000000000002</v>
      </c>
      <c r="K192">
        <v>0.51359999999999995</v>
      </c>
      <c r="L192">
        <v>0.03</v>
      </c>
      <c r="M192">
        <v>2.7799999999999998E-2</v>
      </c>
      <c r="N192">
        <f>CONVERT(O192,"lbf","N")</f>
        <v>2274.3757118826938</v>
      </c>
      <c r="O192">
        <v>511.3</v>
      </c>
      <c r="P192">
        <f t="shared" si="2"/>
        <v>0.92666666666666664</v>
      </c>
    </row>
    <row r="193" spans="1:16" hidden="1" x14ac:dyDescent="0.25">
      <c r="A193">
        <v>0</v>
      </c>
      <c r="B193">
        <v>10000</v>
      </c>
      <c r="C193">
        <f>1.225 * (1 - 0.00000687559 * B193) ^ 4.2561</f>
        <v>0.90462252368600637</v>
      </c>
      <c r="D193">
        <f>E193*(SQRT($C$2/C193))</f>
        <v>69.820924711962206</v>
      </c>
      <c r="E193">
        <v>60</v>
      </c>
      <c r="F193">
        <v>1150</v>
      </c>
      <c r="G193">
        <v>250</v>
      </c>
      <c r="H193">
        <f>CONVERT(G193,"HP","kW")</f>
        <v>186.42496789556756</v>
      </c>
      <c r="I193">
        <v>0.27110000000000001</v>
      </c>
      <c r="J193">
        <v>0.47289999999999999</v>
      </c>
      <c r="K193">
        <v>0.52010000000000001</v>
      </c>
      <c r="L193">
        <v>0.03</v>
      </c>
      <c r="M193">
        <v>1.72E-2</v>
      </c>
      <c r="N193">
        <f>CONVERT(O193,"lbf","N")</f>
        <v>1406.9724969068961</v>
      </c>
      <c r="O193">
        <v>316.3</v>
      </c>
      <c r="P193">
        <f t="shared" si="2"/>
        <v>0.57333333333333336</v>
      </c>
    </row>
    <row r="194" spans="1:16" hidden="1" x14ac:dyDescent="0.25">
      <c r="A194">
        <v>0</v>
      </c>
      <c r="B194">
        <v>10000</v>
      </c>
      <c r="C194">
        <f>1.225 * (1 - 0.00000687559 * B194) ^ 4.2561</f>
        <v>0.90462252368600637</v>
      </c>
      <c r="D194">
        <f>E194*(SQRT($C$2/C194))</f>
        <v>93.09456628261627</v>
      </c>
      <c r="E194">
        <v>80</v>
      </c>
      <c r="F194">
        <v>1150</v>
      </c>
      <c r="G194">
        <v>250</v>
      </c>
      <c r="H194">
        <f>CONVERT(G194,"HP","kW")</f>
        <v>186.42496789556756</v>
      </c>
      <c r="I194">
        <v>0.3175</v>
      </c>
      <c r="J194">
        <v>0.63060000000000005</v>
      </c>
      <c r="K194">
        <v>0.52900000000000003</v>
      </c>
      <c r="L194">
        <v>0.03</v>
      </c>
      <c r="M194">
        <v>1.5100000000000001E-2</v>
      </c>
      <c r="N194">
        <f>CONVERT(O194,"lbf","N")</f>
        <v>1236.1607868808928</v>
      </c>
      <c r="O194">
        <v>277.89999999999998</v>
      </c>
      <c r="P194">
        <f t="shared" si="2"/>
        <v>0.50333333333333341</v>
      </c>
    </row>
    <row r="195" spans="1:16" hidden="1" x14ac:dyDescent="0.25">
      <c r="A195">
        <v>0</v>
      </c>
      <c r="B195">
        <v>10000</v>
      </c>
      <c r="C195">
        <f>1.225 * (1 - 0.00000687559 * B195) ^ 4.2561</f>
        <v>0.90462252368600637</v>
      </c>
      <c r="D195">
        <f>E195*(SQRT($C$2/C195))</f>
        <v>116.36820785327033</v>
      </c>
      <c r="E195">
        <v>100</v>
      </c>
      <c r="F195">
        <v>1150</v>
      </c>
      <c r="G195">
        <v>250</v>
      </c>
      <c r="H195">
        <f>CONVERT(G195,"HP","kW")</f>
        <v>186.42496789556756</v>
      </c>
      <c r="I195">
        <v>0.35570000000000002</v>
      </c>
      <c r="J195">
        <v>0.78820000000000001</v>
      </c>
      <c r="K195">
        <v>0.54020000000000001</v>
      </c>
      <c r="L195">
        <v>0.03</v>
      </c>
      <c r="M195">
        <v>1.35E-2</v>
      </c>
      <c r="N195">
        <f>CONVERT(O195,"lbf","N")</f>
        <v>1107.6071821998646</v>
      </c>
      <c r="O195">
        <v>249</v>
      </c>
      <c r="P195">
        <f t="shared" ref="P195:P258" si="3">M195/L195</f>
        <v>0.45</v>
      </c>
    </row>
    <row r="196" spans="1:16" hidden="1" x14ac:dyDescent="0.25">
      <c r="A196">
        <v>0</v>
      </c>
      <c r="B196">
        <v>10000</v>
      </c>
      <c r="C196">
        <f>1.225 * (1 - 0.00000687559 * B196) ^ 4.2561</f>
        <v>0.90462252368600637</v>
      </c>
      <c r="D196">
        <f>E196*(SQRT($C$2/C196))</f>
        <v>139.64184942392441</v>
      </c>
      <c r="E196">
        <v>120</v>
      </c>
      <c r="F196">
        <v>1150</v>
      </c>
      <c r="G196">
        <v>250</v>
      </c>
      <c r="H196">
        <f>CONVERT(G196,"HP","kW")</f>
        <v>186.42496789556756</v>
      </c>
      <c r="I196">
        <v>0.377</v>
      </c>
      <c r="J196">
        <v>0.94589999999999996</v>
      </c>
      <c r="K196">
        <v>0.55359999999999998</v>
      </c>
      <c r="L196">
        <v>0.03</v>
      </c>
      <c r="M196">
        <v>1.2E-2</v>
      </c>
      <c r="N196">
        <f>CONVERT(O196,"lbf","N")</f>
        <v>978.1639331957839</v>
      </c>
      <c r="O196">
        <v>219.9</v>
      </c>
      <c r="P196">
        <f t="shared" si="3"/>
        <v>0.4</v>
      </c>
    </row>
    <row r="197" spans="1:16" hidden="1" x14ac:dyDescent="0.25">
      <c r="A197">
        <v>0</v>
      </c>
      <c r="B197">
        <v>10000</v>
      </c>
      <c r="C197">
        <f>1.225 * (1 - 0.00000687559 * B197) ^ 4.2561</f>
        <v>0.90462252368600637</v>
      </c>
      <c r="D197">
        <f>E197*(SQRT($C$2/C197))</f>
        <v>162.91549099457848</v>
      </c>
      <c r="E197">
        <v>140</v>
      </c>
      <c r="F197">
        <v>1150</v>
      </c>
      <c r="G197">
        <v>250</v>
      </c>
      <c r="H197">
        <f>CONVERT(G197,"HP","kW")</f>
        <v>186.42496789556756</v>
      </c>
      <c r="I197">
        <v>0.37469999999999998</v>
      </c>
      <c r="J197">
        <v>1.1034999999999999</v>
      </c>
      <c r="K197">
        <v>0.56899999999999995</v>
      </c>
      <c r="L197">
        <v>0.03</v>
      </c>
      <c r="M197">
        <v>1.0200000000000001E-2</v>
      </c>
      <c r="N197">
        <f>CONVERT(O197,"lbf","N")</f>
        <v>833.59673069981773</v>
      </c>
      <c r="O197">
        <v>187.4</v>
      </c>
      <c r="P197">
        <f t="shared" si="3"/>
        <v>0.34</v>
      </c>
    </row>
    <row r="198" spans="1:16" hidden="1" x14ac:dyDescent="0.25">
      <c r="A198">
        <v>0</v>
      </c>
      <c r="B198">
        <v>10000</v>
      </c>
      <c r="C198">
        <f>1.225 * (1 - 0.00000687559 * B198) ^ 4.2561</f>
        <v>0.90462252368600637</v>
      </c>
      <c r="D198">
        <f>E198*(SQRT($C$2/C198))</f>
        <v>186.18913256523254</v>
      </c>
      <c r="E198">
        <v>160</v>
      </c>
      <c r="F198">
        <v>1150</v>
      </c>
      <c r="G198">
        <v>250</v>
      </c>
      <c r="H198">
        <f>CONVERT(G198,"HP","kW")</f>
        <v>186.42496789556756</v>
      </c>
      <c r="I198">
        <v>0.35470000000000002</v>
      </c>
      <c r="J198">
        <v>1.2612000000000001</v>
      </c>
      <c r="K198">
        <v>0.58630000000000004</v>
      </c>
      <c r="L198">
        <v>0.03</v>
      </c>
      <c r="M198">
        <v>8.3999999999999995E-3</v>
      </c>
      <c r="N198">
        <f>CONVERT(O198,"lbf","N")</f>
        <v>690.36399468842956</v>
      </c>
      <c r="O198">
        <v>155.19999999999999</v>
      </c>
      <c r="P198">
        <f t="shared" si="3"/>
        <v>0.27999999999999997</v>
      </c>
    </row>
    <row r="199" spans="1:16" hidden="1" x14ac:dyDescent="0.25">
      <c r="A199">
        <v>0</v>
      </c>
      <c r="B199">
        <v>10000</v>
      </c>
      <c r="C199">
        <f>1.225 * (1 - 0.00000687559 * B199) ^ 4.2561</f>
        <v>0.90462252368600637</v>
      </c>
      <c r="D199">
        <f>E199*(SQRT($C$2/C199))</f>
        <v>232.73641570654067</v>
      </c>
      <c r="E199">
        <v>200</v>
      </c>
      <c r="F199">
        <v>1150</v>
      </c>
      <c r="G199">
        <v>250</v>
      </c>
      <c r="H199">
        <f>CONVERT(G199,"HP","kW")</f>
        <v>186.42496789556756</v>
      </c>
      <c r="I199">
        <v>0.24299999999999999</v>
      </c>
      <c r="J199">
        <v>1.5765</v>
      </c>
      <c r="K199">
        <v>0.62580000000000002</v>
      </c>
      <c r="L199">
        <v>0.03</v>
      </c>
      <c r="M199">
        <v>4.5999999999999999E-3</v>
      </c>
      <c r="N199">
        <f>CONVERT(O199,"lbf","N")</f>
        <v>378.54365945866851</v>
      </c>
      <c r="O199">
        <v>85.1</v>
      </c>
      <c r="P199">
        <f t="shared" si="3"/>
        <v>0.15333333333333335</v>
      </c>
    </row>
    <row r="200" spans="1:16" hidden="1" x14ac:dyDescent="0.25">
      <c r="A200">
        <v>0</v>
      </c>
      <c r="B200">
        <v>10000</v>
      </c>
      <c r="C200">
        <f>1.225 * (1 - 0.00000687559 * B200) ^ 4.2561</f>
        <v>0.90462252368600637</v>
      </c>
      <c r="D200">
        <f>E200*(SQRT($C$2/C200))</f>
        <v>279.28369884784883</v>
      </c>
      <c r="E200">
        <v>240</v>
      </c>
      <c r="F200">
        <v>1150</v>
      </c>
      <c r="G200">
        <v>250</v>
      </c>
      <c r="H200">
        <f>CONVERT(G200,"HP","kW")</f>
        <v>186.42496789556756</v>
      </c>
      <c r="I200">
        <v>-5.8500000000000003E-2</v>
      </c>
      <c r="J200">
        <v>1.8917999999999999</v>
      </c>
      <c r="K200">
        <v>0.67090000000000005</v>
      </c>
      <c r="L200">
        <v>0.03</v>
      </c>
      <c r="M200">
        <v>-8.9999999999999998E-4</v>
      </c>
      <c r="N200">
        <f>CONVERT(O200,"lbf","N")</f>
        <v>-76.064589620954564</v>
      </c>
      <c r="O200">
        <v>-17.100000000000001</v>
      </c>
      <c r="P200">
        <f t="shared" si="3"/>
        <v>-0.03</v>
      </c>
    </row>
    <row r="201" spans="1:16" hidden="1" x14ac:dyDescent="0.25">
      <c r="A201">
        <v>0</v>
      </c>
      <c r="B201">
        <v>10000</v>
      </c>
      <c r="C201">
        <f>1.225 * (1 - 0.00000687559 * B201) ^ 4.2561</f>
        <v>0.90462252368600637</v>
      </c>
      <c r="D201">
        <f>E201*(SQRT($C$2/C201))</f>
        <v>302.55734041850286</v>
      </c>
      <c r="E201">
        <v>260</v>
      </c>
      <c r="F201">
        <v>1150</v>
      </c>
      <c r="G201">
        <v>250</v>
      </c>
      <c r="H201">
        <f>CONVERT(G201,"HP","kW")</f>
        <v>186.42496789556756</v>
      </c>
      <c r="I201">
        <v>-0.30840000000000001</v>
      </c>
      <c r="J201">
        <v>2.0493999999999999</v>
      </c>
      <c r="K201">
        <v>0.69520000000000004</v>
      </c>
      <c r="L201">
        <v>0.03</v>
      </c>
      <c r="M201">
        <v>-4.4999999999999997E-3</v>
      </c>
      <c r="N201">
        <f>CONVERT(O201,"lbf","N")</f>
        <v>-369.20239406662154</v>
      </c>
      <c r="O201">
        <v>-83</v>
      </c>
      <c r="P201">
        <f t="shared" si="3"/>
        <v>-0.15</v>
      </c>
    </row>
    <row r="202" spans="1:16" hidden="1" x14ac:dyDescent="0.25">
      <c r="A202">
        <v>0</v>
      </c>
      <c r="B202">
        <v>5000</v>
      </c>
      <c r="C202">
        <f>1.225 * (1 - 0.00000687559 * B202) ^ 4.2561</f>
        <v>1.0555380742846066</v>
      </c>
      <c r="D202">
        <f>E202*(SQRT($C$2/C202))</f>
        <v>237.00296186700291</v>
      </c>
      <c r="E202">
        <v>220</v>
      </c>
      <c r="F202">
        <v>987</v>
      </c>
      <c r="G202">
        <v>200</v>
      </c>
      <c r="H202">
        <f>CONVERT(G202,"HP","kW")</f>
        <v>149.13997431645407</v>
      </c>
      <c r="I202">
        <v>0.31109999999999999</v>
      </c>
      <c r="J202">
        <v>1.8705000000000001</v>
      </c>
      <c r="K202">
        <v>0.56279999999999997</v>
      </c>
      <c r="L202">
        <v>3.2399999999999998E-2</v>
      </c>
      <c r="M202">
        <v>5.4000000000000003E-3</v>
      </c>
      <c r="N202">
        <f>CONVERT(O202,"lbf","N")</f>
        <v>380.32294810477276</v>
      </c>
      <c r="O202">
        <v>85.5</v>
      </c>
      <c r="P202">
        <f t="shared" si="3"/>
        <v>0.16666666666666669</v>
      </c>
    </row>
    <row r="203" spans="1:16" hidden="1" x14ac:dyDescent="0.25">
      <c r="A203">
        <v>0</v>
      </c>
      <c r="B203">
        <v>5000</v>
      </c>
      <c r="C203">
        <f>1.225 * (1 - 0.00000687559 * B203) ^ 4.2561</f>
        <v>1.0555380742846066</v>
      </c>
      <c r="D203">
        <f>E203*(SQRT($C$2/C203))</f>
        <v>0</v>
      </c>
      <c r="E203">
        <v>0</v>
      </c>
      <c r="F203">
        <v>987</v>
      </c>
      <c r="G203">
        <v>200</v>
      </c>
      <c r="H203">
        <f>CONVERT(G203,"HP","kW")</f>
        <v>149.13997431645407</v>
      </c>
      <c r="I203">
        <v>0</v>
      </c>
      <c r="J203">
        <v>0</v>
      </c>
      <c r="K203">
        <v>0.42549999999999999</v>
      </c>
      <c r="L203">
        <v>3.2500000000000001E-2</v>
      </c>
      <c r="M203">
        <v>8.4900000000000003E-2</v>
      </c>
      <c r="N203">
        <f>CONVERT(O203,"lbf","N")</f>
        <v>5973.9616292948522</v>
      </c>
      <c r="O203">
        <v>1343</v>
      </c>
      <c r="P203">
        <f t="shared" si="3"/>
        <v>2.6123076923076924</v>
      </c>
    </row>
    <row r="204" spans="1:16" hidden="1" x14ac:dyDescent="0.25">
      <c r="A204">
        <v>0</v>
      </c>
      <c r="B204">
        <v>5000</v>
      </c>
      <c r="C204">
        <f>1.225 * (1 - 0.00000687559 * B204) ^ 4.2561</f>
        <v>1.0555380742846066</v>
      </c>
      <c r="D204">
        <f>E204*(SQRT($C$2/C204))</f>
        <v>21.545723806091175</v>
      </c>
      <c r="E204">
        <v>20</v>
      </c>
      <c r="F204">
        <v>987</v>
      </c>
      <c r="G204">
        <v>200</v>
      </c>
      <c r="H204">
        <f>CONVERT(G204,"HP","kW")</f>
        <v>149.13997431645407</v>
      </c>
      <c r="I204">
        <v>0.34029999999999999</v>
      </c>
      <c r="J204">
        <v>0.17</v>
      </c>
      <c r="K204">
        <v>0.42880000000000001</v>
      </c>
      <c r="L204">
        <v>3.2500000000000001E-2</v>
      </c>
      <c r="M204">
        <v>6.5000000000000002E-2</v>
      </c>
      <c r="N204">
        <f>CONVERT(O204,"lbf","N")</f>
        <v>4579.4441529106853</v>
      </c>
      <c r="O204">
        <v>1029.5</v>
      </c>
      <c r="P204">
        <f t="shared" si="3"/>
        <v>2</v>
      </c>
    </row>
    <row r="205" spans="1:16" hidden="1" x14ac:dyDescent="0.25">
      <c r="A205">
        <v>0</v>
      </c>
      <c r="B205">
        <v>5000</v>
      </c>
      <c r="C205">
        <f>1.225 * (1 - 0.00000687559 * B205) ^ 4.2561</f>
        <v>1.0555380742846066</v>
      </c>
      <c r="D205">
        <f>E205*(SQRT($C$2/C205))</f>
        <v>43.09144761218235</v>
      </c>
      <c r="E205">
        <v>40</v>
      </c>
      <c r="F205">
        <v>987</v>
      </c>
      <c r="G205">
        <v>200</v>
      </c>
      <c r="H205">
        <f>CONVERT(G205,"HP","kW")</f>
        <v>149.13997431645407</v>
      </c>
      <c r="I205">
        <v>0.47689999999999999</v>
      </c>
      <c r="J205">
        <v>0.34010000000000001</v>
      </c>
      <c r="K205">
        <v>0.43340000000000001</v>
      </c>
      <c r="L205">
        <v>3.2500000000000001E-2</v>
      </c>
      <c r="M205">
        <v>4.5600000000000002E-2</v>
      </c>
      <c r="N205">
        <f>CONVERT(O205,"lbf","N")</f>
        <v>3208.5022510873987</v>
      </c>
      <c r="O205">
        <v>721.3</v>
      </c>
      <c r="P205">
        <f t="shared" si="3"/>
        <v>1.4030769230769231</v>
      </c>
    </row>
    <row r="206" spans="1:16" hidden="1" x14ac:dyDescent="0.25">
      <c r="A206">
        <v>0</v>
      </c>
      <c r="B206">
        <v>5000</v>
      </c>
      <c r="C206">
        <f>1.225 * (1 - 0.00000687559 * B206) ^ 4.2561</f>
        <v>1.0555380742846066</v>
      </c>
      <c r="D206">
        <f>E206*(SQRT($C$2/C206))</f>
        <v>86.1828952243647</v>
      </c>
      <c r="E206">
        <v>80</v>
      </c>
      <c r="F206">
        <v>987</v>
      </c>
      <c r="G206">
        <v>200</v>
      </c>
      <c r="H206">
        <f>CONVERT(G206,"HP","kW")</f>
        <v>149.13997431645407</v>
      </c>
      <c r="I206">
        <v>0.5675</v>
      </c>
      <c r="J206">
        <v>0.68020000000000003</v>
      </c>
      <c r="K206">
        <v>0.4486</v>
      </c>
      <c r="L206">
        <v>3.2500000000000001E-2</v>
      </c>
      <c r="M206">
        <v>2.7099999999999999E-2</v>
      </c>
      <c r="N206">
        <f>CONVERT(O206,"lbf","N")</f>
        <v>1908.7318951082807</v>
      </c>
      <c r="O206">
        <v>429.1</v>
      </c>
      <c r="P206">
        <f t="shared" si="3"/>
        <v>0.83384615384615379</v>
      </c>
    </row>
    <row r="207" spans="1:16" hidden="1" x14ac:dyDescent="0.25">
      <c r="A207">
        <v>0</v>
      </c>
      <c r="B207">
        <v>5000</v>
      </c>
      <c r="C207">
        <f>1.225 * (1 - 0.00000687559 * B207) ^ 4.2561</f>
        <v>1.0555380742846066</v>
      </c>
      <c r="D207">
        <f>E207*(SQRT($C$2/C207))</f>
        <v>107.72861903045587</v>
      </c>
      <c r="E207">
        <v>100</v>
      </c>
      <c r="F207">
        <v>987</v>
      </c>
      <c r="G207">
        <v>200</v>
      </c>
      <c r="H207">
        <f>CONVERT(G207,"HP","kW")</f>
        <v>149.13997431645407</v>
      </c>
      <c r="I207">
        <v>0.58960000000000001</v>
      </c>
      <c r="J207">
        <v>0.85019999999999996</v>
      </c>
      <c r="K207">
        <v>0.45950000000000002</v>
      </c>
      <c r="L207">
        <v>3.2500000000000001E-2</v>
      </c>
      <c r="M207">
        <v>2.2599999999999999E-2</v>
      </c>
      <c r="N207">
        <f>CONVERT(O207,"lbf","N")</f>
        <v>1586.6806501634205</v>
      </c>
      <c r="O207">
        <v>356.7</v>
      </c>
      <c r="P207">
        <f t="shared" si="3"/>
        <v>0.69538461538461527</v>
      </c>
    </row>
    <row r="208" spans="1:16" hidden="1" x14ac:dyDescent="0.25">
      <c r="A208">
        <v>0</v>
      </c>
      <c r="B208">
        <v>5000</v>
      </c>
      <c r="C208">
        <f>1.225 * (1 - 0.00000687559 * B208) ^ 4.2561</f>
        <v>1.0555380742846066</v>
      </c>
      <c r="D208">
        <f>E208*(SQRT($C$2/C208))</f>
        <v>129.27434283654705</v>
      </c>
      <c r="E208">
        <v>120</v>
      </c>
      <c r="F208">
        <v>987</v>
      </c>
      <c r="G208">
        <v>200</v>
      </c>
      <c r="H208">
        <f>CONVERT(G208,"HP","kW")</f>
        <v>149.13997431645407</v>
      </c>
      <c r="I208">
        <v>0.5917</v>
      </c>
      <c r="J208">
        <v>1.0203</v>
      </c>
      <c r="K208">
        <v>0.47249999999999998</v>
      </c>
      <c r="L208">
        <v>3.2500000000000001E-2</v>
      </c>
      <c r="M208">
        <v>1.8800000000000001E-2</v>
      </c>
      <c r="N208">
        <f>CONVERT(O208,"lbf","N")</f>
        <v>1326.9045078322072</v>
      </c>
      <c r="O208">
        <v>298.3</v>
      </c>
      <c r="P208">
        <f t="shared" si="3"/>
        <v>0.57846153846153847</v>
      </c>
    </row>
    <row r="209" spans="1:16" hidden="1" x14ac:dyDescent="0.25">
      <c r="A209">
        <v>0</v>
      </c>
      <c r="B209">
        <v>5000</v>
      </c>
      <c r="C209">
        <f>1.225 * (1 - 0.00000687559 * B209) ^ 4.2561</f>
        <v>1.0555380742846066</v>
      </c>
      <c r="D209">
        <f>E209*(SQRT($C$2/C209))</f>
        <v>150.82006664263821</v>
      </c>
      <c r="E209">
        <v>140</v>
      </c>
      <c r="F209">
        <v>987</v>
      </c>
      <c r="G209">
        <v>200</v>
      </c>
      <c r="H209">
        <f>CONVERT(G209,"HP","kW")</f>
        <v>149.13997431645407</v>
      </c>
      <c r="I209">
        <v>0.57820000000000005</v>
      </c>
      <c r="J209">
        <v>1.1902999999999999</v>
      </c>
      <c r="K209">
        <v>0.4874</v>
      </c>
      <c r="L209">
        <v>3.2500000000000001E-2</v>
      </c>
      <c r="M209">
        <v>1.5800000000000002E-2</v>
      </c>
      <c r="N209">
        <f>CONVERT(O209,"lbf","N")</f>
        <v>1111.610581653599</v>
      </c>
      <c r="O209">
        <v>249.9</v>
      </c>
      <c r="P209">
        <f t="shared" si="3"/>
        <v>0.48615384615384616</v>
      </c>
    </row>
    <row r="210" spans="1:16" hidden="1" x14ac:dyDescent="0.25">
      <c r="A210">
        <v>0</v>
      </c>
      <c r="B210">
        <v>5000</v>
      </c>
      <c r="C210">
        <f>1.225 * (1 - 0.00000687559 * B210) ^ 4.2561</f>
        <v>1.0555380742846066</v>
      </c>
      <c r="D210">
        <f>E210*(SQRT($C$2/C210))</f>
        <v>172.3657904487294</v>
      </c>
      <c r="E210">
        <v>160</v>
      </c>
      <c r="F210">
        <v>987</v>
      </c>
      <c r="G210">
        <v>200</v>
      </c>
      <c r="H210">
        <f>CONVERT(G210,"HP","kW")</f>
        <v>149.13997431645407</v>
      </c>
      <c r="I210">
        <v>0.54759999999999998</v>
      </c>
      <c r="J210">
        <v>1.3604000000000001</v>
      </c>
      <c r="K210">
        <v>0.504</v>
      </c>
      <c r="L210">
        <v>3.2500000000000001E-2</v>
      </c>
      <c r="M210">
        <v>1.3100000000000001E-2</v>
      </c>
      <c r="N210">
        <f>CONVERT(O210,"lbf","N")</f>
        <v>921.22669652044954</v>
      </c>
      <c r="O210">
        <v>207.1</v>
      </c>
      <c r="P210">
        <f t="shared" si="3"/>
        <v>0.40307692307692305</v>
      </c>
    </row>
    <row r="211" spans="1:16" hidden="1" x14ac:dyDescent="0.25">
      <c r="A211">
        <v>0</v>
      </c>
      <c r="B211">
        <v>5000</v>
      </c>
      <c r="C211">
        <f>1.225 * (1 - 0.00000687559 * B211) ^ 4.2561</f>
        <v>1.0555380742846066</v>
      </c>
      <c r="D211">
        <f>E211*(SQRT($C$2/C211))</f>
        <v>193.91151425482059</v>
      </c>
      <c r="E211">
        <v>180</v>
      </c>
      <c r="F211">
        <v>987</v>
      </c>
      <c r="G211">
        <v>200</v>
      </c>
      <c r="H211">
        <f>CONVERT(G211,"HP","kW")</f>
        <v>149.13997431645407</v>
      </c>
      <c r="I211">
        <v>0.49909999999999999</v>
      </c>
      <c r="J211">
        <v>1.5304</v>
      </c>
      <c r="K211">
        <v>0.5222</v>
      </c>
      <c r="L211">
        <v>3.2500000000000001E-2</v>
      </c>
      <c r="M211">
        <v>1.06E-2</v>
      </c>
      <c r="N211">
        <f>CONVERT(O211,"lbf","N")</f>
        <v>745.9667648791858</v>
      </c>
      <c r="O211">
        <v>167.7</v>
      </c>
      <c r="P211">
        <f t="shared" si="3"/>
        <v>0.32615384615384613</v>
      </c>
    </row>
    <row r="212" spans="1:16" hidden="1" x14ac:dyDescent="0.25">
      <c r="A212">
        <v>0</v>
      </c>
      <c r="B212">
        <v>5000</v>
      </c>
      <c r="C212">
        <f>1.225 * (1 - 0.00000687559 * B212) ^ 4.2561</f>
        <v>1.0555380742846066</v>
      </c>
      <c r="D212">
        <f>E212*(SQRT($C$2/C212))</f>
        <v>215.45723806091175</v>
      </c>
      <c r="E212">
        <v>200</v>
      </c>
      <c r="F212">
        <v>987</v>
      </c>
      <c r="G212">
        <v>200</v>
      </c>
      <c r="H212">
        <f>CONVERT(G212,"HP","kW")</f>
        <v>149.13997431645407</v>
      </c>
      <c r="I212">
        <v>0.41970000000000002</v>
      </c>
      <c r="J212">
        <v>1.7004999999999999</v>
      </c>
      <c r="K212">
        <v>0.54190000000000005</v>
      </c>
      <c r="L212">
        <v>3.2500000000000001E-2</v>
      </c>
      <c r="M212">
        <v>8.0000000000000002E-3</v>
      </c>
      <c r="N212">
        <f>CONVERT(O212,"lbf","N")</f>
        <v>564.92414513808353</v>
      </c>
      <c r="O212">
        <v>127</v>
      </c>
      <c r="P212">
        <f t="shared" si="3"/>
        <v>0.24615384615384614</v>
      </c>
    </row>
    <row r="213" spans="1:16" hidden="1" x14ac:dyDescent="0.25">
      <c r="A213">
        <v>0</v>
      </c>
      <c r="B213">
        <v>5000</v>
      </c>
      <c r="C213">
        <f>1.225 * (1 - 0.00000687559 * B213) ^ 4.2561</f>
        <v>1.0555380742846066</v>
      </c>
      <c r="D213">
        <f>E213*(SQRT($C$2/C213))</f>
        <v>258.5486856730941</v>
      </c>
      <c r="E213">
        <v>240</v>
      </c>
      <c r="F213">
        <v>987</v>
      </c>
      <c r="G213">
        <v>200</v>
      </c>
      <c r="H213">
        <f>CONVERT(G213,"HP","kW")</f>
        <v>149.13997431645407</v>
      </c>
      <c r="I213">
        <v>0.16420000000000001</v>
      </c>
      <c r="J213">
        <v>2.0406</v>
      </c>
      <c r="K213">
        <v>0.58479999999999999</v>
      </c>
      <c r="L213">
        <v>3.2500000000000001E-2</v>
      </c>
      <c r="M213">
        <v>2.5999999999999999E-3</v>
      </c>
      <c r="N213">
        <f>CONVERT(O213,"lbf","N")</f>
        <v>184.15637487178472</v>
      </c>
      <c r="O213">
        <v>41.4</v>
      </c>
      <c r="P213">
        <f t="shared" si="3"/>
        <v>7.9999999999999988E-2</v>
      </c>
    </row>
    <row r="214" spans="1:16" hidden="1" x14ac:dyDescent="0.25">
      <c r="A214">
        <v>0</v>
      </c>
      <c r="B214">
        <v>5000</v>
      </c>
      <c r="C214">
        <f>1.225 * (1 - 0.00000687559 * B214) ^ 4.2561</f>
        <v>1.0555380742846066</v>
      </c>
      <c r="D214">
        <f>E214*(SQRT($C$2/C214))</f>
        <v>280.09440947918529</v>
      </c>
      <c r="E214">
        <v>260</v>
      </c>
      <c r="F214">
        <v>987</v>
      </c>
      <c r="G214">
        <v>200</v>
      </c>
      <c r="H214">
        <f>CONVERT(G214,"HP","kW")</f>
        <v>149.13997431645407</v>
      </c>
      <c r="I214">
        <v>-2.58E-2</v>
      </c>
      <c r="J214">
        <v>2.2105999999999999</v>
      </c>
      <c r="K214">
        <v>0.60780000000000001</v>
      </c>
      <c r="L214">
        <v>3.2500000000000001E-2</v>
      </c>
      <c r="M214">
        <v>-4.0000000000000002E-4</v>
      </c>
      <c r="N214">
        <f>CONVERT(O214,"lbf","N")</f>
        <v>-26.689329691563003</v>
      </c>
      <c r="O214">
        <v>-6</v>
      </c>
      <c r="P214">
        <f t="shared" si="3"/>
        <v>-1.2307692307692308E-2</v>
      </c>
    </row>
    <row r="215" spans="1:16" hidden="1" x14ac:dyDescent="0.25">
      <c r="A215">
        <v>0</v>
      </c>
      <c r="B215">
        <v>5000</v>
      </c>
      <c r="C215">
        <f>1.225 * (1 - 0.00000687559 * B215) ^ 4.2561</f>
        <v>1.0555380742846066</v>
      </c>
      <c r="D215">
        <f>E215*(SQRT($C$2/C215))</f>
        <v>0</v>
      </c>
      <c r="E215">
        <v>0</v>
      </c>
      <c r="F215">
        <v>1150</v>
      </c>
      <c r="G215">
        <v>200</v>
      </c>
      <c r="H215">
        <f>CONVERT(G215,"HP","kW")</f>
        <v>149.13997431645407</v>
      </c>
      <c r="I215" s="2" t="e">
        <f>#REF!</f>
        <v>#REF!</v>
      </c>
      <c r="J215" s="2" t="e">
        <f>#REF!</f>
        <v>#REF!</v>
      </c>
      <c r="K215" s="2" t="e">
        <f>#REF!</f>
        <v>#REF!</v>
      </c>
      <c r="L215" s="2" t="e">
        <f>#REF!</f>
        <v>#REF!</v>
      </c>
      <c r="M215" s="2" t="e">
        <f>#REF!</f>
        <v>#REF!</v>
      </c>
      <c r="N215" t="e">
        <f>CONVERT(O215,"lbf","N")</f>
        <v>#REF!</v>
      </c>
      <c r="O215" s="2" t="e">
        <f>#REF!</f>
        <v>#REF!</v>
      </c>
      <c r="P215" t="e">
        <f t="shared" si="3"/>
        <v>#REF!</v>
      </c>
    </row>
    <row r="216" spans="1:16" hidden="1" x14ac:dyDescent="0.25">
      <c r="A216">
        <v>0</v>
      </c>
      <c r="B216">
        <v>5000</v>
      </c>
      <c r="C216">
        <f>1.225 * (1 - 0.00000687559 * B216) ^ 4.2561</f>
        <v>1.0555380742846066</v>
      </c>
      <c r="D216">
        <f>E216*(SQRT($C$2/C216))</f>
        <v>21.545723806091175</v>
      </c>
      <c r="E216">
        <v>20</v>
      </c>
      <c r="F216">
        <v>1150</v>
      </c>
      <c r="G216">
        <v>200</v>
      </c>
      <c r="H216">
        <f>CONVERT(G216,"HP","kW")</f>
        <v>149.13997431645407</v>
      </c>
      <c r="I216" s="2" t="e">
        <f>#REF!</f>
        <v>#REF!</v>
      </c>
      <c r="J216" s="2" t="e">
        <f>#REF!</f>
        <v>#REF!</v>
      </c>
      <c r="K216" s="2" t="e">
        <f>#REF!</f>
        <v>#REF!</v>
      </c>
      <c r="L216" s="2" t="e">
        <f>#REF!</f>
        <v>#REF!</v>
      </c>
      <c r="M216" s="2" t="e">
        <f>#REF!</f>
        <v>#REF!</v>
      </c>
      <c r="N216" t="e">
        <f>CONVERT(O216,"lbf","N")</f>
        <v>#REF!</v>
      </c>
      <c r="O216" s="2" t="e">
        <f>#REF!</f>
        <v>#REF!</v>
      </c>
      <c r="P216" t="e">
        <f t="shared" si="3"/>
        <v>#REF!</v>
      </c>
    </row>
    <row r="217" spans="1:16" hidden="1" x14ac:dyDescent="0.25">
      <c r="A217">
        <v>0</v>
      </c>
      <c r="B217">
        <v>5000</v>
      </c>
      <c r="C217">
        <f>1.225 * (1 - 0.00000687559 * B217) ^ 4.2561</f>
        <v>1.0555380742846066</v>
      </c>
      <c r="D217">
        <f>E217*(SQRT($C$2/C217))</f>
        <v>43.09144761218235</v>
      </c>
      <c r="E217">
        <v>40</v>
      </c>
      <c r="F217">
        <v>1150</v>
      </c>
      <c r="G217">
        <v>200</v>
      </c>
      <c r="H217">
        <f>CONVERT(G217,"HP","kW")</f>
        <v>149.13997431645407</v>
      </c>
      <c r="I217" s="2" t="e">
        <f>#REF!</f>
        <v>#REF!</v>
      </c>
      <c r="J217" s="2" t="e">
        <f>#REF!</f>
        <v>#REF!</v>
      </c>
      <c r="K217" s="2" t="e">
        <f>#REF!</f>
        <v>#REF!</v>
      </c>
      <c r="L217" s="2" t="e">
        <f>#REF!</f>
        <v>#REF!</v>
      </c>
      <c r="M217" s="2" t="e">
        <f>#REF!</f>
        <v>#REF!</v>
      </c>
      <c r="N217" t="e">
        <f>CONVERT(O217,"lbf","N")</f>
        <v>#REF!</v>
      </c>
      <c r="O217" s="2" t="e">
        <f>#REF!</f>
        <v>#REF!</v>
      </c>
      <c r="P217" t="e">
        <f t="shared" si="3"/>
        <v>#REF!</v>
      </c>
    </row>
    <row r="218" spans="1:16" hidden="1" x14ac:dyDescent="0.25">
      <c r="A218">
        <v>0</v>
      </c>
      <c r="B218">
        <v>5000</v>
      </c>
      <c r="C218">
        <f>1.225 * (1 - 0.00000687559 * B218) ^ 4.2561</f>
        <v>1.0555380742846066</v>
      </c>
      <c r="D218">
        <f>E218*(SQRT($C$2/C218))</f>
        <v>0</v>
      </c>
      <c r="E218">
        <v>0</v>
      </c>
      <c r="F218">
        <v>1215</v>
      </c>
      <c r="G218">
        <v>200</v>
      </c>
      <c r="H218">
        <f>CONVERT(G218,"HP","kW")</f>
        <v>149.13997431645407</v>
      </c>
      <c r="I218" s="2" t="e">
        <f>#REF!</f>
        <v>#REF!</v>
      </c>
      <c r="J218" s="2" t="e">
        <f>#REF!</f>
        <v>#REF!</v>
      </c>
      <c r="K218" s="2" t="e">
        <f>#REF!</f>
        <v>#REF!</v>
      </c>
      <c r="L218" s="2" t="e">
        <f>#REF!</f>
        <v>#REF!</v>
      </c>
      <c r="M218" s="2" t="e">
        <f>#REF!</f>
        <v>#REF!</v>
      </c>
      <c r="N218" t="e">
        <f>CONVERT(O218,"lbf","N")</f>
        <v>#REF!</v>
      </c>
      <c r="O218" s="2" t="e">
        <f>#REF!</f>
        <v>#REF!</v>
      </c>
      <c r="P218" t="e">
        <f t="shared" si="3"/>
        <v>#REF!</v>
      </c>
    </row>
    <row r="219" spans="1:16" hidden="1" x14ac:dyDescent="0.25">
      <c r="A219">
        <v>0</v>
      </c>
      <c r="B219">
        <v>5000</v>
      </c>
      <c r="C219">
        <f>1.225 * (1 - 0.00000687559 * B219) ^ 4.2561</f>
        <v>1.0555380742846066</v>
      </c>
      <c r="D219">
        <f>E219*(SQRT($C$2/C219))</f>
        <v>21.545723806091175</v>
      </c>
      <c r="E219">
        <v>20</v>
      </c>
      <c r="F219">
        <v>1215</v>
      </c>
      <c r="G219">
        <v>200</v>
      </c>
      <c r="H219">
        <f>CONVERT(G219,"HP","kW")</f>
        <v>149.13997431645407</v>
      </c>
      <c r="I219" s="2" t="e">
        <f>#REF!</f>
        <v>#REF!</v>
      </c>
      <c r="J219" s="2" t="e">
        <f>#REF!</f>
        <v>#REF!</v>
      </c>
      <c r="K219" s="2" t="e">
        <f>#REF!</f>
        <v>#REF!</v>
      </c>
      <c r="L219" s="2" t="e">
        <f>#REF!</f>
        <v>#REF!</v>
      </c>
      <c r="M219" s="2" t="e">
        <f>#REF!</f>
        <v>#REF!</v>
      </c>
      <c r="N219" t="e">
        <f>CONVERT(O219,"lbf","N")</f>
        <v>#REF!</v>
      </c>
      <c r="O219" s="2" t="e">
        <f>#REF!</f>
        <v>#REF!</v>
      </c>
      <c r="P219" t="e">
        <f t="shared" si="3"/>
        <v>#REF!</v>
      </c>
    </row>
    <row r="220" spans="1:16" hidden="1" x14ac:dyDescent="0.25">
      <c r="A220">
        <v>0</v>
      </c>
      <c r="B220">
        <v>5000</v>
      </c>
      <c r="C220">
        <f>1.225 * (1 - 0.00000687559 * B220) ^ 4.2561</f>
        <v>1.0555380742846066</v>
      </c>
      <c r="D220">
        <f>E220*(SQRT($C$2/C220))</f>
        <v>43.09144761218235</v>
      </c>
      <c r="E220">
        <v>40</v>
      </c>
      <c r="F220">
        <v>1215</v>
      </c>
      <c r="G220">
        <v>200</v>
      </c>
      <c r="H220">
        <f>CONVERT(G220,"HP","kW")</f>
        <v>149.13997431645407</v>
      </c>
      <c r="I220" s="2" t="e">
        <f>#REF!</f>
        <v>#REF!</v>
      </c>
      <c r="J220" s="2" t="e">
        <f>#REF!</f>
        <v>#REF!</v>
      </c>
      <c r="K220" s="2" t="e">
        <f>#REF!</f>
        <v>#REF!</v>
      </c>
      <c r="L220" s="2" t="e">
        <f>#REF!</f>
        <v>#REF!</v>
      </c>
      <c r="M220" s="2" t="e">
        <f>#REF!</f>
        <v>#REF!</v>
      </c>
      <c r="N220" t="e">
        <f>CONVERT(O220,"lbf","N")</f>
        <v>#REF!</v>
      </c>
      <c r="O220" s="2" t="e">
        <f>#REF!</f>
        <v>#REF!</v>
      </c>
      <c r="P220" t="e">
        <f t="shared" si="3"/>
        <v>#REF!</v>
      </c>
    </row>
    <row r="221" spans="1:16" hidden="1" x14ac:dyDescent="0.25">
      <c r="A221">
        <v>0</v>
      </c>
      <c r="B221">
        <v>5000</v>
      </c>
      <c r="C221">
        <f>1.225 * (1 - 0.00000687559 * B221) ^ 4.2561</f>
        <v>1.0555380742846066</v>
      </c>
      <c r="D221">
        <f>E221*(SQRT($C$2/C221))</f>
        <v>64.637171418273525</v>
      </c>
      <c r="E221">
        <v>60</v>
      </c>
      <c r="F221">
        <v>987</v>
      </c>
      <c r="G221">
        <v>200</v>
      </c>
      <c r="H221">
        <f>CONVERT(G221,"HP","kW")</f>
        <v>149.13997431645407</v>
      </c>
      <c r="I221">
        <v>0.53169999999999995</v>
      </c>
      <c r="J221">
        <v>0.5101</v>
      </c>
      <c r="K221">
        <v>0.43990000000000001</v>
      </c>
      <c r="L221">
        <v>3.2599999999999997E-2</v>
      </c>
      <c r="M221">
        <v>3.39E-2</v>
      </c>
      <c r="N221">
        <f>CONVERT(O221,"lbf","N")</f>
        <v>2384.6916079411544</v>
      </c>
      <c r="O221">
        <v>536.1</v>
      </c>
      <c r="P221">
        <f t="shared" si="3"/>
        <v>1.0398773006134969</v>
      </c>
    </row>
    <row r="222" spans="1:16" hidden="1" x14ac:dyDescent="0.25">
      <c r="A222">
        <v>0</v>
      </c>
      <c r="B222">
        <v>5000</v>
      </c>
      <c r="C222">
        <f>1.225 * (1 - 0.00000687559 * B222) ^ 4.2561</f>
        <v>1.0555380742846066</v>
      </c>
      <c r="D222">
        <f>E222*(SQRT($C$2/C222))</f>
        <v>64.637171418273525</v>
      </c>
      <c r="E222">
        <v>60</v>
      </c>
      <c r="F222">
        <v>1150</v>
      </c>
      <c r="G222">
        <v>200</v>
      </c>
      <c r="H222">
        <f>CONVERT(G222,"HP","kW")</f>
        <v>149.13997431645407</v>
      </c>
      <c r="I222" s="2" t="e">
        <f>#REF!</f>
        <v>#REF!</v>
      </c>
      <c r="J222" s="2" t="e">
        <f>#REF!</f>
        <v>#REF!</v>
      </c>
      <c r="K222" s="2" t="e">
        <f>#REF!</f>
        <v>#REF!</v>
      </c>
      <c r="L222" s="2" t="e">
        <f>#REF!</f>
        <v>#REF!</v>
      </c>
      <c r="M222" s="2" t="e">
        <f>#REF!</f>
        <v>#REF!</v>
      </c>
      <c r="N222" t="e">
        <f>CONVERT(O222,"lbf","N")</f>
        <v>#REF!</v>
      </c>
      <c r="O222" s="2" t="e">
        <f>#REF!</f>
        <v>#REF!</v>
      </c>
      <c r="P222" t="e">
        <f t="shared" si="3"/>
        <v>#REF!</v>
      </c>
    </row>
    <row r="223" spans="1:16" hidden="1" x14ac:dyDescent="0.25">
      <c r="A223">
        <v>0</v>
      </c>
      <c r="B223">
        <v>5000</v>
      </c>
      <c r="C223">
        <f>1.225 * (1 - 0.00000687559 * B223) ^ 4.2561</f>
        <v>1.0555380742846066</v>
      </c>
      <c r="D223">
        <f>E223*(SQRT($C$2/C223))</f>
        <v>64.637171418273525</v>
      </c>
      <c r="E223">
        <v>60</v>
      </c>
      <c r="F223">
        <v>1215</v>
      </c>
      <c r="G223">
        <v>200</v>
      </c>
      <c r="H223">
        <f>CONVERT(G223,"HP","kW")</f>
        <v>149.13997431645407</v>
      </c>
      <c r="I223" s="2" t="e">
        <f>#REF!</f>
        <v>#REF!</v>
      </c>
      <c r="J223" s="2" t="e">
        <f>#REF!</f>
        <v>#REF!</v>
      </c>
      <c r="K223" s="2" t="e">
        <f>#REF!</f>
        <v>#REF!</v>
      </c>
      <c r="L223" s="2" t="e">
        <f>#REF!</f>
        <v>#REF!</v>
      </c>
      <c r="M223" s="2" t="e">
        <f>#REF!</f>
        <v>#REF!</v>
      </c>
      <c r="N223" t="e">
        <f>CONVERT(O223,"lbf","N")</f>
        <v>#REF!</v>
      </c>
      <c r="O223" s="2" t="e">
        <f>#REF!</f>
        <v>#REF!</v>
      </c>
      <c r="P223" t="e">
        <f t="shared" si="3"/>
        <v>#REF!</v>
      </c>
    </row>
    <row r="224" spans="1:16" hidden="1" x14ac:dyDescent="0.25">
      <c r="A224">
        <v>0</v>
      </c>
      <c r="B224">
        <v>20000</v>
      </c>
      <c r="C224">
        <f>1.225 * (1 - 0.00000687559 * B224) ^ 4.2561</f>
        <v>0.65267221054298263</v>
      </c>
      <c r="D224">
        <f>E224*(SQRT($C$2/C224))</f>
        <v>0</v>
      </c>
      <c r="E224">
        <v>0</v>
      </c>
      <c r="F224">
        <v>1150</v>
      </c>
      <c r="G224">
        <v>200</v>
      </c>
      <c r="H224">
        <f>CONVERT(G224,"HP","kW")</f>
        <v>149.13997431645407</v>
      </c>
      <c r="I224">
        <v>0</v>
      </c>
      <c r="J224">
        <v>0</v>
      </c>
      <c r="K224">
        <v>0.52480000000000004</v>
      </c>
      <c r="L224">
        <v>3.32E-2</v>
      </c>
      <c r="M224">
        <v>8.09E-2</v>
      </c>
      <c r="N224">
        <f>CONVERT(O224,"lbf","N")</f>
        <v>4777.8348369513033</v>
      </c>
      <c r="O224">
        <v>1074.0999999999999</v>
      </c>
      <c r="P224">
        <f t="shared" si="3"/>
        <v>2.4367469879518073</v>
      </c>
    </row>
    <row r="225" spans="1:16" hidden="1" x14ac:dyDescent="0.25">
      <c r="A225">
        <v>0</v>
      </c>
      <c r="B225">
        <v>20000</v>
      </c>
      <c r="C225">
        <f>1.225 * (1 - 0.00000687559 * B225) ^ 4.2561</f>
        <v>0.65267221054298263</v>
      </c>
      <c r="D225">
        <f>E225*(SQRT($C$2/C225))</f>
        <v>27.399994721664136</v>
      </c>
      <c r="E225">
        <v>20</v>
      </c>
      <c r="F225">
        <v>1150</v>
      </c>
      <c r="G225">
        <v>200</v>
      </c>
      <c r="H225">
        <f>CONVERT(G225,"HP","kW")</f>
        <v>149.13997431645407</v>
      </c>
      <c r="I225">
        <v>0.31080000000000002</v>
      </c>
      <c r="J225">
        <v>0.18559999999999999</v>
      </c>
      <c r="K225">
        <v>0.52929999999999999</v>
      </c>
      <c r="L225">
        <v>3.32E-2</v>
      </c>
      <c r="M225">
        <v>5.57E-2</v>
      </c>
      <c r="N225">
        <f>CONVERT(O225,"lbf","N")</f>
        <v>3288.5702401620879</v>
      </c>
      <c r="O225">
        <v>739.3</v>
      </c>
      <c r="P225">
        <f t="shared" si="3"/>
        <v>1.677710843373494</v>
      </c>
    </row>
    <row r="226" spans="1:16" hidden="1" x14ac:dyDescent="0.25">
      <c r="A226">
        <v>0</v>
      </c>
      <c r="B226">
        <v>20000</v>
      </c>
      <c r="C226">
        <f>1.225 * (1 - 0.00000687559 * B226) ^ 4.2561</f>
        <v>0.65267221054298263</v>
      </c>
      <c r="D226">
        <f>E226*(SQRT($C$2/C226))</f>
        <v>82.199984164992401</v>
      </c>
      <c r="E226">
        <v>60</v>
      </c>
      <c r="F226">
        <v>1150</v>
      </c>
      <c r="G226">
        <v>200</v>
      </c>
      <c r="H226">
        <f>CONVERT(G226,"HP","kW")</f>
        <v>149.13997431645407</v>
      </c>
      <c r="I226">
        <v>0.37040000000000001</v>
      </c>
      <c r="J226">
        <v>0.55679999999999996</v>
      </c>
      <c r="K226">
        <v>0.54510000000000003</v>
      </c>
      <c r="L226">
        <v>3.32E-2</v>
      </c>
      <c r="M226">
        <v>2.2100000000000002E-2</v>
      </c>
      <c r="N226">
        <f>CONVERT(O226,"lbf","N")</f>
        <v>1306.4426884020088</v>
      </c>
      <c r="O226">
        <v>293.7</v>
      </c>
      <c r="P226">
        <f t="shared" si="3"/>
        <v>0.6656626506024097</v>
      </c>
    </row>
    <row r="227" spans="1:16" hidden="1" x14ac:dyDescent="0.25">
      <c r="A227">
        <v>0</v>
      </c>
      <c r="B227">
        <v>20000</v>
      </c>
      <c r="C227">
        <f>1.225 * (1 - 0.00000687559 * B227) ^ 4.2561</f>
        <v>0.65267221054298263</v>
      </c>
      <c r="D227">
        <f>E227*(SQRT($C$2/C227))</f>
        <v>109.59997888665654</v>
      </c>
      <c r="E227">
        <v>80</v>
      </c>
      <c r="F227">
        <v>1150</v>
      </c>
      <c r="G227">
        <v>200</v>
      </c>
      <c r="H227">
        <f>CONVERT(G227,"HP","kW")</f>
        <v>149.13997431645407</v>
      </c>
      <c r="I227">
        <v>0.41</v>
      </c>
      <c r="J227">
        <v>0.74239999999999995</v>
      </c>
      <c r="K227">
        <v>0.55769999999999997</v>
      </c>
      <c r="L227">
        <v>3.32E-2</v>
      </c>
      <c r="M227">
        <v>1.84E-2</v>
      </c>
      <c r="N227">
        <f>CONVERT(O227,"lbf","N")</f>
        <v>1084.47642980051</v>
      </c>
      <c r="O227">
        <v>243.8</v>
      </c>
      <c r="P227">
        <f t="shared" si="3"/>
        <v>0.55421686746987953</v>
      </c>
    </row>
    <row r="228" spans="1:16" hidden="1" x14ac:dyDescent="0.25">
      <c r="A228">
        <v>0</v>
      </c>
      <c r="B228">
        <v>20000</v>
      </c>
      <c r="C228">
        <f>1.225 * (1 - 0.00000687559 * B228) ^ 4.2561</f>
        <v>0.65267221054298263</v>
      </c>
      <c r="D228">
        <f>E228*(SQRT($C$2/C228))</f>
        <v>164.3999683299848</v>
      </c>
      <c r="E228">
        <v>120</v>
      </c>
      <c r="F228">
        <v>1150</v>
      </c>
      <c r="G228">
        <v>200</v>
      </c>
      <c r="H228">
        <f>CONVERT(G228,"HP","kW")</f>
        <v>149.13997431645407</v>
      </c>
      <c r="I228">
        <v>0.42749999999999999</v>
      </c>
      <c r="J228">
        <v>1.1135999999999999</v>
      </c>
      <c r="K228">
        <v>0.59230000000000005</v>
      </c>
      <c r="L228">
        <v>3.32E-2</v>
      </c>
      <c r="M228">
        <v>1.2800000000000001E-2</v>
      </c>
      <c r="N228">
        <f>CONVERT(O228,"lbf","N")</f>
        <v>753.97356378665472</v>
      </c>
      <c r="O228">
        <v>169.5</v>
      </c>
      <c r="P228">
        <f t="shared" si="3"/>
        <v>0.38554216867469882</v>
      </c>
    </row>
    <row r="229" spans="1:16" hidden="1" x14ac:dyDescent="0.25">
      <c r="A229">
        <v>0</v>
      </c>
      <c r="B229">
        <v>20000</v>
      </c>
      <c r="C229">
        <f>1.225 * (1 - 0.00000687559 * B229) ^ 4.2561</f>
        <v>0.65267221054298263</v>
      </c>
      <c r="D229">
        <f>E229*(SQRT($C$2/C229))</f>
        <v>219.19995777331309</v>
      </c>
      <c r="E229">
        <v>160</v>
      </c>
      <c r="F229">
        <v>1150</v>
      </c>
      <c r="G229">
        <v>200</v>
      </c>
      <c r="H229">
        <f>CONVERT(G229,"HP","kW")</f>
        <v>149.13997431645407</v>
      </c>
      <c r="I229">
        <v>0.33839999999999998</v>
      </c>
      <c r="J229">
        <v>1.4847999999999999</v>
      </c>
      <c r="K229">
        <v>0.63759999999999994</v>
      </c>
      <c r="L229">
        <v>3.32E-2</v>
      </c>
      <c r="M229">
        <v>7.6E-3</v>
      </c>
      <c r="N229">
        <f>CONVERT(O229,"lbf","N")</f>
        <v>447.49109449520626</v>
      </c>
      <c r="O229">
        <v>100.6</v>
      </c>
      <c r="P229">
        <f t="shared" si="3"/>
        <v>0.2289156626506024</v>
      </c>
    </row>
    <row r="230" spans="1:16" hidden="1" x14ac:dyDescent="0.25">
      <c r="A230">
        <v>0</v>
      </c>
      <c r="B230">
        <v>20000</v>
      </c>
      <c r="C230">
        <f>1.225 * (1 - 0.00000687559 * B230) ^ 4.2561</f>
        <v>0.65267221054298263</v>
      </c>
      <c r="D230">
        <f>E230*(SQRT($C$2/C230))</f>
        <v>246.59995249497723</v>
      </c>
      <c r="E230">
        <v>180</v>
      </c>
      <c r="F230">
        <v>1150</v>
      </c>
      <c r="G230">
        <v>200</v>
      </c>
      <c r="H230">
        <f>CONVERT(G230,"HP","kW")</f>
        <v>149.13997431645407</v>
      </c>
      <c r="I230">
        <v>0.19769999999999999</v>
      </c>
      <c r="J230">
        <v>1.6704000000000001</v>
      </c>
      <c r="K230">
        <v>0.66359999999999997</v>
      </c>
      <c r="L230">
        <v>3.32E-2</v>
      </c>
      <c r="M230">
        <v>3.8999999999999998E-3</v>
      </c>
      <c r="N230">
        <f>CONVERT(O230,"lbf","N")</f>
        <v>232.19716831659812</v>
      </c>
      <c r="O230">
        <v>52.2</v>
      </c>
      <c r="P230">
        <f t="shared" si="3"/>
        <v>0.11746987951807228</v>
      </c>
    </row>
    <row r="231" spans="1:16" hidden="1" x14ac:dyDescent="0.25">
      <c r="A231">
        <v>0</v>
      </c>
      <c r="B231">
        <v>20000</v>
      </c>
      <c r="C231">
        <f>1.225 * (1 - 0.00000687559 * B231) ^ 4.2561</f>
        <v>0.65267221054298263</v>
      </c>
      <c r="D231">
        <f>E231*(SQRT($C$2/C231))</f>
        <v>273.99994721664137</v>
      </c>
      <c r="E231">
        <v>200</v>
      </c>
      <c r="F231">
        <v>1150</v>
      </c>
      <c r="G231">
        <v>200</v>
      </c>
      <c r="H231">
        <f>CONVERT(G231,"HP","kW")</f>
        <v>149.13997431645407</v>
      </c>
      <c r="I231">
        <v>-9.2999999999999992E-3</v>
      </c>
      <c r="J231">
        <v>1.8560000000000001</v>
      </c>
      <c r="K231">
        <v>0.6915</v>
      </c>
      <c r="L231">
        <v>3.32E-2</v>
      </c>
      <c r="M231">
        <v>-2.0000000000000001E-4</v>
      </c>
      <c r="N231">
        <f>CONVERT(O231,"lbf","N")</f>
        <v>-9.7860875535731005</v>
      </c>
      <c r="O231">
        <v>-2.2000000000000002</v>
      </c>
      <c r="P231">
        <f t="shared" si="3"/>
        <v>-6.024096385542169E-3</v>
      </c>
    </row>
    <row r="232" spans="1:16" hidden="1" x14ac:dyDescent="0.25">
      <c r="A232">
        <v>0</v>
      </c>
      <c r="B232">
        <v>20000</v>
      </c>
      <c r="C232">
        <f>1.225 * (1 - 0.00000687559 * B232) ^ 4.2561</f>
        <v>0.65267221054298263</v>
      </c>
      <c r="D232">
        <f>E232*(SQRT($C$2/C232))</f>
        <v>328.7999366599696</v>
      </c>
      <c r="E232">
        <v>240</v>
      </c>
      <c r="F232">
        <v>1150</v>
      </c>
      <c r="G232">
        <v>200</v>
      </c>
      <c r="H232">
        <f>CONVERT(G232,"HP","kW")</f>
        <v>149.13997431645407</v>
      </c>
      <c r="I232">
        <v>-0.83699999999999997</v>
      </c>
      <c r="J232">
        <v>2.2271999999999998</v>
      </c>
      <c r="K232">
        <v>0.75219999999999998</v>
      </c>
      <c r="L232">
        <v>3.32E-2</v>
      </c>
      <c r="M232">
        <v>-1.2500000000000001E-2</v>
      </c>
      <c r="N232">
        <f>CONVERT(O232,"lbf","N")</f>
        <v>-737.959965971717</v>
      </c>
      <c r="O232">
        <v>-165.9</v>
      </c>
      <c r="P232">
        <f t="shared" si="3"/>
        <v>-0.37650602409638556</v>
      </c>
    </row>
    <row r="233" spans="1:16" hidden="1" x14ac:dyDescent="0.25">
      <c r="A233">
        <v>0</v>
      </c>
      <c r="B233">
        <v>20000</v>
      </c>
      <c r="C233">
        <f>1.225 * (1 - 0.00000687559 * B233) ^ 4.2561</f>
        <v>0.65267221054298263</v>
      </c>
      <c r="D233">
        <f>E233*(SQRT($C$2/C233))</f>
        <v>356.19993138163375</v>
      </c>
      <c r="E233">
        <v>260</v>
      </c>
      <c r="F233">
        <v>1150</v>
      </c>
      <c r="G233">
        <v>200</v>
      </c>
      <c r="H233">
        <f>CONVERT(G233,"HP","kW")</f>
        <v>149.13997431645407</v>
      </c>
      <c r="I233">
        <v>0</v>
      </c>
      <c r="J233">
        <v>2.4127999999999998</v>
      </c>
      <c r="K233">
        <v>0.78449999999999998</v>
      </c>
      <c r="L233">
        <v>3.32E-2</v>
      </c>
      <c r="M233">
        <v>-2.0400000000000001E-2</v>
      </c>
      <c r="N233">
        <f>CONVERT(O233,"lbf","N")</f>
        <v>-1209.916279350856</v>
      </c>
      <c r="O233">
        <v>-272</v>
      </c>
      <c r="P233">
        <f t="shared" si="3"/>
        <v>-0.6144578313253013</v>
      </c>
    </row>
    <row r="234" spans="1:16" hidden="1" x14ac:dyDescent="0.25">
      <c r="A234">
        <v>0</v>
      </c>
      <c r="B234">
        <v>20000</v>
      </c>
      <c r="C234">
        <f>1.225 * (1 - 0.00000687559 * B234) ^ 4.2561</f>
        <v>0.65267221054298263</v>
      </c>
      <c r="D234">
        <f>E234*(SQRT($C$2/C234))</f>
        <v>54.799989443328272</v>
      </c>
      <c r="E234">
        <v>40</v>
      </c>
      <c r="F234">
        <v>1150</v>
      </c>
      <c r="G234">
        <v>200</v>
      </c>
      <c r="H234">
        <f>CONVERT(G234,"HP","kW")</f>
        <v>149.13997431645407</v>
      </c>
      <c r="I234">
        <v>0.35010000000000002</v>
      </c>
      <c r="J234">
        <v>0.37119999999999997</v>
      </c>
      <c r="K234">
        <v>0.53569999999999995</v>
      </c>
      <c r="L234">
        <v>3.3300000000000003E-2</v>
      </c>
      <c r="M234">
        <v>3.1399999999999997E-2</v>
      </c>
      <c r="N234">
        <f>CONVERT(O234,"lbf","N")</f>
        <v>1851.7946584329461</v>
      </c>
      <c r="O234">
        <v>416.3</v>
      </c>
      <c r="P234">
        <f t="shared" si="3"/>
        <v>0.94294294294294279</v>
      </c>
    </row>
    <row r="235" spans="1:16" hidden="1" x14ac:dyDescent="0.25">
      <c r="A235">
        <v>0</v>
      </c>
      <c r="B235">
        <v>20000</v>
      </c>
      <c r="C235">
        <f>1.225 * (1 - 0.00000687559 * B235) ^ 4.2561</f>
        <v>0.65267221054298263</v>
      </c>
      <c r="D235">
        <f>E235*(SQRT($C$2/C235))</f>
        <v>136.99997360832069</v>
      </c>
      <c r="E235">
        <v>100</v>
      </c>
      <c r="F235">
        <v>1150</v>
      </c>
      <c r="G235">
        <v>200</v>
      </c>
      <c r="H235">
        <f>CONVERT(G235,"HP","kW")</f>
        <v>149.13997431645407</v>
      </c>
      <c r="I235">
        <v>0.43230000000000002</v>
      </c>
      <c r="J235">
        <v>0.92800000000000005</v>
      </c>
      <c r="K235">
        <v>0.5736</v>
      </c>
      <c r="L235">
        <v>3.3300000000000003E-2</v>
      </c>
      <c r="M235">
        <v>1.55E-2</v>
      </c>
      <c r="N235">
        <f>CONVERT(O235,"lbf","N")</f>
        <v>914.99918625908481</v>
      </c>
      <c r="O235">
        <v>205.7</v>
      </c>
      <c r="P235">
        <f t="shared" si="3"/>
        <v>0.46546546546546541</v>
      </c>
    </row>
    <row r="236" spans="1:16" hidden="1" x14ac:dyDescent="0.25">
      <c r="A236">
        <v>0</v>
      </c>
      <c r="B236">
        <v>20000</v>
      </c>
      <c r="C236">
        <f>1.225 * (1 - 0.00000687559 * B236) ^ 4.2561</f>
        <v>0.65267221054298263</v>
      </c>
      <c r="D236">
        <f>E236*(SQRT($C$2/C236))</f>
        <v>191.79996305164894</v>
      </c>
      <c r="E236">
        <v>140</v>
      </c>
      <c r="F236">
        <v>1150</v>
      </c>
      <c r="G236">
        <v>200</v>
      </c>
      <c r="H236">
        <f>CONVERT(G236,"HP","kW")</f>
        <v>149.13997431645407</v>
      </c>
      <c r="I236">
        <v>0.40079999999999999</v>
      </c>
      <c r="J236">
        <v>1.2991999999999999</v>
      </c>
      <c r="K236">
        <v>0.61380000000000001</v>
      </c>
      <c r="L236">
        <v>3.3300000000000003E-2</v>
      </c>
      <c r="M236">
        <v>1.03E-2</v>
      </c>
      <c r="N236">
        <f>CONVERT(O236,"lbf","N")</f>
        <v>605.84778399848005</v>
      </c>
      <c r="O236">
        <v>136.19999999999999</v>
      </c>
      <c r="P236">
        <f t="shared" si="3"/>
        <v>0.30930930930930928</v>
      </c>
    </row>
    <row r="237" spans="1:16" hidden="1" x14ac:dyDescent="0.25">
      <c r="A237">
        <v>0</v>
      </c>
      <c r="B237">
        <v>20000</v>
      </c>
      <c r="C237">
        <f>1.225 * (1 - 0.00000687559 * B237) ^ 4.2561</f>
        <v>0.65267221054298263</v>
      </c>
      <c r="D237">
        <f>E237*(SQRT($C$2/C237))</f>
        <v>301.39994193830552</v>
      </c>
      <c r="E237">
        <v>220</v>
      </c>
      <c r="F237">
        <v>1150</v>
      </c>
      <c r="G237">
        <v>200</v>
      </c>
      <c r="H237">
        <f>CONVERT(G237,"HP","kW")</f>
        <v>149.13997431645407</v>
      </c>
      <c r="I237">
        <v>-0.36009999999999998</v>
      </c>
      <c r="J237">
        <v>2.0415999999999999</v>
      </c>
      <c r="K237">
        <v>0.72109999999999996</v>
      </c>
      <c r="L237">
        <v>3.3300000000000003E-2</v>
      </c>
      <c r="M237">
        <v>-5.8999999999999999E-3</v>
      </c>
      <c r="N237">
        <f>CONVERT(O237,"lbf","N")</f>
        <v>-346.51646382879301</v>
      </c>
      <c r="O237">
        <v>-77.900000000000006</v>
      </c>
      <c r="P237">
        <f t="shared" si="3"/>
        <v>-0.17717717717717715</v>
      </c>
    </row>
    <row r="238" spans="1:16" hidden="1" x14ac:dyDescent="0.25">
      <c r="A238">
        <v>0</v>
      </c>
      <c r="B238">
        <v>25000</v>
      </c>
      <c r="C238">
        <f>1.225 * (1 - 0.00000687559 * B238) ^ 4.2561</f>
        <v>0.54892259437885793</v>
      </c>
      <c r="D238">
        <f>E238*(SQRT($C$2/C238))</f>
        <v>358.52853986184806</v>
      </c>
      <c r="E238">
        <v>240</v>
      </c>
      <c r="F238">
        <v>1215</v>
      </c>
      <c r="G238">
        <v>200</v>
      </c>
      <c r="H238">
        <f>CONVERT(G238,"HP","kW")</f>
        <v>149.13997431645407</v>
      </c>
      <c r="I238">
        <v>0</v>
      </c>
      <c r="J238">
        <v>2.2986</v>
      </c>
      <c r="K238">
        <v>0.82430000000000003</v>
      </c>
      <c r="L238">
        <v>3.3399999999999999E-2</v>
      </c>
      <c r="M238">
        <v>-2.3400000000000001E-2</v>
      </c>
      <c r="N238">
        <f>CONVERT(O238,"lbf","N")</f>
        <v>-1301.9944667867483</v>
      </c>
      <c r="O238">
        <v>-292.7</v>
      </c>
      <c r="P238">
        <f t="shared" si="3"/>
        <v>-0.70059880239520966</v>
      </c>
    </row>
    <row r="239" spans="1:16" hidden="1" x14ac:dyDescent="0.25">
      <c r="A239">
        <v>0</v>
      </c>
      <c r="B239">
        <v>25000</v>
      </c>
      <c r="C239">
        <f>1.225 * (1 - 0.00000687559 * B239) ^ 4.2561</f>
        <v>0.54892259437885793</v>
      </c>
      <c r="D239">
        <f>E239*(SQRT($C$2/C239))</f>
        <v>0</v>
      </c>
      <c r="E239">
        <v>0</v>
      </c>
      <c r="F239">
        <v>1215</v>
      </c>
      <c r="G239">
        <v>200</v>
      </c>
      <c r="H239">
        <f>CONVERT(G239,"HP","kW")</f>
        <v>149.13997431645407</v>
      </c>
      <c r="I239">
        <v>0</v>
      </c>
      <c r="J239">
        <v>0</v>
      </c>
      <c r="K239">
        <v>0.56589999999999996</v>
      </c>
      <c r="L239">
        <v>3.3500000000000002E-2</v>
      </c>
      <c r="M239">
        <v>7.8600000000000003E-2</v>
      </c>
      <c r="N239">
        <f>CONVERT(O239,"lbf","N")</f>
        <v>4353.9193170169774</v>
      </c>
      <c r="O239">
        <v>978.8</v>
      </c>
      <c r="P239">
        <f t="shared" si="3"/>
        <v>2.3462686567164179</v>
      </c>
    </row>
    <row r="240" spans="1:16" hidden="1" x14ac:dyDescent="0.25">
      <c r="A240">
        <v>0</v>
      </c>
      <c r="B240">
        <v>25000</v>
      </c>
      <c r="C240">
        <f>1.225 * (1 - 0.00000687559 * B240) ^ 4.2561</f>
        <v>0.54892259437885793</v>
      </c>
      <c r="D240">
        <f>E240*(SQRT($C$2/C240))</f>
        <v>29.877378321820672</v>
      </c>
      <c r="E240">
        <v>20</v>
      </c>
      <c r="F240">
        <v>1215</v>
      </c>
      <c r="G240">
        <v>200</v>
      </c>
      <c r="H240">
        <f>CONVERT(G240,"HP","kW")</f>
        <v>149.13997431645407</v>
      </c>
      <c r="I240">
        <v>0.29809999999999998</v>
      </c>
      <c r="J240">
        <v>0.19159999999999999</v>
      </c>
      <c r="K240">
        <v>0.57099999999999995</v>
      </c>
      <c r="L240">
        <v>3.3500000000000002E-2</v>
      </c>
      <c r="M240">
        <v>5.2200000000000003E-2</v>
      </c>
      <c r="N240">
        <f>CONVERT(O240,"lbf","N")</f>
        <v>2892.2336942423772</v>
      </c>
      <c r="O240">
        <v>650.20000000000005</v>
      </c>
      <c r="P240">
        <f t="shared" si="3"/>
        <v>1.5582089552238807</v>
      </c>
    </row>
    <row r="241" spans="1:16" hidden="1" x14ac:dyDescent="0.25">
      <c r="A241">
        <v>0</v>
      </c>
      <c r="B241">
        <v>25000</v>
      </c>
      <c r="C241">
        <f>1.225 * (1 - 0.00000687559 * B241) ^ 4.2561</f>
        <v>0.54892259437885793</v>
      </c>
      <c r="D241">
        <f>E241*(SQRT($C$2/C241))</f>
        <v>59.754756643641343</v>
      </c>
      <c r="E241">
        <v>40</v>
      </c>
      <c r="F241">
        <v>1215</v>
      </c>
      <c r="G241">
        <v>200</v>
      </c>
      <c r="H241">
        <f>CONVERT(G241,"HP","kW")</f>
        <v>149.13997431645407</v>
      </c>
      <c r="I241">
        <v>0.30890000000000001</v>
      </c>
      <c r="J241">
        <v>0.3831</v>
      </c>
      <c r="K241">
        <v>0.57820000000000005</v>
      </c>
      <c r="L241">
        <v>3.3500000000000002E-2</v>
      </c>
      <c r="M241">
        <v>2.7E-2</v>
      </c>
      <c r="N241">
        <f>CONVERT(O241,"lbf","N")</f>
        <v>1499.0506843427884</v>
      </c>
      <c r="O241">
        <v>337</v>
      </c>
      <c r="P241">
        <f t="shared" si="3"/>
        <v>0.80597014925373134</v>
      </c>
    </row>
    <row r="242" spans="1:16" hidden="1" x14ac:dyDescent="0.25">
      <c r="A242">
        <v>0</v>
      </c>
      <c r="B242">
        <v>25000</v>
      </c>
      <c r="C242">
        <f>1.225 * (1 - 0.00000687559 * B242) ^ 4.2561</f>
        <v>0.54892259437885793</v>
      </c>
      <c r="D242">
        <f>E242*(SQRT($C$2/C242))</f>
        <v>89.632134965462015</v>
      </c>
      <c r="E242">
        <v>60</v>
      </c>
      <c r="F242">
        <v>1215</v>
      </c>
      <c r="G242">
        <v>200</v>
      </c>
      <c r="H242">
        <f>CONVERT(G242,"HP","kW")</f>
        <v>149.13997431645407</v>
      </c>
      <c r="I242">
        <v>0.33679999999999999</v>
      </c>
      <c r="J242">
        <v>0.57469999999999999</v>
      </c>
      <c r="K242">
        <v>0.58889999999999998</v>
      </c>
      <c r="L242">
        <v>3.3500000000000002E-2</v>
      </c>
      <c r="M242">
        <v>1.9599999999999999E-2</v>
      </c>
      <c r="N242">
        <f>CONVERT(O242,"lbf","N")</f>
        <v>1089.3694735772965</v>
      </c>
      <c r="O242">
        <v>244.9</v>
      </c>
      <c r="P242">
        <f t="shared" si="3"/>
        <v>0.58507462686567158</v>
      </c>
    </row>
    <row r="243" spans="1:16" hidden="1" x14ac:dyDescent="0.25">
      <c r="A243">
        <v>0</v>
      </c>
      <c r="B243">
        <v>25000</v>
      </c>
      <c r="C243">
        <f>1.225 * (1 - 0.00000687559 * B243) ^ 4.2561</f>
        <v>0.54892259437885793</v>
      </c>
      <c r="D243">
        <f>E243*(SQRT($C$2/C243))</f>
        <v>119.50951328728269</v>
      </c>
      <c r="E243">
        <v>80</v>
      </c>
      <c r="F243">
        <v>1215</v>
      </c>
      <c r="G243">
        <v>200</v>
      </c>
      <c r="H243">
        <f>CONVERT(G243,"HP","kW")</f>
        <v>149.13997431645407</v>
      </c>
      <c r="I243">
        <v>0.373</v>
      </c>
      <c r="J243">
        <v>0.76619999999999999</v>
      </c>
      <c r="K243">
        <v>0.60340000000000005</v>
      </c>
      <c r="L243">
        <v>3.3500000000000002E-2</v>
      </c>
      <c r="M243">
        <v>1.6299999999999999E-2</v>
      </c>
      <c r="N243">
        <f>CONVERT(O243,"lbf","N")</f>
        <v>904.76827654398573</v>
      </c>
      <c r="O243">
        <v>203.4</v>
      </c>
      <c r="P243">
        <f t="shared" si="3"/>
        <v>0.48656716417910439</v>
      </c>
    </row>
    <row r="244" spans="1:16" hidden="1" x14ac:dyDescent="0.25">
      <c r="A244">
        <v>0</v>
      </c>
      <c r="B244">
        <v>25000</v>
      </c>
      <c r="C244">
        <f>1.225 * (1 - 0.00000687559 * B244) ^ 4.2561</f>
        <v>0.54892259437885793</v>
      </c>
      <c r="D244">
        <f>E244*(SQRT($C$2/C244))</f>
        <v>149.38689160910337</v>
      </c>
      <c r="E244">
        <v>100</v>
      </c>
      <c r="F244">
        <v>1215</v>
      </c>
      <c r="G244">
        <v>200</v>
      </c>
      <c r="H244">
        <f>CONVERT(G244,"HP","kW")</f>
        <v>149.13997431645407</v>
      </c>
      <c r="I244">
        <v>0.3805</v>
      </c>
      <c r="J244">
        <v>0.95779999999999998</v>
      </c>
      <c r="K244">
        <v>0.62150000000000005</v>
      </c>
      <c r="L244">
        <v>3.3500000000000002E-2</v>
      </c>
      <c r="M244">
        <v>1.3299999999999999E-2</v>
      </c>
      <c r="N244">
        <f>CONVERT(O244,"lbf","N")</f>
        <v>738.40478813324307</v>
      </c>
      <c r="O244">
        <v>166</v>
      </c>
      <c r="P244">
        <f t="shared" si="3"/>
        <v>0.39701492537313426</v>
      </c>
    </row>
    <row r="245" spans="1:16" hidden="1" x14ac:dyDescent="0.25">
      <c r="A245">
        <v>0</v>
      </c>
      <c r="B245">
        <v>25000</v>
      </c>
      <c r="C245">
        <f>1.225 * (1 - 0.00000687559 * B245) ^ 4.2561</f>
        <v>0.54892259437885793</v>
      </c>
      <c r="D245">
        <f>E245*(SQRT($C$2/C245))</f>
        <v>179.26426993092403</v>
      </c>
      <c r="E245">
        <v>120</v>
      </c>
      <c r="F245">
        <v>1215</v>
      </c>
      <c r="G245">
        <v>200</v>
      </c>
      <c r="H245">
        <f>CONVERT(G245,"HP","kW")</f>
        <v>149.13997431645407</v>
      </c>
      <c r="I245">
        <v>0.3352</v>
      </c>
      <c r="J245">
        <v>1.1493</v>
      </c>
      <c r="K245">
        <v>0.64290000000000003</v>
      </c>
      <c r="L245">
        <v>3.3500000000000002E-2</v>
      </c>
      <c r="M245">
        <v>9.7999999999999997E-3</v>
      </c>
      <c r="N245">
        <f>CONVERT(O245,"lbf","N")</f>
        <v>542.238214900255</v>
      </c>
      <c r="O245">
        <v>121.9</v>
      </c>
      <c r="P245">
        <f t="shared" si="3"/>
        <v>0.29253731343283579</v>
      </c>
    </row>
    <row r="246" spans="1:16" hidden="1" x14ac:dyDescent="0.25">
      <c r="A246">
        <v>0</v>
      </c>
      <c r="B246">
        <v>25000</v>
      </c>
      <c r="C246">
        <f>1.225 * (1 - 0.00000687559 * B246) ^ 4.2561</f>
        <v>0.54892259437885793</v>
      </c>
      <c r="D246">
        <f>E246*(SQRT($C$2/C246))</f>
        <v>209.14164825274472</v>
      </c>
      <c r="E246">
        <v>140</v>
      </c>
      <c r="F246">
        <v>1215</v>
      </c>
      <c r="G246">
        <v>200</v>
      </c>
      <c r="H246">
        <f>CONVERT(G246,"HP","kW")</f>
        <v>149.13997431645407</v>
      </c>
      <c r="I246">
        <v>0.25369999999999998</v>
      </c>
      <c r="J246">
        <v>1.3409</v>
      </c>
      <c r="K246">
        <v>0.66739999999999999</v>
      </c>
      <c r="L246">
        <v>3.3500000000000002E-2</v>
      </c>
      <c r="M246">
        <v>6.3E-3</v>
      </c>
      <c r="N246">
        <f>CONVERT(O246,"lbf","N")</f>
        <v>351.40950760557951</v>
      </c>
      <c r="O246">
        <v>79</v>
      </c>
      <c r="P246">
        <f t="shared" si="3"/>
        <v>0.18805970149253731</v>
      </c>
    </row>
    <row r="247" spans="1:16" hidden="1" x14ac:dyDescent="0.25">
      <c r="A247">
        <v>0</v>
      </c>
      <c r="B247">
        <v>25000</v>
      </c>
      <c r="C247">
        <f>1.225 * (1 - 0.00000687559 * B247) ^ 4.2561</f>
        <v>0.54892259437885793</v>
      </c>
      <c r="D247">
        <f>E247*(SQRT($C$2/C247))</f>
        <v>239.01902657456537</v>
      </c>
      <c r="E247">
        <v>160</v>
      </c>
      <c r="F247">
        <v>1215</v>
      </c>
      <c r="G247">
        <v>200</v>
      </c>
      <c r="H247">
        <f>CONVERT(G247,"HP","kW")</f>
        <v>149.13997431645407</v>
      </c>
      <c r="I247">
        <v>9.3799999999999994E-2</v>
      </c>
      <c r="J247">
        <v>1.5324</v>
      </c>
      <c r="K247">
        <v>0.69450000000000001</v>
      </c>
      <c r="L247">
        <v>3.3500000000000002E-2</v>
      </c>
      <c r="M247">
        <v>2.0999999999999999E-3</v>
      </c>
      <c r="N247">
        <f>CONVERT(O247,"lbf","N")</f>
        <v>113.87447335066881</v>
      </c>
      <c r="O247">
        <v>25.6</v>
      </c>
      <c r="P247">
        <f t="shared" si="3"/>
        <v>6.2686567164179099E-2</v>
      </c>
    </row>
    <row r="248" spans="1:16" hidden="1" x14ac:dyDescent="0.25">
      <c r="A248">
        <v>0</v>
      </c>
      <c r="B248">
        <v>25000</v>
      </c>
      <c r="C248">
        <f>1.225 * (1 - 0.00000687559 * B248) ^ 4.2561</f>
        <v>0.54892259437885793</v>
      </c>
      <c r="D248">
        <f>E248*(SQRT($C$2/C248))</f>
        <v>268.89640489638606</v>
      </c>
      <c r="E248">
        <v>180</v>
      </c>
      <c r="F248">
        <v>1215</v>
      </c>
      <c r="G248">
        <v>200</v>
      </c>
      <c r="H248">
        <f>CONVERT(G248,"HP","kW")</f>
        <v>149.13997431645407</v>
      </c>
      <c r="I248">
        <v>-0.18099999999999999</v>
      </c>
      <c r="J248">
        <v>1.724</v>
      </c>
      <c r="K248">
        <v>0.72399999999999998</v>
      </c>
      <c r="L248">
        <v>3.3500000000000002E-2</v>
      </c>
      <c r="M248">
        <v>-3.5000000000000001E-3</v>
      </c>
      <c r="N248">
        <f>CONVERT(O248,"lbf","N")</f>
        <v>-195.27692890993595</v>
      </c>
      <c r="O248">
        <v>-43.9</v>
      </c>
      <c r="P248">
        <f t="shared" si="3"/>
        <v>-0.1044776119402985</v>
      </c>
    </row>
    <row r="249" spans="1:16" hidden="1" x14ac:dyDescent="0.25">
      <c r="A249">
        <v>0</v>
      </c>
      <c r="B249">
        <v>25000</v>
      </c>
      <c r="C249">
        <f>1.225 * (1 - 0.00000687559 * B249) ^ 4.2561</f>
        <v>0.54892259437885793</v>
      </c>
      <c r="D249">
        <f>E249*(SQRT($C$2/C249))</f>
        <v>298.77378321820675</v>
      </c>
      <c r="E249">
        <v>200</v>
      </c>
      <c r="F249">
        <v>1215</v>
      </c>
      <c r="G249">
        <v>200</v>
      </c>
      <c r="H249">
        <f>CONVERT(G249,"HP","kW")</f>
        <v>149.13997431645407</v>
      </c>
      <c r="I249">
        <v>-0.53259999999999996</v>
      </c>
      <c r="J249">
        <v>1.9155</v>
      </c>
      <c r="K249">
        <v>0.75570000000000004</v>
      </c>
      <c r="L249">
        <v>3.3500000000000002E-2</v>
      </c>
      <c r="M249">
        <v>-9.2999999999999992E-3</v>
      </c>
      <c r="N249">
        <f>CONVERT(O249,"lbf","N")</f>
        <v>-516.88335169327013</v>
      </c>
      <c r="O249">
        <v>-116.2</v>
      </c>
      <c r="P249">
        <f t="shared" si="3"/>
        <v>-0.27761194029850744</v>
      </c>
    </row>
    <row r="250" spans="1:16" hidden="1" x14ac:dyDescent="0.25">
      <c r="A250">
        <v>0</v>
      </c>
      <c r="B250">
        <v>25000</v>
      </c>
      <c r="C250">
        <f>1.225 * (1 - 0.00000687559 * B250) ^ 4.2561</f>
        <v>0.54892259437885793</v>
      </c>
      <c r="D250">
        <f>E250*(SQRT($C$2/C250))</f>
        <v>328.65116154002743</v>
      </c>
      <c r="E250">
        <v>220</v>
      </c>
      <c r="F250">
        <v>1215</v>
      </c>
      <c r="G250">
        <v>200</v>
      </c>
      <c r="H250">
        <f>CONVERT(G250,"HP","kW")</f>
        <v>149.13997431645407</v>
      </c>
      <c r="I250">
        <v>0</v>
      </c>
      <c r="J250">
        <v>2.1071</v>
      </c>
      <c r="K250">
        <v>0.78920000000000001</v>
      </c>
      <c r="L250">
        <v>3.3500000000000002E-2</v>
      </c>
      <c r="M250">
        <v>-1.6E-2</v>
      </c>
      <c r="N250">
        <f>CONVERT(O250,"lbf","N")</f>
        <v>-888.30985656752182</v>
      </c>
      <c r="O250">
        <v>-199.7</v>
      </c>
      <c r="P250">
        <f t="shared" si="3"/>
        <v>-0.47761194029850745</v>
      </c>
    </row>
    <row r="251" spans="1:16" hidden="1" x14ac:dyDescent="0.25">
      <c r="A251">
        <v>0</v>
      </c>
      <c r="B251">
        <v>25000</v>
      </c>
      <c r="C251">
        <f>1.225 * (1 - 0.00000687559 * B251) ^ 4.2561</f>
        <v>0.54892259437885793</v>
      </c>
      <c r="D251">
        <f>E251*(SQRT($C$2/C251))</f>
        <v>388.40591818366875</v>
      </c>
      <c r="E251">
        <v>260</v>
      </c>
      <c r="F251">
        <v>1215</v>
      </c>
      <c r="G251">
        <v>200</v>
      </c>
      <c r="H251">
        <f>CONVERT(G251,"HP","kW")</f>
        <v>149.13997431645407</v>
      </c>
      <c r="I251">
        <v>0</v>
      </c>
      <c r="J251">
        <v>2.4902000000000002</v>
      </c>
      <c r="K251">
        <v>0.86080000000000001</v>
      </c>
      <c r="L251">
        <v>3.3500000000000002E-2</v>
      </c>
      <c r="M251">
        <v>-3.6999999999999998E-2</v>
      </c>
      <c r="N251">
        <f>CONVERT(O251,"lbf","N")</f>
        <v>-2054.6335640888251</v>
      </c>
      <c r="O251">
        <v>-461.9</v>
      </c>
      <c r="P251">
        <f t="shared" si="3"/>
        <v>-1.1044776119402984</v>
      </c>
    </row>
    <row r="252" spans="1:16" hidden="1" x14ac:dyDescent="0.25">
      <c r="A252">
        <v>0</v>
      </c>
      <c r="B252">
        <v>0</v>
      </c>
      <c r="C252">
        <f>1.225 * (1 - 0.00000687559 * B252) ^ 4.2561</f>
        <v>1.2250000000000001</v>
      </c>
      <c r="D252">
        <f>E252*(SQRT($C$2/C252))</f>
        <v>260</v>
      </c>
      <c r="E252">
        <v>260</v>
      </c>
      <c r="F252">
        <v>987</v>
      </c>
      <c r="G252">
        <v>250</v>
      </c>
      <c r="H252">
        <f>CONVERT(G252,"HP","kW")</f>
        <v>186.42496789556756</v>
      </c>
      <c r="I252">
        <v>0.25080000000000002</v>
      </c>
      <c r="J252">
        <v>2.052</v>
      </c>
      <c r="K252">
        <v>0.57609999999999995</v>
      </c>
      <c r="L252">
        <v>3.49E-2</v>
      </c>
      <c r="M252">
        <v>4.3E-3</v>
      </c>
      <c r="N252">
        <f>CONVERT(O252,"lbf","N")</f>
        <v>349.63021895947531</v>
      </c>
      <c r="O252">
        <v>78.599999999999994</v>
      </c>
      <c r="P252">
        <f t="shared" si="3"/>
        <v>0.12320916905444126</v>
      </c>
    </row>
    <row r="253" spans="1:16" hidden="1" x14ac:dyDescent="0.25">
      <c r="A253">
        <v>0</v>
      </c>
      <c r="B253">
        <v>0</v>
      </c>
      <c r="C253">
        <f>1.225 * (1 - 0.00000687559 * B253) ^ 4.2561</f>
        <v>1.2250000000000001</v>
      </c>
      <c r="D253">
        <f>E253*(SQRT($C$2/C253))</f>
        <v>20</v>
      </c>
      <c r="E253">
        <v>20</v>
      </c>
      <c r="F253">
        <v>987</v>
      </c>
      <c r="G253">
        <v>250</v>
      </c>
      <c r="H253">
        <f>CONVERT(G253,"HP","kW")</f>
        <v>186.42496789556756</v>
      </c>
      <c r="I253">
        <v>0.3337</v>
      </c>
      <c r="J253">
        <v>0.1578</v>
      </c>
      <c r="K253">
        <v>0.4209</v>
      </c>
      <c r="L253">
        <v>3.5000000000000003E-2</v>
      </c>
      <c r="M253">
        <v>7.3999999999999996E-2</v>
      </c>
      <c r="N253">
        <f>CONVERT(O253,"lbf","N")</f>
        <v>6046.467641623597</v>
      </c>
      <c r="O253">
        <v>1359.3</v>
      </c>
      <c r="P253">
        <f t="shared" si="3"/>
        <v>2.1142857142857139</v>
      </c>
    </row>
    <row r="254" spans="1:16" hidden="1" x14ac:dyDescent="0.25">
      <c r="A254">
        <v>0</v>
      </c>
      <c r="B254">
        <v>0</v>
      </c>
      <c r="C254">
        <f>1.225 * (1 - 0.00000687559 * B254) ^ 4.2561</f>
        <v>1.2250000000000001</v>
      </c>
      <c r="D254">
        <f>E254*(SQRT($C$2/C254))</f>
        <v>40</v>
      </c>
      <c r="E254">
        <v>40</v>
      </c>
      <c r="F254">
        <v>987</v>
      </c>
      <c r="G254">
        <v>250</v>
      </c>
      <c r="H254">
        <f>CONVERT(G254,"HP","kW")</f>
        <v>186.42496789556756</v>
      </c>
      <c r="I254">
        <v>0.50049999999999994</v>
      </c>
      <c r="J254">
        <v>0.31569999999999998</v>
      </c>
      <c r="K254">
        <v>0.42499999999999999</v>
      </c>
      <c r="L254">
        <v>3.5000000000000003E-2</v>
      </c>
      <c r="M254">
        <v>5.5500000000000001E-2</v>
      </c>
      <c r="N254">
        <f>CONVERT(O254,"lbf","N")</f>
        <v>4534.0722924350275</v>
      </c>
      <c r="O254">
        <v>1019.3</v>
      </c>
      <c r="P254">
        <f t="shared" si="3"/>
        <v>1.5857142857142856</v>
      </c>
    </row>
    <row r="255" spans="1:16" hidden="1" x14ac:dyDescent="0.25">
      <c r="A255">
        <v>0</v>
      </c>
      <c r="B255">
        <v>0</v>
      </c>
      <c r="C255">
        <f>1.225 * (1 - 0.00000687559 * B255) ^ 4.2561</f>
        <v>1.2250000000000001</v>
      </c>
      <c r="D255">
        <f>E255*(SQRT($C$2/C255))</f>
        <v>80</v>
      </c>
      <c r="E255">
        <v>80</v>
      </c>
      <c r="F255">
        <v>987</v>
      </c>
      <c r="G255">
        <v>250</v>
      </c>
      <c r="H255">
        <f>CONVERT(G255,"HP","kW")</f>
        <v>186.42496789556756</v>
      </c>
      <c r="I255">
        <v>0.60860000000000003</v>
      </c>
      <c r="J255">
        <v>0.63139999999999996</v>
      </c>
      <c r="K255">
        <v>0.43809999999999999</v>
      </c>
      <c r="L255">
        <v>3.5000000000000003E-2</v>
      </c>
      <c r="M255">
        <v>3.3700000000000001E-2</v>
      </c>
      <c r="N255">
        <f>CONVERT(O255,"lbf","N")</f>
        <v>2756.5629349769324</v>
      </c>
      <c r="O255">
        <v>619.70000000000005</v>
      </c>
      <c r="P255">
        <f t="shared" si="3"/>
        <v>0.96285714285714274</v>
      </c>
    </row>
    <row r="256" spans="1:16" hidden="1" x14ac:dyDescent="0.25">
      <c r="A256">
        <v>0</v>
      </c>
      <c r="B256">
        <v>0</v>
      </c>
      <c r="C256">
        <f>1.225 * (1 - 0.00000687559 * B256) ^ 4.2561</f>
        <v>1.2250000000000001</v>
      </c>
      <c r="D256">
        <f>E256*(SQRT($C$2/C256))</f>
        <v>100</v>
      </c>
      <c r="E256">
        <v>100</v>
      </c>
      <c r="F256">
        <v>987</v>
      </c>
      <c r="G256">
        <v>250</v>
      </c>
      <c r="H256">
        <f>CONVERT(G256,"HP","kW")</f>
        <v>186.42496789556756</v>
      </c>
      <c r="I256">
        <v>0.63200000000000001</v>
      </c>
      <c r="J256">
        <v>0.78920000000000001</v>
      </c>
      <c r="K256">
        <v>0.44750000000000001</v>
      </c>
      <c r="L256">
        <v>3.5000000000000003E-2</v>
      </c>
      <c r="M256">
        <v>2.8000000000000001E-2</v>
      </c>
      <c r="N256">
        <f>CONVERT(O256,"lbf","N")</f>
        <v>2290.3893096976312</v>
      </c>
      <c r="O256">
        <v>514.9</v>
      </c>
      <c r="P256">
        <f t="shared" si="3"/>
        <v>0.79999999999999993</v>
      </c>
    </row>
    <row r="257" spans="1:16" hidden="1" x14ac:dyDescent="0.25">
      <c r="A257">
        <v>0</v>
      </c>
      <c r="B257">
        <v>0</v>
      </c>
      <c r="C257">
        <f>1.225 * (1 - 0.00000687559 * B257) ^ 4.2561</f>
        <v>1.2250000000000001</v>
      </c>
      <c r="D257">
        <f>E257*(SQRT($C$2/C257))</f>
        <v>120</v>
      </c>
      <c r="E257">
        <v>120</v>
      </c>
      <c r="F257">
        <v>987</v>
      </c>
      <c r="G257">
        <v>250</v>
      </c>
      <c r="H257">
        <f>CONVERT(G257,"HP","kW")</f>
        <v>186.42496789556756</v>
      </c>
      <c r="I257">
        <v>0.64100000000000001</v>
      </c>
      <c r="J257">
        <v>0.94710000000000005</v>
      </c>
      <c r="K257">
        <v>0.45860000000000001</v>
      </c>
      <c r="L257">
        <v>3.5000000000000003E-2</v>
      </c>
      <c r="M257">
        <v>2.3699999999999999E-2</v>
      </c>
      <c r="N257">
        <f>CONVERT(O257,"lbf","N")</f>
        <v>1935.8660469613694</v>
      </c>
      <c r="O257">
        <v>435.2</v>
      </c>
      <c r="P257">
        <f t="shared" si="3"/>
        <v>0.67714285714285705</v>
      </c>
    </row>
    <row r="258" spans="1:16" hidden="1" x14ac:dyDescent="0.25">
      <c r="A258">
        <v>0</v>
      </c>
      <c r="B258">
        <v>0</v>
      </c>
      <c r="C258">
        <f>1.225 * (1 - 0.00000687559 * B258) ^ 4.2561</f>
        <v>1.2250000000000001</v>
      </c>
      <c r="D258">
        <f>E258*(SQRT($C$2/C258))</f>
        <v>140</v>
      </c>
      <c r="E258">
        <v>140</v>
      </c>
      <c r="F258">
        <v>987</v>
      </c>
      <c r="G258">
        <v>250</v>
      </c>
      <c r="H258">
        <f>CONVERT(G258,"HP","kW")</f>
        <v>186.42496789556756</v>
      </c>
      <c r="I258">
        <v>0.63519999999999999</v>
      </c>
      <c r="J258">
        <v>1.1049</v>
      </c>
      <c r="K258">
        <v>0.47139999999999999</v>
      </c>
      <c r="L258">
        <v>3.5000000000000003E-2</v>
      </c>
      <c r="M258">
        <v>2.01E-2</v>
      </c>
      <c r="N258">
        <f>CONVERT(O258,"lbf","N")</f>
        <v>1644.0627090002808</v>
      </c>
      <c r="O258">
        <v>369.6</v>
      </c>
      <c r="P258">
        <f t="shared" si="3"/>
        <v>0.57428571428571418</v>
      </c>
    </row>
    <row r="259" spans="1:16" hidden="1" x14ac:dyDescent="0.25">
      <c r="A259">
        <v>0</v>
      </c>
      <c r="B259">
        <v>0</v>
      </c>
      <c r="C259">
        <f>1.225 * (1 - 0.00000687559 * B259) ^ 4.2561</f>
        <v>1.2250000000000001</v>
      </c>
      <c r="D259">
        <f>E259*(SQRT($C$2/C259))</f>
        <v>160</v>
      </c>
      <c r="E259">
        <v>160</v>
      </c>
      <c r="F259">
        <v>987</v>
      </c>
      <c r="G259">
        <v>250</v>
      </c>
      <c r="H259">
        <f>CONVERT(G259,"HP","kW")</f>
        <v>186.42496789556756</v>
      </c>
      <c r="I259">
        <v>0.61670000000000003</v>
      </c>
      <c r="J259">
        <v>1.2627999999999999</v>
      </c>
      <c r="K259">
        <v>0.48570000000000002</v>
      </c>
      <c r="L259">
        <v>3.5000000000000003E-2</v>
      </c>
      <c r="M259">
        <v>1.7100000000000001E-2</v>
      </c>
      <c r="N259">
        <f>CONVERT(O259,"lbf","N")</f>
        <v>1396.741587191797</v>
      </c>
      <c r="O259">
        <v>314</v>
      </c>
      <c r="P259">
        <f t="shared" ref="P259:P322" si="4">M259/L259</f>
        <v>0.48857142857142855</v>
      </c>
    </row>
    <row r="260" spans="1:16" hidden="1" x14ac:dyDescent="0.25">
      <c r="A260">
        <v>0</v>
      </c>
      <c r="B260">
        <v>0</v>
      </c>
      <c r="C260">
        <f>1.225 * (1 - 0.00000687559 * B260) ^ 4.2561</f>
        <v>1.2250000000000001</v>
      </c>
      <c r="D260">
        <f>E260*(SQRT($C$2/C260))</f>
        <v>180</v>
      </c>
      <c r="E260">
        <v>180</v>
      </c>
      <c r="F260">
        <v>987</v>
      </c>
      <c r="G260">
        <v>250</v>
      </c>
      <c r="H260">
        <f>CONVERT(G260,"HP","kW")</f>
        <v>186.42496789556756</v>
      </c>
      <c r="I260">
        <v>0.58550000000000002</v>
      </c>
      <c r="J260">
        <v>1.4206000000000001</v>
      </c>
      <c r="K260">
        <v>0.50149999999999995</v>
      </c>
      <c r="L260">
        <v>3.5000000000000003E-2</v>
      </c>
      <c r="M260">
        <v>1.44E-2</v>
      </c>
      <c r="N260">
        <f>CONVERT(O260,"lbf","N")</f>
        <v>1178.7787280440325</v>
      </c>
      <c r="O260">
        <v>265</v>
      </c>
      <c r="P260">
        <f t="shared" si="4"/>
        <v>0.41142857142857137</v>
      </c>
    </row>
    <row r="261" spans="1:16" hidden="1" x14ac:dyDescent="0.25">
      <c r="A261">
        <v>0</v>
      </c>
      <c r="B261">
        <v>0</v>
      </c>
      <c r="C261">
        <f>1.225 * (1 - 0.00000687559 * B261) ^ 4.2561</f>
        <v>1.2250000000000001</v>
      </c>
      <c r="D261">
        <f>E261*(SQRT($C$2/C261))</f>
        <v>200</v>
      </c>
      <c r="E261">
        <v>200</v>
      </c>
      <c r="F261">
        <v>987</v>
      </c>
      <c r="G261">
        <v>250</v>
      </c>
      <c r="H261">
        <f>CONVERT(G261,"HP","kW")</f>
        <v>186.42496789556756</v>
      </c>
      <c r="I261">
        <v>0.53649999999999998</v>
      </c>
      <c r="J261">
        <v>1.5785</v>
      </c>
      <c r="K261">
        <v>0.51849999999999996</v>
      </c>
      <c r="L261">
        <v>3.5000000000000003E-2</v>
      </c>
      <c r="M261">
        <v>1.1900000000000001E-2</v>
      </c>
      <c r="N261">
        <f>CONVERT(O261,"lbf","N")</f>
        <v>971.93642293441917</v>
      </c>
      <c r="O261">
        <v>218.5</v>
      </c>
      <c r="P261">
        <f t="shared" si="4"/>
        <v>0.33999999999999997</v>
      </c>
    </row>
    <row r="262" spans="1:16" hidden="1" x14ac:dyDescent="0.25">
      <c r="A262">
        <v>0</v>
      </c>
      <c r="B262">
        <v>0</v>
      </c>
      <c r="C262">
        <f>1.225 * (1 - 0.00000687559 * B262) ^ 4.2561</f>
        <v>1.2250000000000001</v>
      </c>
      <c r="D262">
        <f>E262*(SQRT($C$2/C262))</f>
        <v>220</v>
      </c>
      <c r="E262">
        <v>220</v>
      </c>
      <c r="F262">
        <v>987</v>
      </c>
      <c r="G262">
        <v>250</v>
      </c>
      <c r="H262">
        <f>CONVERT(G262,"HP","kW")</f>
        <v>186.42496789556756</v>
      </c>
      <c r="I262">
        <v>0.46529999999999999</v>
      </c>
      <c r="J262">
        <v>1.7363</v>
      </c>
      <c r="K262">
        <v>0.53669999999999995</v>
      </c>
      <c r="L262">
        <v>3.5000000000000003E-2</v>
      </c>
      <c r="M262">
        <v>9.4000000000000004E-3</v>
      </c>
      <c r="N262">
        <f>CONVERT(O262,"lbf","N")</f>
        <v>766.42858430938418</v>
      </c>
      <c r="O262">
        <v>172.3</v>
      </c>
      <c r="P262">
        <f t="shared" si="4"/>
        <v>0.26857142857142857</v>
      </c>
    </row>
    <row r="263" spans="1:16" hidden="1" x14ac:dyDescent="0.25">
      <c r="A263">
        <v>0</v>
      </c>
      <c r="B263">
        <v>0</v>
      </c>
      <c r="C263">
        <f>1.225 * (1 - 0.00000687559 * B263) ^ 4.2561</f>
        <v>1.2250000000000001</v>
      </c>
      <c r="D263">
        <f>E263*(SQRT($C$2/C263))</f>
        <v>240</v>
      </c>
      <c r="E263">
        <v>240</v>
      </c>
      <c r="F263">
        <v>987</v>
      </c>
      <c r="G263">
        <v>250</v>
      </c>
      <c r="H263">
        <f>CONVERT(G263,"HP","kW")</f>
        <v>186.42496789556756</v>
      </c>
      <c r="I263">
        <v>0.37230000000000002</v>
      </c>
      <c r="J263">
        <v>1.8942000000000001</v>
      </c>
      <c r="K263">
        <v>0.55589999999999995</v>
      </c>
      <c r="L263">
        <v>3.5000000000000003E-2</v>
      </c>
      <c r="M263">
        <v>6.8999999999999999E-3</v>
      </c>
      <c r="N263">
        <f>CONVERT(O263,"lbf","N")</f>
        <v>562.2552121689273</v>
      </c>
      <c r="O263">
        <v>126.4</v>
      </c>
      <c r="P263">
        <f t="shared" si="4"/>
        <v>0.19714285714285712</v>
      </c>
    </row>
    <row r="264" spans="1:16" hidden="1" x14ac:dyDescent="0.25">
      <c r="A264">
        <v>0</v>
      </c>
      <c r="B264">
        <v>0</v>
      </c>
      <c r="C264">
        <f>1.225 * (1 - 0.00000687559 * B264) ^ 4.2561</f>
        <v>1.2250000000000001</v>
      </c>
      <c r="D264">
        <f>E264*(SQRT($C$2/C264))</f>
        <v>20</v>
      </c>
      <c r="E264">
        <v>20</v>
      </c>
      <c r="F264">
        <v>1150</v>
      </c>
      <c r="G264">
        <v>250</v>
      </c>
      <c r="H264">
        <f>CONVERT(G264,"HP","kW")</f>
        <v>186.42496789556756</v>
      </c>
      <c r="I264" s="2" t="e">
        <f>#REF!</f>
        <v>#REF!</v>
      </c>
      <c r="J264" s="2" t="e">
        <f>#REF!</f>
        <v>#REF!</v>
      </c>
      <c r="K264" s="2" t="e">
        <f>#REF!</f>
        <v>#REF!</v>
      </c>
      <c r="L264" s="2" t="e">
        <f>#REF!</f>
        <v>#REF!</v>
      </c>
      <c r="M264" s="2" t="e">
        <f>#REF!</f>
        <v>#REF!</v>
      </c>
      <c r="N264" t="e">
        <f>CONVERT(O264,"lbf","N")</f>
        <v>#REF!</v>
      </c>
      <c r="O264" s="2" t="e">
        <f>#REF!</f>
        <v>#REF!</v>
      </c>
      <c r="P264" t="e">
        <f t="shared" si="4"/>
        <v>#REF!</v>
      </c>
    </row>
    <row r="265" spans="1:16" hidden="1" x14ac:dyDescent="0.25">
      <c r="A265">
        <v>0</v>
      </c>
      <c r="B265">
        <v>0</v>
      </c>
      <c r="C265">
        <f>1.225 * (1 - 0.00000687559 * B265) ^ 4.2561</f>
        <v>1.2250000000000001</v>
      </c>
      <c r="D265">
        <f>E265*(SQRT($C$2/C265))</f>
        <v>40</v>
      </c>
      <c r="E265">
        <v>40</v>
      </c>
      <c r="F265">
        <v>1150</v>
      </c>
      <c r="G265">
        <v>250</v>
      </c>
      <c r="H265">
        <f>CONVERT(G265,"HP","kW")</f>
        <v>186.42496789556756</v>
      </c>
      <c r="I265" s="2" t="e">
        <f>#REF!</f>
        <v>#REF!</v>
      </c>
      <c r="J265" s="2" t="e">
        <f>#REF!</f>
        <v>#REF!</v>
      </c>
      <c r="K265" s="2" t="e">
        <f>#REF!</f>
        <v>#REF!</v>
      </c>
      <c r="L265" s="2" t="e">
        <f>#REF!</f>
        <v>#REF!</v>
      </c>
      <c r="M265" s="2" t="e">
        <f>#REF!</f>
        <v>#REF!</v>
      </c>
      <c r="N265" t="e">
        <f>CONVERT(O265,"lbf","N")</f>
        <v>#REF!</v>
      </c>
      <c r="O265" s="2" t="e">
        <f>#REF!</f>
        <v>#REF!</v>
      </c>
      <c r="P265" t="e">
        <f t="shared" si="4"/>
        <v>#REF!</v>
      </c>
    </row>
    <row r="266" spans="1:16" hidden="1" x14ac:dyDescent="0.25">
      <c r="A266">
        <v>0</v>
      </c>
      <c r="B266">
        <v>0</v>
      </c>
      <c r="C266">
        <f>1.225 * (1 - 0.00000687559 * B266) ^ 4.2561</f>
        <v>1.2250000000000001</v>
      </c>
      <c r="D266">
        <f>E266*(SQRT($C$2/C266))</f>
        <v>20</v>
      </c>
      <c r="E266">
        <v>20</v>
      </c>
      <c r="F266">
        <v>1215</v>
      </c>
      <c r="G266">
        <v>250</v>
      </c>
      <c r="H266">
        <f>CONVERT(G266,"HP","kW")</f>
        <v>186.42496789556756</v>
      </c>
      <c r="I266" s="2" t="e">
        <f>#REF!</f>
        <v>#REF!</v>
      </c>
      <c r="J266" s="2" t="e">
        <f>#REF!</f>
        <v>#REF!</v>
      </c>
      <c r="K266" s="2" t="e">
        <f>#REF!</f>
        <v>#REF!</v>
      </c>
      <c r="L266" s="2" t="e">
        <f>#REF!</f>
        <v>#REF!</v>
      </c>
      <c r="M266" s="2" t="e">
        <f>#REF!</f>
        <v>#REF!</v>
      </c>
      <c r="N266" t="e">
        <f>CONVERT(O266,"lbf","N")</f>
        <v>#REF!</v>
      </c>
      <c r="O266" s="2" t="e">
        <f>#REF!</f>
        <v>#REF!</v>
      </c>
      <c r="P266" t="e">
        <f t="shared" si="4"/>
        <v>#REF!</v>
      </c>
    </row>
    <row r="267" spans="1:16" hidden="1" x14ac:dyDescent="0.25">
      <c r="A267">
        <v>0</v>
      </c>
      <c r="B267">
        <v>0</v>
      </c>
      <c r="C267">
        <f>1.225 * (1 - 0.00000687559 * B267) ^ 4.2561</f>
        <v>1.2250000000000001</v>
      </c>
      <c r="D267">
        <f>E267*(SQRT($C$2/C267))</f>
        <v>40</v>
      </c>
      <c r="E267">
        <v>40</v>
      </c>
      <c r="F267">
        <v>1215</v>
      </c>
      <c r="G267">
        <v>250</v>
      </c>
      <c r="H267">
        <f>CONVERT(G267,"HP","kW")</f>
        <v>186.42496789556756</v>
      </c>
      <c r="I267" s="2" t="e">
        <f>#REF!</f>
        <v>#REF!</v>
      </c>
      <c r="J267" s="2" t="e">
        <f>#REF!</f>
        <v>#REF!</v>
      </c>
      <c r="K267" s="2" t="e">
        <f>#REF!</f>
        <v>#REF!</v>
      </c>
      <c r="L267" s="2" t="e">
        <f>#REF!</f>
        <v>#REF!</v>
      </c>
      <c r="M267" s="2" t="e">
        <f>#REF!</f>
        <v>#REF!</v>
      </c>
      <c r="N267" t="e">
        <f>CONVERT(O267,"lbf","N")</f>
        <v>#REF!</v>
      </c>
      <c r="O267" s="2" t="e">
        <f>#REF!</f>
        <v>#REF!</v>
      </c>
      <c r="P267" t="e">
        <f t="shared" si="4"/>
        <v>#REF!</v>
      </c>
    </row>
    <row r="268" spans="1:16" hidden="1" x14ac:dyDescent="0.25">
      <c r="A268">
        <v>0</v>
      </c>
      <c r="B268">
        <v>0</v>
      </c>
      <c r="C268">
        <f>1.225 * (1 - 0.00000687559 * B268) ^ 4.2561</f>
        <v>1.2250000000000001</v>
      </c>
      <c r="D268">
        <f>E268*(SQRT($C$2/C268))</f>
        <v>0</v>
      </c>
      <c r="E268">
        <v>0</v>
      </c>
      <c r="F268">
        <v>987</v>
      </c>
      <c r="G268">
        <v>250</v>
      </c>
      <c r="H268">
        <f>CONVERT(G268,"HP","kW")</f>
        <v>186.42496789556756</v>
      </c>
      <c r="I268">
        <v>0</v>
      </c>
      <c r="J268">
        <v>0</v>
      </c>
      <c r="K268">
        <v>0.41770000000000002</v>
      </c>
      <c r="L268">
        <v>3.5099999999999999E-2</v>
      </c>
      <c r="M268">
        <v>9.2600000000000002E-2</v>
      </c>
      <c r="N268">
        <f>CONVERT(O268,"lbf","N")</f>
        <v>7549.076903258594</v>
      </c>
      <c r="O268">
        <v>1697.1</v>
      </c>
      <c r="P268">
        <f t="shared" si="4"/>
        <v>2.6381766381766383</v>
      </c>
    </row>
    <row r="269" spans="1:16" hidden="1" x14ac:dyDescent="0.25">
      <c r="A269">
        <v>0</v>
      </c>
      <c r="B269">
        <v>0</v>
      </c>
      <c r="C269">
        <f>1.225 * (1 - 0.00000687559 * B269) ^ 4.2561</f>
        <v>1.2250000000000001</v>
      </c>
      <c r="D269">
        <f>E269*(SQRT($C$2/C269))</f>
        <v>60</v>
      </c>
      <c r="E269">
        <v>60</v>
      </c>
      <c r="F269">
        <v>987</v>
      </c>
      <c r="G269">
        <v>250</v>
      </c>
      <c r="H269">
        <f>CONVERT(G269,"HP","kW")</f>
        <v>186.42496789556756</v>
      </c>
      <c r="I269">
        <v>0.57050000000000001</v>
      </c>
      <c r="J269">
        <v>0.47349999999999998</v>
      </c>
      <c r="K269">
        <v>0.43070000000000003</v>
      </c>
      <c r="L269">
        <v>3.5099999999999999E-2</v>
      </c>
      <c r="M269">
        <v>4.2200000000000001E-2</v>
      </c>
      <c r="N269">
        <f>CONVERT(O269,"lbf","N")</f>
        <v>3445.5924631807834</v>
      </c>
      <c r="O269">
        <v>774.6</v>
      </c>
      <c r="P269">
        <f t="shared" si="4"/>
        <v>1.2022792022792024</v>
      </c>
    </row>
    <row r="270" spans="1:16" hidden="1" x14ac:dyDescent="0.25">
      <c r="A270">
        <v>0</v>
      </c>
      <c r="B270">
        <v>0</v>
      </c>
      <c r="C270">
        <f>1.225 * (1 - 0.00000687559 * B270) ^ 4.2561</f>
        <v>1.2250000000000001</v>
      </c>
      <c r="D270">
        <f>E270*(SQRT($C$2/C270))</f>
        <v>0</v>
      </c>
      <c r="E270">
        <v>0</v>
      </c>
      <c r="F270">
        <v>1150</v>
      </c>
      <c r="G270">
        <v>250</v>
      </c>
      <c r="H270">
        <f>CONVERT(G270,"HP","kW")</f>
        <v>186.42496789556756</v>
      </c>
      <c r="I270" s="2" t="e">
        <f>#REF!</f>
        <v>#REF!</v>
      </c>
      <c r="J270" s="2" t="e">
        <f>#REF!</f>
        <v>#REF!</v>
      </c>
      <c r="K270" s="2" t="e">
        <f>#REF!</f>
        <v>#REF!</v>
      </c>
      <c r="L270" s="2" t="e">
        <f>#REF!</f>
        <v>#REF!</v>
      </c>
      <c r="M270" s="2" t="e">
        <f>#REF!</f>
        <v>#REF!</v>
      </c>
      <c r="N270" t="e">
        <f>CONVERT(O270,"lbf","N")</f>
        <v>#REF!</v>
      </c>
      <c r="O270" s="2" t="e">
        <f>#REF!</f>
        <v>#REF!</v>
      </c>
      <c r="P270" t="e">
        <f t="shared" si="4"/>
        <v>#REF!</v>
      </c>
    </row>
    <row r="271" spans="1:16" hidden="1" x14ac:dyDescent="0.25">
      <c r="A271">
        <v>0</v>
      </c>
      <c r="B271">
        <v>0</v>
      </c>
      <c r="C271">
        <f>1.225 * (1 - 0.00000687559 * B271) ^ 4.2561</f>
        <v>1.2250000000000001</v>
      </c>
      <c r="D271">
        <f>E271*(SQRT($C$2/C271))</f>
        <v>60</v>
      </c>
      <c r="E271">
        <v>60</v>
      </c>
      <c r="F271">
        <v>1150</v>
      </c>
      <c r="G271">
        <v>250</v>
      </c>
      <c r="H271">
        <f>CONVERT(G271,"HP","kW")</f>
        <v>186.42496789556756</v>
      </c>
      <c r="I271" s="2" t="e">
        <f>#REF!</f>
        <v>#REF!</v>
      </c>
      <c r="J271" s="2" t="e">
        <f>#REF!</f>
        <v>#REF!</v>
      </c>
      <c r="K271" s="2" t="e">
        <f>#REF!</f>
        <v>#REF!</v>
      </c>
      <c r="L271" s="2" t="e">
        <f>#REF!</f>
        <v>#REF!</v>
      </c>
      <c r="M271" s="2" t="e">
        <f>#REF!</f>
        <v>#REF!</v>
      </c>
      <c r="N271" t="e">
        <f>CONVERT(O271,"lbf","N")</f>
        <v>#REF!</v>
      </c>
      <c r="O271" s="2" t="e">
        <f>#REF!</f>
        <v>#REF!</v>
      </c>
      <c r="P271" t="e">
        <f t="shared" si="4"/>
        <v>#REF!</v>
      </c>
    </row>
    <row r="272" spans="1:16" hidden="1" x14ac:dyDescent="0.25">
      <c r="A272" s="4">
        <v>0</v>
      </c>
      <c r="B272" s="4">
        <v>15000</v>
      </c>
      <c r="C272" s="4">
        <f>1.225 * (1 - 0.00000687559 * B272) ^ 4.2561</f>
        <v>0.77079726910167001</v>
      </c>
      <c r="D272" s="4">
        <f>E272*(SQRT($C$2/C272))</f>
        <v>252.13199277533059</v>
      </c>
      <c r="E272" s="4">
        <v>200</v>
      </c>
      <c r="F272" s="4">
        <v>1150</v>
      </c>
      <c r="G272" s="4">
        <v>250</v>
      </c>
      <c r="H272" s="4">
        <f>CONVERT(G272,"HP","kW")</f>
        <v>186.42496789556756</v>
      </c>
      <c r="I272" s="4">
        <v>0.26250000000000001</v>
      </c>
      <c r="J272" s="4">
        <v>1.7079</v>
      </c>
      <c r="K272" s="4">
        <v>0.65620000000000001</v>
      </c>
      <c r="L272" s="4">
        <v>3.5099999999999999E-2</v>
      </c>
      <c r="M272" s="4">
        <v>5.4000000000000003E-3</v>
      </c>
      <c r="N272">
        <f>CONVERT(O272,"lbf","N")</f>
        <v>377.2091929740904</v>
      </c>
      <c r="O272" s="4">
        <v>84.8</v>
      </c>
      <c r="P272">
        <f t="shared" si="4"/>
        <v>0.15384615384615385</v>
      </c>
    </row>
    <row r="273" spans="1:16" hidden="1" x14ac:dyDescent="0.25">
      <c r="A273">
        <v>0</v>
      </c>
      <c r="B273">
        <v>15000</v>
      </c>
      <c r="C273">
        <f>1.225 * (1 - 0.00000687559 * B273) ^ 4.2561</f>
        <v>0.77079726910167001</v>
      </c>
      <c r="D273">
        <f>E273*(SQRT($C$2/C273))</f>
        <v>277.34519205286364</v>
      </c>
      <c r="E273">
        <v>220</v>
      </c>
      <c r="F273">
        <v>1150</v>
      </c>
      <c r="G273">
        <v>250</v>
      </c>
      <c r="H273">
        <f>CONVERT(G273,"HP","kW")</f>
        <v>186.42496789556756</v>
      </c>
      <c r="I273">
        <v>9.1499999999999998E-2</v>
      </c>
      <c r="J273">
        <v>1.8787</v>
      </c>
      <c r="K273">
        <v>0.68159999999999998</v>
      </c>
      <c r="L273">
        <v>3.5099999999999999E-2</v>
      </c>
      <c r="M273">
        <v>1.6999999999999999E-3</v>
      </c>
      <c r="N273">
        <f>CONVERT(O273,"lbf","N")</f>
        <v>119.65716145050746</v>
      </c>
      <c r="O273">
        <v>26.9</v>
      </c>
      <c r="P273">
        <f t="shared" si="4"/>
        <v>4.843304843304843E-2</v>
      </c>
    </row>
    <row r="274" spans="1:16" hidden="1" x14ac:dyDescent="0.25">
      <c r="A274">
        <v>0</v>
      </c>
      <c r="B274">
        <v>0</v>
      </c>
      <c r="C274">
        <f>1.225 * (1 - 0.00000687559 * B274) ^ 4.2561</f>
        <v>1.2250000000000001</v>
      </c>
      <c r="D274">
        <f>E274*(SQRT($C$2/C274))</f>
        <v>0</v>
      </c>
      <c r="E274">
        <v>0</v>
      </c>
      <c r="F274">
        <v>1215</v>
      </c>
      <c r="G274">
        <v>250</v>
      </c>
      <c r="H274">
        <f>CONVERT(G274,"HP","kW")</f>
        <v>186.42496789556756</v>
      </c>
      <c r="I274" s="2" t="e">
        <f>#REF!</f>
        <v>#REF!</v>
      </c>
      <c r="J274" s="2" t="e">
        <f>#REF!</f>
        <v>#REF!</v>
      </c>
      <c r="K274" s="2" t="e">
        <f>#REF!</f>
        <v>#REF!</v>
      </c>
      <c r="L274" s="2" t="e">
        <f>#REF!</f>
        <v>#REF!</v>
      </c>
      <c r="M274" s="2" t="e">
        <f>#REF!</f>
        <v>#REF!</v>
      </c>
      <c r="N274" t="e">
        <f>CONVERT(O274,"lbf","N")</f>
        <v>#REF!</v>
      </c>
      <c r="O274" s="2" t="e">
        <f>#REF!</f>
        <v>#REF!</v>
      </c>
      <c r="P274" t="e">
        <f t="shared" si="4"/>
        <v>#REF!</v>
      </c>
    </row>
    <row r="275" spans="1:16" hidden="1" x14ac:dyDescent="0.25">
      <c r="A275">
        <v>0</v>
      </c>
      <c r="B275">
        <v>0</v>
      </c>
      <c r="C275">
        <f>1.225 * (1 - 0.00000687559 * B275) ^ 4.2561</f>
        <v>1.2250000000000001</v>
      </c>
      <c r="D275">
        <f>E275*(SQRT($C$2/C275))</f>
        <v>60</v>
      </c>
      <c r="E275">
        <v>60</v>
      </c>
      <c r="F275">
        <v>1215</v>
      </c>
      <c r="G275">
        <v>250</v>
      </c>
      <c r="H275">
        <f>CONVERT(G275,"HP","kW")</f>
        <v>186.42496789556756</v>
      </c>
      <c r="I275" s="2" t="e">
        <f>#REF!</f>
        <v>#REF!</v>
      </c>
      <c r="J275" s="2" t="e">
        <f>#REF!</f>
        <v>#REF!</v>
      </c>
      <c r="K275" s="2" t="e">
        <f>#REF!</f>
        <v>#REF!</v>
      </c>
      <c r="L275" s="2" t="e">
        <f>#REF!</f>
        <v>#REF!</v>
      </c>
      <c r="M275" s="2" t="e">
        <f>#REF!</f>
        <v>#REF!</v>
      </c>
      <c r="N275" t="e">
        <f>CONVERT(O275,"lbf","N")</f>
        <v>#REF!</v>
      </c>
      <c r="O275" s="2" t="e">
        <f>#REF!</f>
        <v>#REF!</v>
      </c>
      <c r="P275" t="e">
        <f t="shared" si="4"/>
        <v>#REF!</v>
      </c>
    </row>
    <row r="276" spans="1:16" hidden="1" x14ac:dyDescent="0.25">
      <c r="A276">
        <v>0</v>
      </c>
      <c r="B276">
        <v>20000</v>
      </c>
      <c r="C276">
        <f>1.225 * (1 - 0.00000687559 * B276) ^ 4.2561</f>
        <v>0.65267221054298263</v>
      </c>
      <c r="D276">
        <f>E276*(SQRT($C$2/C276))</f>
        <v>246.59995249497723</v>
      </c>
      <c r="E276">
        <v>180</v>
      </c>
      <c r="F276">
        <v>1215</v>
      </c>
      <c r="G276">
        <v>250</v>
      </c>
      <c r="H276">
        <f>CONVERT(G276,"HP","kW")</f>
        <v>186.42496789556756</v>
      </c>
      <c r="I276">
        <v>0.18509999999999999</v>
      </c>
      <c r="J276">
        <v>1.581</v>
      </c>
      <c r="K276">
        <v>0.68769999999999998</v>
      </c>
      <c r="L276">
        <v>3.5099999999999999E-2</v>
      </c>
      <c r="M276">
        <v>4.1000000000000003E-3</v>
      </c>
      <c r="N276">
        <f>CONVERT(O276,"lbf","N")</f>
        <v>272.23116285394264</v>
      </c>
      <c r="O276">
        <v>61.2</v>
      </c>
      <c r="P276">
        <f t="shared" si="4"/>
        <v>0.11680911680911682</v>
      </c>
    </row>
    <row r="277" spans="1:16" hidden="1" x14ac:dyDescent="0.25">
      <c r="A277">
        <v>0</v>
      </c>
      <c r="B277">
        <v>15000</v>
      </c>
      <c r="C277">
        <f>1.225 * (1 - 0.00000687559 * B277) ^ 4.2561</f>
        <v>0.77079726910167001</v>
      </c>
      <c r="D277">
        <f>E277*(SQRT($C$2/C277))</f>
        <v>0</v>
      </c>
      <c r="E277">
        <v>0</v>
      </c>
      <c r="F277">
        <v>1150</v>
      </c>
      <c r="G277">
        <v>250</v>
      </c>
      <c r="H277">
        <f>CONVERT(G277,"HP","kW")</f>
        <v>186.42496789556756</v>
      </c>
      <c r="I277">
        <v>0</v>
      </c>
      <c r="J277">
        <v>0</v>
      </c>
      <c r="K277">
        <v>0.51419999999999999</v>
      </c>
      <c r="L277">
        <v>3.5200000000000002E-2</v>
      </c>
      <c r="M277">
        <v>8.7999999999999995E-2</v>
      </c>
      <c r="N277">
        <f>CONVERT(O277,"lbf","N")</f>
        <v>6138.1010068979649</v>
      </c>
      <c r="O277">
        <v>1379.9</v>
      </c>
      <c r="P277">
        <f t="shared" si="4"/>
        <v>2.4999999999999996</v>
      </c>
    </row>
    <row r="278" spans="1:16" hidden="1" x14ac:dyDescent="0.25">
      <c r="A278">
        <v>0</v>
      </c>
      <c r="B278">
        <v>15000</v>
      </c>
      <c r="C278">
        <f>1.225 * (1 - 0.00000687559 * B278) ^ 4.2561</f>
        <v>0.77079726910167001</v>
      </c>
      <c r="D278">
        <f>E278*(SQRT($C$2/C278))</f>
        <v>25.213199277533057</v>
      </c>
      <c r="E278">
        <v>20</v>
      </c>
      <c r="F278">
        <v>1150</v>
      </c>
      <c r="G278">
        <v>250</v>
      </c>
      <c r="H278">
        <f>CONVERT(G278,"HP","kW")</f>
        <v>186.42496789556756</v>
      </c>
      <c r="I278">
        <v>0.31840000000000002</v>
      </c>
      <c r="J278">
        <v>0.17080000000000001</v>
      </c>
      <c r="K278">
        <v>0.51839999999999997</v>
      </c>
      <c r="L278">
        <v>3.5200000000000002E-2</v>
      </c>
      <c r="M278">
        <v>6.5600000000000006E-2</v>
      </c>
      <c r="N278">
        <f>CONVERT(O278,"lbf","N")</f>
        <v>4576.3303977800024</v>
      </c>
      <c r="O278">
        <v>1028.8</v>
      </c>
      <c r="P278">
        <f t="shared" si="4"/>
        <v>1.8636363636363638</v>
      </c>
    </row>
    <row r="279" spans="1:16" hidden="1" x14ac:dyDescent="0.25">
      <c r="A279">
        <v>0</v>
      </c>
      <c r="B279">
        <v>15000</v>
      </c>
      <c r="C279">
        <f>1.225 * (1 - 0.00000687559 * B279) ^ 4.2561</f>
        <v>0.77079726910167001</v>
      </c>
      <c r="D279">
        <f>E279*(SQRT($C$2/C279))</f>
        <v>50.426398555066115</v>
      </c>
      <c r="E279">
        <v>40</v>
      </c>
      <c r="F279">
        <v>1150</v>
      </c>
      <c r="G279">
        <v>250</v>
      </c>
      <c r="H279">
        <f>CONVERT(G279,"HP","kW")</f>
        <v>186.42496789556756</v>
      </c>
      <c r="I279">
        <v>0.4113</v>
      </c>
      <c r="J279">
        <v>0.34160000000000001</v>
      </c>
      <c r="K279">
        <v>0.52410000000000001</v>
      </c>
      <c r="L279">
        <v>3.5200000000000002E-2</v>
      </c>
      <c r="M279">
        <v>4.24E-2</v>
      </c>
      <c r="N279">
        <f>CONVERT(O279,"lbf","N")</f>
        <v>2955.8432633406023</v>
      </c>
      <c r="O279">
        <v>664.5</v>
      </c>
      <c r="P279">
        <f t="shared" si="4"/>
        <v>1.2045454545454546</v>
      </c>
    </row>
    <row r="280" spans="1:16" hidden="1" x14ac:dyDescent="0.25">
      <c r="A280">
        <v>0</v>
      </c>
      <c r="B280">
        <v>15000</v>
      </c>
      <c r="C280">
        <f>1.225 * (1 - 0.00000687559 * B280) ^ 4.2561</f>
        <v>0.77079726910167001</v>
      </c>
      <c r="D280">
        <f>E280*(SQRT($C$2/C280))</f>
        <v>75.639597832599179</v>
      </c>
      <c r="E280">
        <v>60</v>
      </c>
      <c r="F280">
        <v>1150</v>
      </c>
      <c r="G280">
        <v>250</v>
      </c>
      <c r="H280">
        <f>CONVERT(G280,"HP","kW")</f>
        <v>186.42496789556756</v>
      </c>
      <c r="I280">
        <v>0.43380000000000002</v>
      </c>
      <c r="J280">
        <v>0.51239999999999997</v>
      </c>
      <c r="K280">
        <v>0.53200000000000003</v>
      </c>
      <c r="L280">
        <v>3.5200000000000002E-2</v>
      </c>
      <c r="M280">
        <v>2.98E-2</v>
      </c>
      <c r="N280">
        <f>CONVERT(O280,"lbf","N")</f>
        <v>2078.6539608112316</v>
      </c>
      <c r="O280">
        <v>467.3</v>
      </c>
      <c r="P280">
        <f t="shared" si="4"/>
        <v>0.84659090909090906</v>
      </c>
    </row>
    <row r="281" spans="1:16" hidden="1" x14ac:dyDescent="0.25">
      <c r="A281">
        <v>0</v>
      </c>
      <c r="B281">
        <v>15000</v>
      </c>
      <c r="C281">
        <f>1.225 * (1 - 0.00000687559 * B281) ^ 4.2561</f>
        <v>0.77079726910167001</v>
      </c>
      <c r="D281">
        <f>E281*(SQRT($C$2/C281))</f>
        <v>100.85279711013223</v>
      </c>
      <c r="E281">
        <v>80</v>
      </c>
      <c r="F281">
        <v>1150</v>
      </c>
      <c r="G281">
        <v>250</v>
      </c>
      <c r="H281">
        <f>CONVERT(G281,"HP","kW")</f>
        <v>186.42496789556756</v>
      </c>
      <c r="I281">
        <v>0.46410000000000001</v>
      </c>
      <c r="J281">
        <v>0.68310000000000004</v>
      </c>
      <c r="K281">
        <v>0.54259999999999997</v>
      </c>
      <c r="L281">
        <v>3.5200000000000002E-2</v>
      </c>
      <c r="M281">
        <v>2.3900000000000001E-2</v>
      </c>
      <c r="N281">
        <f>CONVERT(O281,"lbf","N")</f>
        <v>1667.6382835611614</v>
      </c>
      <c r="O281">
        <v>374.9</v>
      </c>
      <c r="P281">
        <f t="shared" si="4"/>
        <v>0.67897727272727271</v>
      </c>
    </row>
    <row r="282" spans="1:16" hidden="1" x14ac:dyDescent="0.25">
      <c r="A282">
        <v>0</v>
      </c>
      <c r="B282">
        <v>15000</v>
      </c>
      <c r="C282">
        <f>1.225 * (1 - 0.00000687559 * B282) ^ 4.2561</f>
        <v>0.77079726910167001</v>
      </c>
      <c r="D282">
        <f>E282*(SQRT($C$2/C282))</f>
        <v>126.06599638766529</v>
      </c>
      <c r="E282">
        <v>100</v>
      </c>
      <c r="F282">
        <v>1150</v>
      </c>
      <c r="G282">
        <v>250</v>
      </c>
      <c r="H282">
        <f>CONVERT(G282,"HP","kW")</f>
        <v>186.42496789556756</v>
      </c>
      <c r="I282">
        <v>0.4849</v>
      </c>
      <c r="J282">
        <v>0.85389999999999999</v>
      </c>
      <c r="K282">
        <v>0.55589999999999995</v>
      </c>
      <c r="L282">
        <v>3.5200000000000002E-2</v>
      </c>
      <c r="M282">
        <v>0.02</v>
      </c>
      <c r="N282">
        <f>CONVERT(O282,"lbf","N")</f>
        <v>1394.0726542226407</v>
      </c>
      <c r="O282">
        <v>313.39999999999998</v>
      </c>
      <c r="P282">
        <f t="shared" si="4"/>
        <v>0.56818181818181812</v>
      </c>
    </row>
    <row r="283" spans="1:16" hidden="1" x14ac:dyDescent="0.25">
      <c r="A283">
        <v>0</v>
      </c>
      <c r="B283">
        <v>15000</v>
      </c>
      <c r="C283">
        <f>1.225 * (1 - 0.00000687559 * B283) ^ 4.2561</f>
        <v>0.77079726910167001</v>
      </c>
      <c r="D283">
        <f>E283*(SQRT($C$2/C283))</f>
        <v>151.27919566519836</v>
      </c>
      <c r="E283">
        <v>120</v>
      </c>
      <c r="F283">
        <v>1150</v>
      </c>
      <c r="G283">
        <v>250</v>
      </c>
      <c r="H283">
        <f>CONVERT(G283,"HP","kW")</f>
        <v>186.42496789556756</v>
      </c>
      <c r="I283">
        <v>0.4879</v>
      </c>
      <c r="J283">
        <v>1.0246999999999999</v>
      </c>
      <c r="K283">
        <v>0.57169999999999999</v>
      </c>
      <c r="L283">
        <v>3.5200000000000002E-2</v>
      </c>
      <c r="M283">
        <v>1.67E-2</v>
      </c>
      <c r="N283">
        <f>CONVERT(O283,"lbf","N")</f>
        <v>1168.9926404904595</v>
      </c>
      <c r="O283">
        <v>262.8</v>
      </c>
      <c r="P283">
        <f t="shared" si="4"/>
        <v>0.47443181818181812</v>
      </c>
    </row>
    <row r="284" spans="1:16" hidden="1" x14ac:dyDescent="0.25">
      <c r="A284">
        <v>0</v>
      </c>
      <c r="B284">
        <v>15000</v>
      </c>
      <c r="C284">
        <f>1.225 * (1 - 0.00000687559 * B284) ^ 4.2561</f>
        <v>0.77079726910167001</v>
      </c>
      <c r="D284">
        <f>E284*(SQRT($C$2/C284))</f>
        <v>176.49239494273141</v>
      </c>
      <c r="E284">
        <v>140</v>
      </c>
      <c r="F284">
        <v>1150</v>
      </c>
      <c r="G284">
        <v>250</v>
      </c>
      <c r="H284">
        <f>CONVERT(G284,"HP","kW")</f>
        <v>186.42496789556756</v>
      </c>
      <c r="I284">
        <v>0.47320000000000001</v>
      </c>
      <c r="J284">
        <v>1.1955</v>
      </c>
      <c r="K284">
        <v>0.58989999999999998</v>
      </c>
      <c r="L284">
        <v>3.5200000000000002E-2</v>
      </c>
      <c r="M284">
        <v>1.3899999999999999E-2</v>
      </c>
      <c r="N284">
        <f>CONVERT(O284,"lbf","N")</f>
        <v>971.49160077289332</v>
      </c>
      <c r="O284">
        <v>218.4</v>
      </c>
      <c r="P284">
        <f t="shared" si="4"/>
        <v>0.39488636363636359</v>
      </c>
    </row>
    <row r="285" spans="1:16" hidden="1" x14ac:dyDescent="0.25">
      <c r="A285">
        <v>0</v>
      </c>
      <c r="B285">
        <v>15000</v>
      </c>
      <c r="C285">
        <f>1.225 * (1 - 0.00000687559 * B285) ^ 4.2561</f>
        <v>0.77079726910167001</v>
      </c>
      <c r="D285">
        <f>E285*(SQRT($C$2/C285))</f>
        <v>201.70559422026446</v>
      </c>
      <c r="E285">
        <v>160</v>
      </c>
      <c r="F285">
        <v>1150</v>
      </c>
      <c r="G285">
        <v>250</v>
      </c>
      <c r="H285">
        <f>CONVERT(G285,"HP","kW")</f>
        <v>186.42496789556756</v>
      </c>
      <c r="I285">
        <v>0.44119999999999998</v>
      </c>
      <c r="J285">
        <v>1.3663000000000001</v>
      </c>
      <c r="K285">
        <v>0.61009999999999998</v>
      </c>
      <c r="L285">
        <v>3.5200000000000002E-2</v>
      </c>
      <c r="M285">
        <v>1.14E-2</v>
      </c>
      <c r="N285">
        <f>CONVERT(O285,"lbf","N")</f>
        <v>792.67309183942109</v>
      </c>
      <c r="O285">
        <v>178.2</v>
      </c>
      <c r="P285">
        <f t="shared" si="4"/>
        <v>0.32386363636363635</v>
      </c>
    </row>
    <row r="286" spans="1:16" hidden="1" x14ac:dyDescent="0.25">
      <c r="A286">
        <v>0</v>
      </c>
      <c r="B286">
        <v>15000</v>
      </c>
      <c r="C286">
        <f>1.225 * (1 - 0.00000687559 * B286) ^ 4.2561</f>
        <v>0.77079726910167001</v>
      </c>
      <c r="D286">
        <f>E286*(SQRT($C$2/C286))</f>
        <v>226.91879349779754</v>
      </c>
      <c r="E286">
        <v>180</v>
      </c>
      <c r="F286">
        <v>1150</v>
      </c>
      <c r="G286">
        <v>250</v>
      </c>
      <c r="H286">
        <f>CONVERT(G286,"HP","kW")</f>
        <v>186.42496789556756</v>
      </c>
      <c r="I286">
        <v>0.38500000000000001</v>
      </c>
      <c r="J286">
        <v>1.5370999999999999</v>
      </c>
      <c r="K286">
        <v>0.63229999999999997</v>
      </c>
      <c r="L286">
        <v>3.5200000000000002E-2</v>
      </c>
      <c r="M286">
        <v>8.8000000000000005E-3</v>
      </c>
      <c r="N286">
        <f>CONVERT(O286,"lbf","N")</f>
        <v>614.74422722900113</v>
      </c>
      <c r="O286">
        <v>138.19999999999999</v>
      </c>
      <c r="P286">
        <f t="shared" si="4"/>
        <v>0.25</v>
      </c>
    </row>
    <row r="287" spans="1:16" hidden="1" x14ac:dyDescent="0.25">
      <c r="A287">
        <v>0</v>
      </c>
      <c r="B287">
        <v>15000</v>
      </c>
      <c r="C287">
        <f>1.225 * (1 - 0.00000687559 * B287) ^ 4.2561</f>
        <v>0.77079726910167001</v>
      </c>
      <c r="D287">
        <f>E287*(SQRT($C$2/C287))</f>
        <v>302.55839133039672</v>
      </c>
      <c r="E287">
        <v>240</v>
      </c>
      <c r="F287">
        <v>1150</v>
      </c>
      <c r="G287">
        <v>250</v>
      </c>
      <c r="H287">
        <f>CONVERT(G287,"HP","kW")</f>
        <v>186.42496789556756</v>
      </c>
      <c r="I287">
        <v>-0.1615</v>
      </c>
      <c r="J287">
        <v>2.0493999999999999</v>
      </c>
      <c r="K287">
        <v>0.70840000000000003</v>
      </c>
      <c r="L287">
        <v>3.5200000000000002E-2</v>
      </c>
      <c r="M287">
        <v>-2.8E-3</v>
      </c>
      <c r="N287">
        <f>CONVERT(O287,"lbf","N")</f>
        <v>-193.49764026383176</v>
      </c>
      <c r="O287">
        <v>-43.5</v>
      </c>
      <c r="P287">
        <f t="shared" si="4"/>
        <v>-7.9545454545454544E-2</v>
      </c>
    </row>
    <row r="288" spans="1:16" hidden="1" x14ac:dyDescent="0.25">
      <c r="A288">
        <v>0</v>
      </c>
      <c r="B288">
        <v>15000</v>
      </c>
      <c r="C288">
        <f>1.225 * (1 - 0.00000687559 * B288) ^ 4.2561</f>
        <v>0.77079726910167001</v>
      </c>
      <c r="D288">
        <f>E288*(SQRT($C$2/C288))</f>
        <v>327.77159060792974</v>
      </c>
      <c r="E288">
        <v>260</v>
      </c>
      <c r="F288">
        <v>1150</v>
      </c>
      <c r="G288">
        <v>250</v>
      </c>
      <c r="H288">
        <f>CONVERT(G288,"HP","kW")</f>
        <v>186.42496789556756</v>
      </c>
      <c r="I288">
        <v>-0.56669999999999998</v>
      </c>
      <c r="J288">
        <v>2.2202000000000002</v>
      </c>
      <c r="K288">
        <v>0.73640000000000005</v>
      </c>
      <c r="L288">
        <v>3.5200000000000002E-2</v>
      </c>
      <c r="M288">
        <v>-8.9999999999999993E-3</v>
      </c>
      <c r="N288">
        <f>CONVERT(O288,"lbf","N")</f>
        <v>-626.75442559020451</v>
      </c>
      <c r="O288">
        <v>-140.9</v>
      </c>
      <c r="P288">
        <f t="shared" si="4"/>
        <v>-0.25568181818181812</v>
      </c>
    </row>
    <row r="289" spans="1:16" hidden="1" x14ac:dyDescent="0.25">
      <c r="A289">
        <v>0</v>
      </c>
      <c r="B289">
        <v>20000</v>
      </c>
      <c r="C289">
        <f>1.225 * (1 - 0.00000687559 * B289) ^ 4.2561</f>
        <v>0.65267221054298263</v>
      </c>
      <c r="D289">
        <f>E289*(SQRT($C$2/C289))</f>
        <v>27.399994721664136</v>
      </c>
      <c r="E289">
        <v>20</v>
      </c>
      <c r="F289">
        <v>1215</v>
      </c>
      <c r="G289">
        <v>250</v>
      </c>
      <c r="H289">
        <f>CONVERT(G289,"HP","kW")</f>
        <v>186.42496789556756</v>
      </c>
      <c r="I289">
        <v>0.30430000000000001</v>
      </c>
      <c r="J289">
        <v>0.1757</v>
      </c>
      <c r="K289">
        <v>0.55879999999999996</v>
      </c>
      <c r="L289">
        <v>3.5200000000000002E-2</v>
      </c>
      <c r="M289">
        <v>6.0999999999999999E-2</v>
      </c>
      <c r="N289">
        <f>CONVERT(O289,"lbf","N")</f>
        <v>4025.1957396492267</v>
      </c>
      <c r="O289">
        <v>904.9</v>
      </c>
      <c r="P289">
        <f t="shared" si="4"/>
        <v>1.7329545454545454</v>
      </c>
    </row>
    <row r="290" spans="1:16" hidden="1" x14ac:dyDescent="0.25">
      <c r="A290">
        <v>0</v>
      </c>
      <c r="B290">
        <v>20000</v>
      </c>
      <c r="C290">
        <f>1.225 * (1 - 0.00000687559 * B290) ^ 4.2561</f>
        <v>0.65267221054298263</v>
      </c>
      <c r="D290">
        <f>E290*(SQRT($C$2/C290))</f>
        <v>82.199984164992401</v>
      </c>
      <c r="E290">
        <v>60</v>
      </c>
      <c r="F290">
        <v>1215</v>
      </c>
      <c r="G290">
        <v>250</v>
      </c>
      <c r="H290">
        <f>CONVERT(G290,"HP","kW")</f>
        <v>186.42496789556756</v>
      </c>
      <c r="I290">
        <v>0.38850000000000001</v>
      </c>
      <c r="J290">
        <v>0.52700000000000002</v>
      </c>
      <c r="K290">
        <v>0.57399999999999995</v>
      </c>
      <c r="L290">
        <v>3.5200000000000002E-2</v>
      </c>
      <c r="M290">
        <v>2.5999999999999999E-2</v>
      </c>
      <c r="N290">
        <f>CONVERT(O290,"lbf","N")</f>
        <v>1713.0101440368187</v>
      </c>
      <c r="O290">
        <v>385.1</v>
      </c>
      <c r="P290">
        <f t="shared" si="4"/>
        <v>0.73863636363636354</v>
      </c>
    </row>
    <row r="291" spans="1:16" hidden="1" x14ac:dyDescent="0.25">
      <c r="A291">
        <v>0</v>
      </c>
      <c r="B291">
        <v>20000</v>
      </c>
      <c r="C291">
        <f>1.225 * (1 - 0.00000687559 * B291) ^ 4.2561</f>
        <v>0.65267221054298263</v>
      </c>
      <c r="D291">
        <f>E291*(SQRT($C$2/C291))</f>
        <v>109.59997888665654</v>
      </c>
      <c r="E291">
        <v>80</v>
      </c>
      <c r="F291">
        <v>1215</v>
      </c>
      <c r="G291">
        <v>250</v>
      </c>
      <c r="H291">
        <f>CONVERT(G291,"HP","kW")</f>
        <v>186.42496789556756</v>
      </c>
      <c r="I291">
        <v>0.42330000000000001</v>
      </c>
      <c r="J291">
        <v>0.70269999999999999</v>
      </c>
      <c r="K291">
        <v>0.58609999999999995</v>
      </c>
      <c r="L291">
        <v>3.5200000000000002E-2</v>
      </c>
      <c r="M291">
        <v>2.12E-2</v>
      </c>
      <c r="N291">
        <f>CONVERT(O291,"lbf","N")</f>
        <v>1399.4105201609534</v>
      </c>
      <c r="O291">
        <v>314.60000000000002</v>
      </c>
      <c r="P291">
        <f t="shared" si="4"/>
        <v>0.60227272727272729</v>
      </c>
    </row>
    <row r="292" spans="1:16" hidden="1" x14ac:dyDescent="0.25">
      <c r="A292">
        <v>0</v>
      </c>
      <c r="B292">
        <v>20000</v>
      </c>
      <c r="C292">
        <f>1.225 * (1 - 0.00000687559 * B292) ^ 4.2561</f>
        <v>0.65267221054298263</v>
      </c>
      <c r="D292">
        <f>E292*(SQRT($C$2/C292))</f>
        <v>164.3999683299848</v>
      </c>
      <c r="E292">
        <v>120</v>
      </c>
      <c r="F292">
        <v>1215</v>
      </c>
      <c r="G292">
        <v>250</v>
      </c>
      <c r="H292">
        <f>CONVERT(G292,"HP","kW")</f>
        <v>186.42496789556756</v>
      </c>
      <c r="I292">
        <v>0.43619999999999998</v>
      </c>
      <c r="J292">
        <v>1.054</v>
      </c>
      <c r="K292">
        <v>0.61909999999999998</v>
      </c>
      <c r="L292">
        <v>3.5200000000000002E-2</v>
      </c>
      <c r="M292">
        <v>1.46E-2</v>
      </c>
      <c r="N292">
        <f>CONVERT(O292,"lbf","N")</f>
        <v>961.26069105779413</v>
      </c>
      <c r="O292">
        <v>216.1</v>
      </c>
      <c r="P292">
        <f t="shared" si="4"/>
        <v>0.41477272727272724</v>
      </c>
    </row>
    <row r="293" spans="1:16" hidden="1" x14ac:dyDescent="0.25">
      <c r="A293">
        <v>0</v>
      </c>
      <c r="B293">
        <v>20000</v>
      </c>
      <c r="C293">
        <f>1.225 * (1 - 0.00000687559 * B293) ^ 4.2561</f>
        <v>0.65267221054298263</v>
      </c>
      <c r="D293">
        <f>E293*(SQRT($C$2/C293))</f>
        <v>191.79996305164894</v>
      </c>
      <c r="E293">
        <v>140</v>
      </c>
      <c r="F293">
        <v>1215</v>
      </c>
      <c r="G293">
        <v>250</v>
      </c>
      <c r="H293">
        <f>CONVERT(G293,"HP","kW")</f>
        <v>186.42496789556756</v>
      </c>
      <c r="I293">
        <v>0.39460000000000001</v>
      </c>
      <c r="J293">
        <v>1.2297</v>
      </c>
      <c r="K293">
        <v>0.63970000000000005</v>
      </c>
      <c r="L293">
        <v>3.5200000000000002E-2</v>
      </c>
      <c r="M293">
        <v>1.1299999999999999E-2</v>
      </c>
      <c r="N293">
        <f>CONVERT(O293,"lbf","N")</f>
        <v>745.52194271765973</v>
      </c>
      <c r="O293">
        <v>167.6</v>
      </c>
      <c r="P293">
        <f t="shared" si="4"/>
        <v>0.32102272727272724</v>
      </c>
    </row>
    <row r="294" spans="1:16" hidden="1" x14ac:dyDescent="0.25">
      <c r="A294">
        <v>0</v>
      </c>
      <c r="B294">
        <v>20000</v>
      </c>
      <c r="C294">
        <f>1.225 * (1 - 0.00000687559 * B294) ^ 4.2561</f>
        <v>0.65267221054298263</v>
      </c>
      <c r="D294">
        <f>E294*(SQRT($C$2/C294))</f>
        <v>219.19995777331309</v>
      </c>
      <c r="E294">
        <v>160</v>
      </c>
      <c r="F294">
        <v>1215</v>
      </c>
      <c r="G294">
        <v>250</v>
      </c>
      <c r="H294">
        <f>CONVERT(G294,"HP","kW")</f>
        <v>186.42496789556756</v>
      </c>
      <c r="I294">
        <v>0.31830000000000003</v>
      </c>
      <c r="J294">
        <v>1.4054</v>
      </c>
      <c r="K294">
        <v>0.66259999999999997</v>
      </c>
      <c r="L294">
        <v>3.5200000000000002E-2</v>
      </c>
      <c r="M294">
        <v>8.0000000000000002E-3</v>
      </c>
      <c r="N294">
        <f>CONVERT(O294,"lbf","N")</f>
        <v>526.22461708531716</v>
      </c>
      <c r="O294">
        <v>118.3</v>
      </c>
      <c r="P294">
        <f t="shared" si="4"/>
        <v>0.22727272727272727</v>
      </c>
    </row>
    <row r="295" spans="1:16" hidden="1" x14ac:dyDescent="0.25">
      <c r="A295">
        <v>0</v>
      </c>
      <c r="B295">
        <v>20000</v>
      </c>
      <c r="C295">
        <f>1.225 * (1 - 0.00000687559 * B295) ^ 4.2561</f>
        <v>0.65267221054298263</v>
      </c>
      <c r="D295">
        <f>E295*(SQRT($C$2/C295))</f>
        <v>273.99994721664137</v>
      </c>
      <c r="E295">
        <v>200</v>
      </c>
      <c r="F295">
        <v>1215</v>
      </c>
      <c r="G295">
        <v>250</v>
      </c>
      <c r="H295">
        <f>CONVERT(G295,"HP","kW")</f>
        <v>186.42496789556756</v>
      </c>
      <c r="I295">
        <v>-6.3299999999999995E-2</v>
      </c>
      <c r="J295">
        <v>1.7566999999999999</v>
      </c>
      <c r="K295">
        <v>0.71460000000000001</v>
      </c>
      <c r="L295">
        <v>3.5200000000000002E-2</v>
      </c>
      <c r="M295">
        <v>-1.2999999999999999E-3</v>
      </c>
      <c r="N295">
        <f>CONVERT(O295,"lbf","N")</f>
        <v>-83.626566366897407</v>
      </c>
      <c r="O295">
        <v>-18.8</v>
      </c>
      <c r="P295">
        <f t="shared" si="4"/>
        <v>-3.6931818181818177E-2</v>
      </c>
    </row>
    <row r="296" spans="1:16" hidden="1" x14ac:dyDescent="0.25">
      <c r="A296">
        <v>0</v>
      </c>
      <c r="B296">
        <v>20000</v>
      </c>
      <c r="C296">
        <f>1.225 * (1 - 0.00000687559 * B296) ^ 4.2561</f>
        <v>0.65267221054298263</v>
      </c>
      <c r="D296">
        <f>E296*(SQRT($C$2/C296))</f>
        <v>301.39994193830552</v>
      </c>
      <c r="E296">
        <v>220</v>
      </c>
      <c r="F296">
        <v>1215</v>
      </c>
      <c r="G296">
        <v>250</v>
      </c>
      <c r="H296">
        <f>CONVERT(G296,"HP","kW")</f>
        <v>186.42496789556756</v>
      </c>
      <c r="I296">
        <v>-0.37209999999999999</v>
      </c>
      <c r="J296">
        <v>1.9323999999999999</v>
      </c>
      <c r="K296">
        <v>0.74329999999999996</v>
      </c>
      <c r="L296">
        <v>3.5200000000000002E-2</v>
      </c>
      <c r="M296">
        <v>-6.7999999999999996E-3</v>
      </c>
      <c r="N296">
        <f>CONVERT(O296,"lbf","N")</f>
        <v>-447.49109449520626</v>
      </c>
      <c r="O296">
        <v>-100.6</v>
      </c>
      <c r="P296">
        <f t="shared" si="4"/>
        <v>-0.19318181818181815</v>
      </c>
    </row>
    <row r="297" spans="1:16" hidden="1" x14ac:dyDescent="0.25">
      <c r="A297">
        <v>0</v>
      </c>
      <c r="B297">
        <v>20000</v>
      </c>
      <c r="C297">
        <f>1.225 * (1 - 0.00000687559 * B297) ^ 4.2561</f>
        <v>0.65267221054298263</v>
      </c>
      <c r="D297">
        <f>E297*(SQRT($C$2/C297))</f>
        <v>328.7999366599696</v>
      </c>
      <c r="E297">
        <v>240</v>
      </c>
      <c r="F297">
        <v>1215</v>
      </c>
      <c r="G297">
        <v>250</v>
      </c>
      <c r="H297">
        <f>CONVERT(G297,"HP","kW")</f>
        <v>186.42496789556756</v>
      </c>
      <c r="I297">
        <v>-0.75460000000000005</v>
      </c>
      <c r="J297">
        <v>2.1080000000000001</v>
      </c>
      <c r="K297">
        <v>0.77339999999999998</v>
      </c>
      <c r="L297">
        <v>3.5200000000000002E-2</v>
      </c>
      <c r="M297">
        <v>-1.26E-2</v>
      </c>
      <c r="N297">
        <f>CONVERT(O297,"lbf","N")</f>
        <v>-831.81744205371353</v>
      </c>
      <c r="O297">
        <v>-187</v>
      </c>
      <c r="P297">
        <f t="shared" si="4"/>
        <v>-0.35795454545454541</v>
      </c>
    </row>
    <row r="298" spans="1:16" hidden="1" x14ac:dyDescent="0.25">
      <c r="A298">
        <v>0</v>
      </c>
      <c r="B298">
        <v>20000</v>
      </c>
      <c r="C298">
        <f>1.225 * (1 - 0.00000687559 * B298) ^ 4.2561</f>
        <v>0.65267221054298263</v>
      </c>
      <c r="D298">
        <f>E298*(SQRT($C$2/C298))</f>
        <v>356.19993138163375</v>
      </c>
      <c r="E298">
        <v>260</v>
      </c>
      <c r="F298">
        <v>1215</v>
      </c>
      <c r="G298">
        <v>250</v>
      </c>
      <c r="H298">
        <f>CONVERT(G298,"HP","kW")</f>
        <v>186.42496789556756</v>
      </c>
      <c r="I298">
        <v>0</v>
      </c>
      <c r="J298">
        <v>2.2837000000000001</v>
      </c>
      <c r="K298">
        <v>0.80489999999999995</v>
      </c>
      <c r="L298">
        <v>3.5200000000000002E-2</v>
      </c>
      <c r="M298">
        <v>-0.02</v>
      </c>
      <c r="N298">
        <f>CONVERT(O298,"lbf","N")</f>
        <v>-1320.6769975708423</v>
      </c>
      <c r="O298">
        <v>-296.89999999999998</v>
      </c>
      <c r="P298">
        <f t="shared" si="4"/>
        <v>-0.56818181818181812</v>
      </c>
    </row>
    <row r="299" spans="1:16" hidden="1" x14ac:dyDescent="0.25">
      <c r="A299">
        <v>0</v>
      </c>
      <c r="B299">
        <v>20000</v>
      </c>
      <c r="C299">
        <f>1.225 * (1 - 0.00000687559 * B299) ^ 4.2561</f>
        <v>0.65267221054298263</v>
      </c>
      <c r="D299">
        <f>E299*(SQRT($C$2/C299))</f>
        <v>0</v>
      </c>
      <c r="E299">
        <v>0</v>
      </c>
      <c r="F299">
        <v>1215</v>
      </c>
      <c r="G299">
        <v>250</v>
      </c>
      <c r="H299">
        <f>CONVERT(G299,"HP","kW")</f>
        <v>186.42496789556756</v>
      </c>
      <c r="I299">
        <v>0</v>
      </c>
      <c r="J299">
        <v>0</v>
      </c>
      <c r="K299">
        <v>0.55410000000000004</v>
      </c>
      <c r="L299">
        <v>3.5299999999999998E-2</v>
      </c>
      <c r="M299">
        <v>8.5800000000000001E-2</v>
      </c>
      <c r="N299">
        <f>CONVERT(O299,"lbf","N")</f>
        <v>5653.6896729960954</v>
      </c>
      <c r="O299">
        <v>1271</v>
      </c>
      <c r="P299">
        <f t="shared" si="4"/>
        <v>2.4305949008498584</v>
      </c>
    </row>
    <row r="300" spans="1:16" hidden="1" x14ac:dyDescent="0.25">
      <c r="A300">
        <v>0</v>
      </c>
      <c r="B300">
        <v>20000</v>
      </c>
      <c r="C300">
        <f>1.225 * (1 - 0.00000687559 * B300) ^ 4.2561</f>
        <v>0.65267221054298263</v>
      </c>
      <c r="D300">
        <f>E300*(SQRT($C$2/C300))</f>
        <v>54.799989443328272</v>
      </c>
      <c r="E300">
        <v>40</v>
      </c>
      <c r="F300">
        <v>1215</v>
      </c>
      <c r="G300">
        <v>250</v>
      </c>
      <c r="H300">
        <f>CONVERT(G300,"HP","kW")</f>
        <v>186.42496789556756</v>
      </c>
      <c r="I300">
        <v>0.37130000000000002</v>
      </c>
      <c r="J300">
        <v>0.3513</v>
      </c>
      <c r="K300">
        <v>0.56510000000000005</v>
      </c>
      <c r="L300">
        <v>3.5299999999999998E-2</v>
      </c>
      <c r="M300">
        <v>3.73E-2</v>
      </c>
      <c r="N300">
        <f>CONVERT(O300,"lbf","N")</f>
        <v>2455.4183316237959</v>
      </c>
      <c r="O300">
        <v>552</v>
      </c>
      <c r="P300">
        <f t="shared" si="4"/>
        <v>1.0566572237960341</v>
      </c>
    </row>
    <row r="301" spans="1:16" hidden="1" x14ac:dyDescent="0.25">
      <c r="A301">
        <v>0</v>
      </c>
      <c r="B301">
        <v>20000</v>
      </c>
      <c r="C301">
        <f>1.225 * (1 - 0.00000687559 * B301) ^ 4.2561</f>
        <v>0.65267221054298263</v>
      </c>
      <c r="D301">
        <f>E301*(SQRT($C$2/C301))</f>
        <v>136.99997360832069</v>
      </c>
      <c r="E301">
        <v>100</v>
      </c>
      <c r="F301">
        <v>1215</v>
      </c>
      <c r="G301">
        <v>250</v>
      </c>
      <c r="H301">
        <f>CONVERT(G301,"HP","kW")</f>
        <v>186.42496789556756</v>
      </c>
      <c r="I301">
        <v>0.4491</v>
      </c>
      <c r="J301">
        <v>0.87829999999999997</v>
      </c>
      <c r="K301">
        <v>0.60119999999999996</v>
      </c>
      <c r="L301">
        <v>3.5299999999999998E-2</v>
      </c>
      <c r="M301">
        <v>1.7999999999999999E-2</v>
      </c>
      <c r="N301">
        <f>CONVERT(O301,"lbf","N")</f>
        <v>1188.1199934360795</v>
      </c>
      <c r="O301">
        <v>267.10000000000002</v>
      </c>
      <c r="P301">
        <f t="shared" si="4"/>
        <v>0.50991501416430596</v>
      </c>
    </row>
    <row r="302" spans="1:16" hidden="1" x14ac:dyDescent="0.25">
      <c r="A302">
        <v>0</v>
      </c>
      <c r="B302">
        <v>0</v>
      </c>
      <c r="C302">
        <f>1.225 * (1 - 0.00000687559 * B302) ^ 4.2561</f>
        <v>1.2250000000000001</v>
      </c>
      <c r="D302">
        <f>E302*(SQRT($C$2/C302))</f>
        <v>0</v>
      </c>
      <c r="E302">
        <v>0</v>
      </c>
      <c r="F302">
        <v>1215</v>
      </c>
      <c r="G302">
        <v>500</v>
      </c>
      <c r="H302">
        <f>CONVERT(G302,"HP","kW")</f>
        <v>372.84993579113512</v>
      </c>
      <c r="I302">
        <v>0</v>
      </c>
      <c r="J302">
        <v>0</v>
      </c>
      <c r="K302">
        <v>0.5141</v>
      </c>
      <c r="L302">
        <v>3.7499999999999999E-2</v>
      </c>
      <c r="M302">
        <v>9.5500000000000002E-2</v>
      </c>
      <c r="N302">
        <f>CONVERT(O302,"lbf","N")</f>
        <v>11826.041986331566</v>
      </c>
      <c r="O302">
        <v>2658.6</v>
      </c>
      <c r="P302">
        <f t="shared" si="4"/>
        <v>2.5466666666666669</v>
      </c>
    </row>
    <row r="303" spans="1:16" hidden="1" x14ac:dyDescent="0.25">
      <c r="A303">
        <v>0</v>
      </c>
      <c r="B303">
        <v>0</v>
      </c>
      <c r="C303">
        <f>1.225 * (1 - 0.00000687559 * B303) ^ 4.2561</f>
        <v>1.2250000000000001</v>
      </c>
      <c r="D303">
        <f>E303*(SQRT($C$2/C303))</f>
        <v>20</v>
      </c>
      <c r="E303">
        <v>20</v>
      </c>
      <c r="F303">
        <v>1215</v>
      </c>
      <c r="G303">
        <v>500</v>
      </c>
      <c r="H303">
        <f>CONVERT(G303,"HP","kW")</f>
        <v>372.84993579113512</v>
      </c>
      <c r="I303">
        <v>0.26929999999999998</v>
      </c>
      <c r="J303">
        <v>0.12820000000000001</v>
      </c>
      <c r="K303">
        <v>0.51719999999999999</v>
      </c>
      <c r="L303">
        <v>3.7499999999999999E-2</v>
      </c>
      <c r="M303">
        <v>7.8799999999999995E-2</v>
      </c>
      <c r="N303">
        <f>CONVERT(O303,"lbf","N")</f>
        <v>9760.2878682045884</v>
      </c>
      <c r="O303">
        <v>2194.1999999999998</v>
      </c>
      <c r="P303">
        <f t="shared" si="4"/>
        <v>2.1013333333333333</v>
      </c>
    </row>
    <row r="304" spans="1:16" hidden="1" x14ac:dyDescent="0.25">
      <c r="A304">
        <v>0</v>
      </c>
      <c r="B304">
        <v>0</v>
      </c>
      <c r="C304">
        <f>1.225 * (1 - 0.00000687559 * B304) ^ 4.2561</f>
        <v>1.2250000000000001</v>
      </c>
      <c r="D304">
        <f>E304*(SQRT($C$2/C304))</f>
        <v>40</v>
      </c>
      <c r="E304">
        <v>40</v>
      </c>
      <c r="F304">
        <v>1215</v>
      </c>
      <c r="G304">
        <v>500</v>
      </c>
      <c r="H304">
        <f>CONVERT(G304,"HP","kW")</f>
        <v>372.84993579113512</v>
      </c>
      <c r="I304">
        <v>0.4148</v>
      </c>
      <c r="J304">
        <v>0.25650000000000001</v>
      </c>
      <c r="K304">
        <v>0.52110000000000001</v>
      </c>
      <c r="L304">
        <v>3.7499999999999999E-2</v>
      </c>
      <c r="M304">
        <v>6.0699999999999997E-2</v>
      </c>
      <c r="N304">
        <f>CONVERT(O304,"lbf","N")</f>
        <v>7516.6048854671935</v>
      </c>
      <c r="O304">
        <v>1689.8</v>
      </c>
      <c r="P304">
        <f t="shared" si="4"/>
        <v>1.6186666666666667</v>
      </c>
    </row>
    <row r="305" spans="1:16" hidden="1" x14ac:dyDescent="0.25">
      <c r="A305">
        <v>0</v>
      </c>
      <c r="B305">
        <v>0</v>
      </c>
      <c r="C305">
        <f>1.225 * (1 - 0.00000687559 * B305) ^ 4.2561</f>
        <v>1.2250000000000001</v>
      </c>
      <c r="D305">
        <f>E305*(SQRT($C$2/C305))</f>
        <v>60</v>
      </c>
      <c r="E305">
        <v>60</v>
      </c>
      <c r="F305">
        <v>1215</v>
      </c>
      <c r="G305">
        <v>500</v>
      </c>
      <c r="H305">
        <f>CONVERT(G305,"HP","kW")</f>
        <v>372.84993579113512</v>
      </c>
      <c r="I305">
        <v>0.46550000000000002</v>
      </c>
      <c r="J305">
        <v>0.38469999999999999</v>
      </c>
      <c r="K305">
        <v>0.52600000000000002</v>
      </c>
      <c r="L305">
        <v>3.7499999999999999E-2</v>
      </c>
      <c r="M305">
        <v>4.5400000000000003E-2</v>
      </c>
      <c r="N305">
        <f>CONVERT(O305,"lbf","N")</f>
        <v>5622.5521216892721</v>
      </c>
      <c r="O305">
        <v>1264</v>
      </c>
      <c r="P305">
        <f t="shared" si="4"/>
        <v>1.2106666666666668</v>
      </c>
    </row>
    <row r="306" spans="1:16" hidden="1" x14ac:dyDescent="0.25">
      <c r="A306">
        <v>0</v>
      </c>
      <c r="B306">
        <v>0</v>
      </c>
      <c r="C306">
        <f>1.225 * (1 - 0.00000687559 * B306) ^ 4.2561</f>
        <v>1.2250000000000001</v>
      </c>
      <c r="D306">
        <f>E306*(SQRT($C$2/C306))</f>
        <v>80</v>
      </c>
      <c r="E306">
        <v>80</v>
      </c>
      <c r="F306">
        <v>1215</v>
      </c>
      <c r="G306">
        <v>500</v>
      </c>
      <c r="H306">
        <f>CONVERT(G306,"HP","kW")</f>
        <v>372.84993579113512</v>
      </c>
      <c r="I306">
        <v>0.48809999999999998</v>
      </c>
      <c r="J306">
        <v>0.51290000000000002</v>
      </c>
      <c r="K306">
        <v>0.53220000000000001</v>
      </c>
      <c r="L306">
        <v>3.7499999999999999E-2</v>
      </c>
      <c r="M306">
        <v>3.5700000000000003E-2</v>
      </c>
      <c r="N306">
        <f>CONVERT(O306,"lbf","N")</f>
        <v>4421.9771077304631</v>
      </c>
      <c r="O306">
        <v>994.1</v>
      </c>
      <c r="P306">
        <f t="shared" si="4"/>
        <v>0.95200000000000007</v>
      </c>
    </row>
    <row r="307" spans="1:16" hidden="1" x14ac:dyDescent="0.25">
      <c r="A307">
        <v>0</v>
      </c>
      <c r="B307">
        <v>0</v>
      </c>
      <c r="C307">
        <f>1.225 * (1 - 0.00000687559 * B307) ^ 4.2561</f>
        <v>1.2250000000000001</v>
      </c>
      <c r="D307">
        <f>E307*(SQRT($C$2/C307))</f>
        <v>120</v>
      </c>
      <c r="E307">
        <v>120</v>
      </c>
      <c r="F307">
        <v>1215</v>
      </c>
      <c r="G307">
        <v>500</v>
      </c>
      <c r="H307">
        <f>CONVERT(G307,"HP","kW")</f>
        <v>372.84993579113512</v>
      </c>
      <c r="I307">
        <v>0.52449999999999997</v>
      </c>
      <c r="J307">
        <v>0.76939999999999997</v>
      </c>
      <c r="K307">
        <v>0.54930000000000001</v>
      </c>
      <c r="L307">
        <v>3.7499999999999999E-2</v>
      </c>
      <c r="M307">
        <v>2.5600000000000001E-2</v>
      </c>
      <c r="N307">
        <f>CONVERT(O307,"lbf","N")</f>
        <v>3168.0234343885286</v>
      </c>
      <c r="O307">
        <v>712.2</v>
      </c>
      <c r="P307">
        <f t="shared" si="4"/>
        <v>0.68266666666666675</v>
      </c>
    </row>
    <row r="308" spans="1:16" hidden="1" x14ac:dyDescent="0.25">
      <c r="A308">
        <v>0</v>
      </c>
      <c r="B308">
        <v>0</v>
      </c>
      <c r="C308">
        <f>1.225 * (1 - 0.00000687559 * B308) ^ 4.2561</f>
        <v>1.2250000000000001</v>
      </c>
      <c r="D308">
        <f>E308*(SQRT($C$2/C308))</f>
        <v>160</v>
      </c>
      <c r="E308">
        <v>160</v>
      </c>
      <c r="F308">
        <v>1215</v>
      </c>
      <c r="G308">
        <v>500</v>
      </c>
      <c r="H308">
        <f>CONVERT(G308,"HP","kW")</f>
        <v>372.84993579113512</v>
      </c>
      <c r="I308">
        <v>0.53239999999999998</v>
      </c>
      <c r="J308">
        <v>1.0258</v>
      </c>
      <c r="K308">
        <v>0.57210000000000005</v>
      </c>
      <c r="L308">
        <v>3.7499999999999999E-2</v>
      </c>
      <c r="M308">
        <v>1.95E-2</v>
      </c>
      <c r="N308">
        <f>CONVERT(O308,"lbf","N")</f>
        <v>2411.3809376327172</v>
      </c>
      <c r="O308">
        <v>542.1</v>
      </c>
      <c r="P308">
        <f t="shared" si="4"/>
        <v>0.52</v>
      </c>
    </row>
    <row r="309" spans="1:16" hidden="1" x14ac:dyDescent="0.25">
      <c r="A309">
        <v>0</v>
      </c>
      <c r="B309">
        <v>0</v>
      </c>
      <c r="C309">
        <f>1.225 * (1 - 0.00000687559 * B309) ^ 4.2561</f>
        <v>1.2250000000000001</v>
      </c>
      <c r="D309">
        <f>E309*(SQRT($C$2/C309))</f>
        <v>180</v>
      </c>
      <c r="E309">
        <v>180</v>
      </c>
      <c r="F309">
        <v>1215</v>
      </c>
      <c r="G309">
        <v>500</v>
      </c>
      <c r="H309">
        <f>CONVERT(G309,"HP","kW")</f>
        <v>372.84993579113512</v>
      </c>
      <c r="I309">
        <v>0.52239999999999998</v>
      </c>
      <c r="J309">
        <v>1.1540999999999999</v>
      </c>
      <c r="K309">
        <v>0.58560000000000001</v>
      </c>
      <c r="L309">
        <v>3.7499999999999999E-2</v>
      </c>
      <c r="M309">
        <v>1.7000000000000001E-2</v>
      </c>
      <c r="N309">
        <f>CONVERT(O309,"lbf","N")</f>
        <v>2103.5640018566905</v>
      </c>
      <c r="O309">
        <v>472.9</v>
      </c>
      <c r="P309">
        <f t="shared" si="4"/>
        <v>0.45333333333333337</v>
      </c>
    </row>
    <row r="310" spans="1:16" hidden="1" x14ac:dyDescent="0.25">
      <c r="A310">
        <v>0</v>
      </c>
      <c r="B310">
        <v>0</v>
      </c>
      <c r="C310">
        <f>1.225 * (1 - 0.00000687559 * B310) ^ 4.2561</f>
        <v>1.2250000000000001</v>
      </c>
      <c r="D310">
        <f>E310*(SQRT($C$2/C310))</f>
        <v>200</v>
      </c>
      <c r="E310">
        <v>200</v>
      </c>
      <c r="F310">
        <v>1215</v>
      </c>
      <c r="G310">
        <v>500</v>
      </c>
      <c r="H310">
        <f>CONVERT(G310,"HP","kW")</f>
        <v>372.84993579113512</v>
      </c>
      <c r="I310">
        <v>0.50319999999999998</v>
      </c>
      <c r="J310">
        <v>1.2823</v>
      </c>
      <c r="K310">
        <v>0.60019999999999996</v>
      </c>
      <c r="L310">
        <v>3.7499999999999999E-2</v>
      </c>
      <c r="M310">
        <v>1.47E-2</v>
      </c>
      <c r="N310">
        <f>CONVERT(O310,"lbf","N")</f>
        <v>1823.770862256805</v>
      </c>
      <c r="O310">
        <v>410</v>
      </c>
      <c r="P310">
        <f t="shared" si="4"/>
        <v>0.39200000000000002</v>
      </c>
    </row>
    <row r="311" spans="1:16" hidden="1" x14ac:dyDescent="0.25">
      <c r="A311">
        <v>0</v>
      </c>
      <c r="B311">
        <v>0</v>
      </c>
      <c r="C311">
        <f>1.225 * (1 - 0.00000687559 * B311) ^ 4.2561</f>
        <v>1.2250000000000001</v>
      </c>
      <c r="D311">
        <f>E311*(SQRT($C$2/C311))</f>
        <v>260</v>
      </c>
      <c r="E311">
        <v>260</v>
      </c>
      <c r="F311">
        <v>1215</v>
      </c>
      <c r="G311">
        <v>500</v>
      </c>
      <c r="H311">
        <f>CONVERT(G311,"HP","kW")</f>
        <v>372.84993579113512</v>
      </c>
      <c r="I311">
        <v>0.35539999999999999</v>
      </c>
      <c r="J311">
        <v>1.667</v>
      </c>
      <c r="K311">
        <v>0.65069999999999995</v>
      </c>
      <c r="L311">
        <v>3.7499999999999999E-2</v>
      </c>
      <c r="M311">
        <v>8.0000000000000002E-3</v>
      </c>
      <c r="N311">
        <f>CONVERT(O311,"lbf","N")</f>
        <v>990.61895371851324</v>
      </c>
      <c r="O311">
        <v>222.7</v>
      </c>
      <c r="P311">
        <f t="shared" si="4"/>
        <v>0.21333333333333335</v>
      </c>
    </row>
    <row r="312" spans="1:16" hidden="1" x14ac:dyDescent="0.25">
      <c r="A312">
        <v>0</v>
      </c>
      <c r="B312">
        <v>0</v>
      </c>
      <c r="C312">
        <f>1.225 * (1 - 0.00000687559 * B312) ^ 4.2561</f>
        <v>1.2250000000000001</v>
      </c>
      <c r="D312">
        <f>E312*(SQRT($C$2/C312))</f>
        <v>100</v>
      </c>
      <c r="E312">
        <v>100</v>
      </c>
      <c r="F312">
        <v>1215</v>
      </c>
      <c r="G312">
        <v>500</v>
      </c>
      <c r="H312">
        <f>CONVERT(G312,"HP","kW")</f>
        <v>372.84993579113512</v>
      </c>
      <c r="I312">
        <v>0.50860000000000005</v>
      </c>
      <c r="J312">
        <v>0.6411</v>
      </c>
      <c r="K312">
        <v>0.54</v>
      </c>
      <c r="L312">
        <v>3.7600000000000001E-2</v>
      </c>
      <c r="M312">
        <v>2.98E-2</v>
      </c>
      <c r="N312">
        <f>CONVERT(O312,"lbf","N")</f>
        <v>3686.2412525663767</v>
      </c>
      <c r="O312">
        <v>828.7</v>
      </c>
      <c r="P312">
        <f t="shared" si="4"/>
        <v>0.79255319148936165</v>
      </c>
    </row>
    <row r="313" spans="1:16" hidden="1" x14ac:dyDescent="0.25">
      <c r="A313">
        <v>0</v>
      </c>
      <c r="B313">
        <v>0</v>
      </c>
      <c r="C313">
        <f>1.225 * (1 - 0.00000687559 * B313) ^ 4.2561</f>
        <v>1.2250000000000001</v>
      </c>
      <c r="D313">
        <f>E313*(SQRT($C$2/C313))</f>
        <v>140</v>
      </c>
      <c r="E313">
        <v>140</v>
      </c>
      <c r="F313">
        <v>1215</v>
      </c>
      <c r="G313">
        <v>500</v>
      </c>
      <c r="H313">
        <f>CONVERT(G313,"HP","kW")</f>
        <v>372.84993579113512</v>
      </c>
      <c r="I313">
        <v>0.5343</v>
      </c>
      <c r="J313">
        <v>0.89759999999999995</v>
      </c>
      <c r="K313">
        <v>0.56000000000000005</v>
      </c>
      <c r="L313">
        <v>3.7600000000000001E-2</v>
      </c>
      <c r="M313">
        <v>2.24E-2</v>
      </c>
      <c r="N313">
        <f>CONVERT(O313,"lbf","N")</f>
        <v>2766.349022530505</v>
      </c>
      <c r="O313">
        <v>621.9</v>
      </c>
      <c r="P313">
        <f t="shared" si="4"/>
        <v>0.5957446808510638</v>
      </c>
    </row>
    <row r="314" spans="1:16" hidden="1" x14ac:dyDescent="0.25">
      <c r="A314">
        <v>0</v>
      </c>
      <c r="B314">
        <v>0</v>
      </c>
      <c r="C314">
        <f>1.225 * (1 - 0.00000687559 * B314) ^ 4.2561</f>
        <v>1.2250000000000001</v>
      </c>
      <c r="D314">
        <f>E314*(SQRT($C$2/C314))</f>
        <v>220</v>
      </c>
      <c r="E314">
        <v>220</v>
      </c>
      <c r="F314">
        <v>1215</v>
      </c>
      <c r="G314">
        <v>500</v>
      </c>
      <c r="H314">
        <f>CONVERT(G314,"HP","kW")</f>
        <v>372.84993579113512</v>
      </c>
      <c r="I314">
        <v>0.4763</v>
      </c>
      <c r="J314">
        <v>1.4105000000000001</v>
      </c>
      <c r="K314">
        <v>0.61599999999999999</v>
      </c>
      <c r="L314">
        <v>3.7600000000000001E-2</v>
      </c>
      <c r="M314">
        <v>1.2699999999999999E-2</v>
      </c>
      <c r="N314">
        <f>CONVERT(O314,"lbf","N")</f>
        <v>1568.8877637023784</v>
      </c>
      <c r="O314">
        <v>352.7</v>
      </c>
      <c r="P314">
        <f t="shared" si="4"/>
        <v>0.33776595744680848</v>
      </c>
    </row>
    <row r="315" spans="1:16" hidden="1" x14ac:dyDescent="0.25">
      <c r="A315">
        <v>0</v>
      </c>
      <c r="B315">
        <v>0</v>
      </c>
      <c r="C315">
        <f>1.225 * (1 - 0.00000687559 * B315) ^ 4.2561</f>
        <v>1.2250000000000001</v>
      </c>
      <c r="D315">
        <f>E315*(SQRT($C$2/C315))</f>
        <v>240</v>
      </c>
      <c r="E315">
        <v>240</v>
      </c>
      <c r="F315">
        <v>1215</v>
      </c>
      <c r="G315">
        <v>500</v>
      </c>
      <c r="H315">
        <f>CONVERT(G315,"HP","kW")</f>
        <v>372.84993579113512</v>
      </c>
      <c r="I315">
        <v>0.43290000000000001</v>
      </c>
      <c r="J315">
        <v>1.5387</v>
      </c>
      <c r="K315">
        <v>0.63290000000000002</v>
      </c>
      <c r="L315">
        <v>3.7600000000000001E-2</v>
      </c>
      <c r="M315">
        <v>1.06E-2</v>
      </c>
      <c r="N315">
        <f>CONVERT(O315,"lbf","N")</f>
        <v>1307.332332725061</v>
      </c>
      <c r="O315">
        <v>293.89999999999998</v>
      </c>
      <c r="P315">
        <f t="shared" si="4"/>
        <v>0.28191489361702127</v>
      </c>
    </row>
    <row r="316" spans="1:16" hidden="1" x14ac:dyDescent="0.25">
      <c r="A316">
        <v>0</v>
      </c>
      <c r="B316">
        <v>10000</v>
      </c>
      <c r="C316">
        <f>1.225 * (1 - 0.00000687559 * B316) ^ 4.2561</f>
        <v>0.90462252368600637</v>
      </c>
      <c r="D316">
        <f>E316*(SQRT($C$2/C316))</f>
        <v>209.4627741358866</v>
      </c>
      <c r="E316">
        <v>180</v>
      </c>
      <c r="F316">
        <v>987</v>
      </c>
      <c r="G316">
        <v>200</v>
      </c>
      <c r="H316">
        <f>CONVERT(G316,"HP","kW")</f>
        <v>149.13997431645407</v>
      </c>
      <c r="I316">
        <v>0.52459999999999996</v>
      </c>
      <c r="J316">
        <v>1.6532</v>
      </c>
      <c r="K316">
        <v>0.54610000000000003</v>
      </c>
      <c r="L316">
        <v>3.78E-2</v>
      </c>
      <c r="M316">
        <v>1.2E-2</v>
      </c>
      <c r="N316">
        <f>CONVERT(O316,"lbf","N")</f>
        <v>725.94976761051362</v>
      </c>
      <c r="O316">
        <v>163.19999999999999</v>
      </c>
      <c r="P316">
        <f t="shared" si="4"/>
        <v>0.31746031746031744</v>
      </c>
    </row>
    <row r="317" spans="1:16" hidden="1" x14ac:dyDescent="0.25">
      <c r="A317">
        <v>0</v>
      </c>
      <c r="B317">
        <v>10000</v>
      </c>
      <c r="C317">
        <f>1.225 * (1 - 0.00000687559 * B317) ^ 4.2561</f>
        <v>0.90462252368600637</v>
      </c>
      <c r="D317">
        <f>E317*(SQRT($C$2/C317))</f>
        <v>69.820924711962206</v>
      </c>
      <c r="E317">
        <v>60</v>
      </c>
      <c r="F317">
        <v>987</v>
      </c>
      <c r="G317">
        <v>200</v>
      </c>
      <c r="H317">
        <f>CONVERT(G317,"HP","kW")</f>
        <v>149.13997431645407</v>
      </c>
      <c r="I317">
        <v>0.6099</v>
      </c>
      <c r="J317">
        <v>0.55110000000000003</v>
      </c>
      <c r="K317">
        <v>0.44979999999999998</v>
      </c>
      <c r="L317">
        <v>3.7900000000000003E-2</v>
      </c>
      <c r="M317">
        <v>4.2000000000000003E-2</v>
      </c>
      <c r="N317">
        <f>CONVERT(O317,"lbf","N")</f>
        <v>2532.3725655678027</v>
      </c>
      <c r="O317">
        <v>569.29999999999995</v>
      </c>
      <c r="P317">
        <f t="shared" si="4"/>
        <v>1.108179419525066</v>
      </c>
    </row>
    <row r="318" spans="1:16" hidden="1" x14ac:dyDescent="0.25">
      <c r="A318">
        <v>0</v>
      </c>
      <c r="B318">
        <v>10000</v>
      </c>
      <c r="C318">
        <f>1.225 * (1 - 0.00000687559 * B318) ^ 4.2561</f>
        <v>0.90462252368600637</v>
      </c>
      <c r="D318">
        <f>E318*(SQRT($C$2/C318))</f>
        <v>93.09456628261627</v>
      </c>
      <c r="E318">
        <v>80</v>
      </c>
      <c r="F318">
        <v>987</v>
      </c>
      <c r="G318">
        <v>200</v>
      </c>
      <c r="H318">
        <f>CONVERT(G318,"HP","kW")</f>
        <v>149.13997431645407</v>
      </c>
      <c r="I318">
        <v>0.64270000000000005</v>
      </c>
      <c r="J318">
        <v>0.73470000000000002</v>
      </c>
      <c r="K318">
        <v>0.46010000000000001</v>
      </c>
      <c r="L318">
        <v>3.7900000000000003E-2</v>
      </c>
      <c r="M318">
        <v>3.32E-2</v>
      </c>
      <c r="N318">
        <f>CONVERT(O318,"lbf","N")</f>
        <v>2001.6997268672251</v>
      </c>
      <c r="O318">
        <v>450</v>
      </c>
      <c r="P318">
        <f t="shared" si="4"/>
        <v>0.87598944591029015</v>
      </c>
    </row>
    <row r="319" spans="1:16" hidden="1" x14ac:dyDescent="0.25">
      <c r="A319">
        <v>0</v>
      </c>
      <c r="B319">
        <v>10000</v>
      </c>
      <c r="C319">
        <f>1.225 * (1 - 0.00000687559 * B319) ^ 4.2561</f>
        <v>0.90462252368600637</v>
      </c>
      <c r="D319">
        <f>E319*(SQRT($C$2/C319))</f>
        <v>116.36820785327033</v>
      </c>
      <c r="E319">
        <v>100</v>
      </c>
      <c r="F319">
        <v>987</v>
      </c>
      <c r="G319">
        <v>200</v>
      </c>
      <c r="H319">
        <f>CONVERT(G319,"HP","kW")</f>
        <v>149.13997431645407</v>
      </c>
      <c r="I319">
        <v>0.65600000000000003</v>
      </c>
      <c r="J319">
        <v>0.91839999999999999</v>
      </c>
      <c r="K319">
        <v>0.47299999999999998</v>
      </c>
      <c r="L319">
        <v>3.7900000000000003E-2</v>
      </c>
      <c r="M319">
        <v>2.7099999999999999E-2</v>
      </c>
      <c r="N319">
        <f>CONVERT(O319,"lbf","N")</f>
        <v>1634.2766214467076</v>
      </c>
      <c r="O319">
        <v>367.4</v>
      </c>
      <c r="P319">
        <f t="shared" si="4"/>
        <v>0.71503957783641148</v>
      </c>
    </row>
    <row r="320" spans="1:16" hidden="1" x14ac:dyDescent="0.25">
      <c r="A320">
        <v>0</v>
      </c>
      <c r="B320">
        <v>10000</v>
      </c>
      <c r="C320">
        <f>1.225 * (1 - 0.00000687559 * B320) ^ 4.2561</f>
        <v>0.90462252368600637</v>
      </c>
      <c r="D320">
        <f>E320*(SQRT($C$2/C320))</f>
        <v>139.64184942392441</v>
      </c>
      <c r="E320">
        <v>120</v>
      </c>
      <c r="F320">
        <v>987</v>
      </c>
      <c r="G320">
        <v>200</v>
      </c>
      <c r="H320">
        <f>CONVERT(G320,"HP","kW")</f>
        <v>149.13997431645407</v>
      </c>
      <c r="I320">
        <v>0.6502</v>
      </c>
      <c r="J320">
        <v>1.1021000000000001</v>
      </c>
      <c r="K320">
        <v>0.48820000000000002</v>
      </c>
      <c r="L320">
        <v>3.7900000000000003E-2</v>
      </c>
      <c r="M320">
        <v>2.24E-2</v>
      </c>
      <c r="N320">
        <f>CONVERT(O320,"lbf","N")</f>
        <v>1350.0352602315616</v>
      </c>
      <c r="O320">
        <v>303.5</v>
      </c>
      <c r="P320">
        <f t="shared" si="4"/>
        <v>0.59102902374670174</v>
      </c>
    </row>
    <row r="321" spans="1:16" hidden="1" x14ac:dyDescent="0.25">
      <c r="A321">
        <v>0</v>
      </c>
      <c r="B321">
        <v>10000</v>
      </c>
      <c r="C321">
        <f>1.225 * (1 - 0.00000687559 * B321) ^ 4.2561</f>
        <v>0.90462252368600637</v>
      </c>
      <c r="D321">
        <f>E321*(SQRT($C$2/C321))</f>
        <v>186.18913256523254</v>
      </c>
      <c r="E321">
        <v>160</v>
      </c>
      <c r="F321">
        <v>987</v>
      </c>
      <c r="G321">
        <v>200</v>
      </c>
      <c r="H321">
        <f>CONVERT(G321,"HP","kW")</f>
        <v>149.13997431645407</v>
      </c>
      <c r="I321">
        <v>0.59109999999999996</v>
      </c>
      <c r="J321">
        <v>1.4695</v>
      </c>
      <c r="K321">
        <v>0.52500000000000002</v>
      </c>
      <c r="L321">
        <v>3.7900000000000003E-2</v>
      </c>
      <c r="M321">
        <v>1.5299999999999999E-2</v>
      </c>
      <c r="N321">
        <f>CONVERT(O321,"lbf","N")</f>
        <v>920.3370521973975</v>
      </c>
      <c r="O321">
        <v>206.9</v>
      </c>
      <c r="P321">
        <f t="shared" si="4"/>
        <v>0.40369393139841686</v>
      </c>
    </row>
    <row r="322" spans="1:16" hidden="1" x14ac:dyDescent="0.25">
      <c r="A322">
        <v>0</v>
      </c>
      <c r="B322">
        <v>10000</v>
      </c>
      <c r="C322">
        <f>1.225 * (1 - 0.00000687559 * B322) ^ 4.2561</f>
        <v>0.90462252368600637</v>
      </c>
      <c r="D322">
        <f>E322*(SQRT($C$2/C322))</f>
        <v>232.73641570654067</v>
      </c>
      <c r="E322">
        <v>200</v>
      </c>
      <c r="F322">
        <v>987</v>
      </c>
      <c r="G322">
        <v>200</v>
      </c>
      <c r="H322">
        <f>CONVERT(G322,"HP","kW")</f>
        <v>149.13997431645407</v>
      </c>
      <c r="I322">
        <v>0.43259999999999998</v>
      </c>
      <c r="J322">
        <v>1.8368</v>
      </c>
      <c r="K322">
        <v>0.56869999999999998</v>
      </c>
      <c r="L322">
        <v>3.7900000000000003E-2</v>
      </c>
      <c r="M322">
        <v>8.8999999999999999E-3</v>
      </c>
      <c r="N322">
        <f>CONVERT(O322,"lbf","N")</f>
        <v>538.67963760804651</v>
      </c>
      <c r="O322">
        <v>121.1</v>
      </c>
      <c r="P322">
        <f t="shared" si="4"/>
        <v>0.23482849604221634</v>
      </c>
    </row>
    <row r="323" spans="1:16" hidden="1" x14ac:dyDescent="0.25">
      <c r="A323">
        <v>0</v>
      </c>
      <c r="B323">
        <v>10000</v>
      </c>
      <c r="C323">
        <f>1.225 * (1 - 0.00000687559 * B323) ^ 4.2561</f>
        <v>0.90462252368600637</v>
      </c>
      <c r="D323">
        <f>E323*(SQRT($C$2/C323))</f>
        <v>256.01005727719473</v>
      </c>
      <c r="E323">
        <v>220</v>
      </c>
      <c r="F323">
        <v>987</v>
      </c>
      <c r="G323">
        <v>200</v>
      </c>
      <c r="H323">
        <f>CONVERT(G323,"HP","kW")</f>
        <v>149.13997431645407</v>
      </c>
      <c r="I323">
        <v>0.29730000000000001</v>
      </c>
      <c r="J323">
        <v>2.0205000000000002</v>
      </c>
      <c r="K323">
        <v>0.59279999999999999</v>
      </c>
      <c r="L323">
        <v>3.7900000000000003E-2</v>
      </c>
      <c r="M323">
        <v>5.5999999999999999E-3</v>
      </c>
      <c r="N323">
        <f>CONVERT(O323,"lbf","N")</f>
        <v>336.73037627521984</v>
      </c>
      <c r="O323">
        <v>75.7</v>
      </c>
      <c r="P323">
        <f t="shared" ref="P323:P386" si="5">M323/L323</f>
        <v>0.14775725593667544</v>
      </c>
    </row>
    <row r="324" spans="1:16" hidden="1" x14ac:dyDescent="0.25">
      <c r="A324">
        <v>0</v>
      </c>
      <c r="B324">
        <v>10000</v>
      </c>
      <c r="C324">
        <f>1.225 * (1 - 0.00000687559 * B324) ^ 4.2561</f>
        <v>0.90462252368600637</v>
      </c>
      <c r="D324">
        <f>E324*(SQRT($C$2/C324))</f>
        <v>279.28369884784883</v>
      </c>
      <c r="E324">
        <v>240</v>
      </c>
      <c r="F324">
        <v>987</v>
      </c>
      <c r="G324">
        <v>200</v>
      </c>
      <c r="H324">
        <f>CONVERT(G324,"HP","kW")</f>
        <v>149.13997431645407</v>
      </c>
      <c r="I324">
        <v>0.12139999999999999</v>
      </c>
      <c r="J324">
        <v>2.2042000000000002</v>
      </c>
      <c r="K324">
        <v>0.61799999999999999</v>
      </c>
      <c r="L324">
        <v>3.7900000000000003E-2</v>
      </c>
      <c r="M324">
        <v>2.0999999999999999E-3</v>
      </c>
      <c r="N324">
        <f>CONVERT(O324,"lbf","N")</f>
        <v>125.88467171187216</v>
      </c>
      <c r="O324">
        <v>28.3</v>
      </c>
      <c r="P324">
        <f t="shared" si="5"/>
        <v>5.5408970976253288E-2</v>
      </c>
    </row>
    <row r="325" spans="1:16" hidden="1" x14ac:dyDescent="0.25">
      <c r="A325">
        <v>0</v>
      </c>
      <c r="B325">
        <v>10000</v>
      </c>
      <c r="C325">
        <f>1.225 * (1 - 0.00000687559 * B325) ^ 4.2561</f>
        <v>0.90462252368600637</v>
      </c>
      <c r="D325">
        <f>E325*(SQRT($C$2/C325))</f>
        <v>302.55734041850286</v>
      </c>
      <c r="E325">
        <v>260</v>
      </c>
      <c r="F325">
        <v>987</v>
      </c>
      <c r="G325">
        <v>200</v>
      </c>
      <c r="H325">
        <f>CONVERT(G325,"HP","kW")</f>
        <v>149.13997431645407</v>
      </c>
      <c r="I325">
        <v>-0.10589999999999999</v>
      </c>
      <c r="J325">
        <v>2.3879000000000001</v>
      </c>
      <c r="K325">
        <v>0.64429999999999998</v>
      </c>
      <c r="L325">
        <v>3.7900000000000003E-2</v>
      </c>
      <c r="M325">
        <v>-1.6999999999999999E-3</v>
      </c>
      <c r="N325">
        <f>CONVERT(O325,"lbf","N")</f>
        <v>-101.41945282793941</v>
      </c>
      <c r="O325">
        <v>-22.8</v>
      </c>
      <c r="P325">
        <f t="shared" si="5"/>
        <v>-4.4854881266490759E-2</v>
      </c>
    </row>
    <row r="326" spans="1:16" hidden="1" x14ac:dyDescent="0.25">
      <c r="A326">
        <v>0</v>
      </c>
      <c r="B326">
        <v>10000</v>
      </c>
      <c r="C326">
        <f>1.225 * (1 - 0.00000687559 * B326) ^ 4.2561</f>
        <v>0.90462252368600637</v>
      </c>
      <c r="D326">
        <f>E326*(SQRT($C$2/C326))</f>
        <v>0</v>
      </c>
      <c r="E326">
        <v>0</v>
      </c>
      <c r="F326">
        <v>987</v>
      </c>
      <c r="G326">
        <v>200</v>
      </c>
      <c r="H326">
        <f>CONVERT(G326,"HP","kW")</f>
        <v>149.13997431645407</v>
      </c>
      <c r="I326">
        <v>0</v>
      </c>
      <c r="J326">
        <v>0</v>
      </c>
      <c r="K326">
        <v>0.4325</v>
      </c>
      <c r="L326">
        <v>3.7999999999999999E-2</v>
      </c>
      <c r="M326">
        <v>0.10009999999999999</v>
      </c>
      <c r="N326">
        <f>CONVERT(O326,"lbf","N")</f>
        <v>6029.1195773240825</v>
      </c>
      <c r="O326">
        <v>1355.4</v>
      </c>
      <c r="P326">
        <f t="shared" si="5"/>
        <v>2.6342105263157896</v>
      </c>
    </row>
    <row r="327" spans="1:16" hidden="1" x14ac:dyDescent="0.25">
      <c r="A327">
        <v>0</v>
      </c>
      <c r="B327">
        <v>10000</v>
      </c>
      <c r="C327">
        <f>1.225 * (1 - 0.00000687559 * B327) ^ 4.2561</f>
        <v>0.90462252368600637</v>
      </c>
      <c r="D327">
        <f>E327*(SQRT($C$2/C327))</f>
        <v>23.273641570654068</v>
      </c>
      <c r="E327">
        <v>20</v>
      </c>
      <c r="F327">
        <v>987</v>
      </c>
      <c r="G327">
        <v>200</v>
      </c>
      <c r="H327">
        <f>CONVERT(G327,"HP","kW")</f>
        <v>149.13997431645407</v>
      </c>
      <c r="I327">
        <v>0.3765</v>
      </c>
      <c r="J327">
        <v>0.1837</v>
      </c>
      <c r="K327">
        <v>0.4365</v>
      </c>
      <c r="L327">
        <v>3.7999999999999999E-2</v>
      </c>
      <c r="M327">
        <v>7.7899999999999997E-2</v>
      </c>
      <c r="N327">
        <f>CONVERT(O327,"lbf","N")</f>
        <v>4689.7600489691449</v>
      </c>
      <c r="O327">
        <v>1054.3</v>
      </c>
      <c r="P327">
        <f t="shared" si="5"/>
        <v>2.0499999999999998</v>
      </c>
    </row>
    <row r="328" spans="1:16" hidden="1" x14ac:dyDescent="0.25">
      <c r="A328">
        <v>0</v>
      </c>
      <c r="B328">
        <v>10000</v>
      </c>
      <c r="C328">
        <f>1.225 * (1 - 0.00000687559 * B328) ^ 4.2561</f>
        <v>0.90462252368600637</v>
      </c>
      <c r="D328">
        <f>E328*(SQRT($C$2/C328))</f>
        <v>46.547283141308135</v>
      </c>
      <c r="E328">
        <v>40</v>
      </c>
      <c r="F328">
        <v>987</v>
      </c>
      <c r="G328">
        <v>200</v>
      </c>
      <c r="H328">
        <f>CONVERT(G328,"HP","kW")</f>
        <v>149.13997431645407</v>
      </c>
      <c r="I328">
        <v>0.54530000000000001</v>
      </c>
      <c r="J328">
        <v>0.3674</v>
      </c>
      <c r="K328">
        <v>0.442</v>
      </c>
      <c r="L328">
        <v>3.7999999999999999E-2</v>
      </c>
      <c r="M328">
        <v>5.6399999999999999E-2</v>
      </c>
      <c r="N328">
        <f>CONVERT(O328,"lbf","N")</f>
        <v>3396.2172032513918</v>
      </c>
      <c r="O328">
        <v>763.5</v>
      </c>
      <c r="P328">
        <f t="shared" si="5"/>
        <v>1.4842105263157894</v>
      </c>
    </row>
    <row r="329" spans="1:16" hidden="1" x14ac:dyDescent="0.25">
      <c r="A329">
        <v>0</v>
      </c>
      <c r="B329">
        <v>10000</v>
      </c>
      <c r="C329">
        <f>1.225 * (1 - 0.00000687559 * B329) ^ 4.2561</f>
        <v>0.90462252368600637</v>
      </c>
      <c r="D329">
        <f>E329*(SQRT($C$2/C329))</f>
        <v>162.91549099457848</v>
      </c>
      <c r="E329">
        <v>140</v>
      </c>
      <c r="F329">
        <v>987</v>
      </c>
      <c r="G329">
        <v>200</v>
      </c>
      <c r="H329">
        <f>CONVERT(G329,"HP","kW")</f>
        <v>149.13997431645407</v>
      </c>
      <c r="I329">
        <v>0.62939999999999996</v>
      </c>
      <c r="J329">
        <v>1.2858000000000001</v>
      </c>
      <c r="K329">
        <v>0.50560000000000005</v>
      </c>
      <c r="L329">
        <v>3.7999999999999999E-2</v>
      </c>
      <c r="M329">
        <v>1.8599999999999998E-2</v>
      </c>
      <c r="N329">
        <f>CONVERT(O329,"lbf","N")</f>
        <v>1120.0622027225941</v>
      </c>
      <c r="O329">
        <v>251.8</v>
      </c>
      <c r="P329">
        <f t="shared" si="5"/>
        <v>0.48947368421052628</v>
      </c>
    </row>
    <row r="330" spans="1:16" hidden="1" x14ac:dyDescent="0.25">
      <c r="A330">
        <v>0</v>
      </c>
      <c r="B330">
        <v>10000</v>
      </c>
      <c r="C330">
        <f>1.225 * (1 - 0.00000687559 * B330) ^ 4.2561</f>
        <v>0.90462252368600637</v>
      </c>
      <c r="D330">
        <f>E330*(SQRT($C$2/C330))</f>
        <v>0</v>
      </c>
      <c r="E330">
        <v>0</v>
      </c>
      <c r="F330">
        <v>1150</v>
      </c>
      <c r="G330">
        <v>200</v>
      </c>
      <c r="H330">
        <f>CONVERT(G330,"HP","kW")</f>
        <v>149.13997431645407</v>
      </c>
      <c r="I330" s="2" t="e">
        <f>#REF!</f>
        <v>#REF!</v>
      </c>
      <c r="J330" s="2" t="e">
        <f>#REF!</f>
        <v>#REF!</v>
      </c>
      <c r="K330" s="2" t="e">
        <f>#REF!</f>
        <v>#REF!</v>
      </c>
      <c r="L330" s="2" t="e">
        <f>#REF!</f>
        <v>#REF!</v>
      </c>
      <c r="M330" s="2" t="e">
        <f>#REF!</f>
        <v>#REF!</v>
      </c>
      <c r="N330" t="e">
        <f>CONVERT(O330,"lbf","N")</f>
        <v>#REF!</v>
      </c>
      <c r="O330" s="2" t="e">
        <f>#REF!</f>
        <v>#REF!</v>
      </c>
      <c r="P330" t="e">
        <f t="shared" si="5"/>
        <v>#REF!</v>
      </c>
    </row>
    <row r="331" spans="1:16" hidden="1" x14ac:dyDescent="0.25">
      <c r="A331">
        <v>0</v>
      </c>
      <c r="B331">
        <v>25000</v>
      </c>
      <c r="C331">
        <f>1.225 * (1 - 0.00000687559 * B331) ^ 4.2561</f>
        <v>0.54892259437885793</v>
      </c>
      <c r="D331">
        <f>E331*(SQRT($C$2/C331))</f>
        <v>239.01902657456537</v>
      </c>
      <c r="E331">
        <v>160</v>
      </c>
      <c r="F331">
        <v>1150</v>
      </c>
      <c r="G331">
        <v>200</v>
      </c>
      <c r="H331">
        <f>CONVERT(G331,"HP","kW")</f>
        <v>149.13997431645407</v>
      </c>
      <c r="I331">
        <v>0.35630000000000001</v>
      </c>
      <c r="J331">
        <v>1.619</v>
      </c>
      <c r="K331">
        <v>0.66969999999999996</v>
      </c>
      <c r="L331">
        <v>3.9399999999999998E-2</v>
      </c>
      <c r="M331">
        <v>8.6999999999999994E-3</v>
      </c>
      <c r="N331">
        <f>CONVERT(O331,"lbf","N")</f>
        <v>432.36714100332057</v>
      </c>
      <c r="O331">
        <v>97.2</v>
      </c>
      <c r="P331">
        <f t="shared" si="5"/>
        <v>0.22081218274111675</v>
      </c>
    </row>
    <row r="332" spans="1:16" hidden="1" x14ac:dyDescent="0.25">
      <c r="A332">
        <v>0</v>
      </c>
      <c r="B332">
        <v>25000</v>
      </c>
      <c r="C332">
        <f>1.225 * (1 - 0.00000687559 * B332) ^ 4.2561</f>
        <v>0.54892259437885793</v>
      </c>
      <c r="D332">
        <f>E332*(SQRT($C$2/C332))</f>
        <v>0</v>
      </c>
      <c r="E332">
        <v>0</v>
      </c>
      <c r="F332">
        <v>1150</v>
      </c>
      <c r="G332">
        <v>200</v>
      </c>
      <c r="H332">
        <f>CONVERT(G332,"HP","kW")</f>
        <v>149.13997431645407</v>
      </c>
      <c r="I332">
        <v>0</v>
      </c>
      <c r="J332">
        <v>0</v>
      </c>
      <c r="K332">
        <v>0.53439999999999999</v>
      </c>
      <c r="L332">
        <v>3.95E-2</v>
      </c>
      <c r="M332">
        <v>0.10059999999999999</v>
      </c>
      <c r="N332">
        <f>CONVERT(O332,"lbf","N")</f>
        <v>5002.4700285219578</v>
      </c>
      <c r="O332">
        <v>1124.5999999999999</v>
      </c>
      <c r="P332">
        <f t="shared" si="5"/>
        <v>2.5468354430379745</v>
      </c>
    </row>
    <row r="333" spans="1:16" hidden="1" x14ac:dyDescent="0.25">
      <c r="A333">
        <v>0</v>
      </c>
      <c r="B333">
        <v>25000</v>
      </c>
      <c r="C333">
        <f>1.225 * (1 - 0.00000687559 * B333) ^ 4.2561</f>
        <v>0.54892259437885793</v>
      </c>
      <c r="D333">
        <f>E333*(SQRT($C$2/C333))</f>
        <v>29.877378321820672</v>
      </c>
      <c r="E333">
        <v>20</v>
      </c>
      <c r="F333">
        <v>1150</v>
      </c>
      <c r="G333">
        <v>200</v>
      </c>
      <c r="H333">
        <f>CONVERT(G333,"HP","kW")</f>
        <v>149.13997431645407</v>
      </c>
      <c r="I333">
        <v>0.3725</v>
      </c>
      <c r="J333">
        <v>0.2024</v>
      </c>
      <c r="K333">
        <v>0.54</v>
      </c>
      <c r="L333">
        <v>3.95E-2</v>
      </c>
      <c r="M333">
        <v>7.2700000000000001E-2</v>
      </c>
      <c r="N333">
        <f>CONVERT(O333,"lbf","N")</f>
        <v>3615.069706722209</v>
      </c>
      <c r="O333">
        <v>812.7</v>
      </c>
      <c r="P333">
        <f t="shared" si="5"/>
        <v>1.8405063291139241</v>
      </c>
    </row>
    <row r="334" spans="1:16" hidden="1" x14ac:dyDescent="0.25">
      <c r="A334">
        <v>0</v>
      </c>
      <c r="B334">
        <v>25000</v>
      </c>
      <c r="C334">
        <f>1.225 * (1 - 0.00000687559 * B334) ^ 4.2561</f>
        <v>0.54892259437885793</v>
      </c>
      <c r="D334">
        <f>E334*(SQRT($C$2/C334))</f>
        <v>59.754756643641343</v>
      </c>
      <c r="E334">
        <v>40</v>
      </c>
      <c r="F334">
        <v>1150</v>
      </c>
      <c r="G334">
        <v>200</v>
      </c>
      <c r="H334">
        <f>CONVERT(G334,"HP","kW")</f>
        <v>149.13997431645407</v>
      </c>
      <c r="I334">
        <v>0.48309999999999997</v>
      </c>
      <c r="J334">
        <v>0.40479999999999999</v>
      </c>
      <c r="K334">
        <v>0.54800000000000004</v>
      </c>
      <c r="L334">
        <v>3.95E-2</v>
      </c>
      <c r="M334">
        <v>4.7199999999999999E-2</v>
      </c>
      <c r="N334">
        <f>CONVERT(O334,"lbf","N")</f>
        <v>2343.7679690807577</v>
      </c>
      <c r="O334">
        <v>526.9</v>
      </c>
      <c r="P334">
        <f t="shared" si="5"/>
        <v>1.1949367088607594</v>
      </c>
    </row>
    <row r="335" spans="1:16" hidden="1" x14ac:dyDescent="0.25">
      <c r="A335">
        <v>0</v>
      </c>
      <c r="B335">
        <v>25000</v>
      </c>
      <c r="C335">
        <f>1.225 * (1 - 0.00000687559 * B335) ^ 4.2561</f>
        <v>0.54892259437885793</v>
      </c>
      <c r="D335">
        <f>E335*(SQRT($C$2/C335))</f>
        <v>89.632134965462015</v>
      </c>
      <c r="E335">
        <v>60</v>
      </c>
      <c r="F335">
        <v>1150</v>
      </c>
      <c r="G335">
        <v>200</v>
      </c>
      <c r="H335">
        <f>CONVERT(G335,"HP","kW")</f>
        <v>149.13997431645407</v>
      </c>
      <c r="I335">
        <v>0.51880000000000004</v>
      </c>
      <c r="J335">
        <v>0.60709999999999997</v>
      </c>
      <c r="K335">
        <v>0.55930000000000002</v>
      </c>
      <c r="L335">
        <v>3.95E-2</v>
      </c>
      <c r="M335">
        <v>3.3799999999999997E-2</v>
      </c>
      <c r="N335">
        <f>CONVERT(O335,"lbf","N")</f>
        <v>1678.3140154377868</v>
      </c>
      <c r="O335">
        <v>377.3</v>
      </c>
      <c r="P335">
        <f t="shared" si="5"/>
        <v>0.85569620253164547</v>
      </c>
    </row>
    <row r="336" spans="1:16" hidden="1" x14ac:dyDescent="0.25">
      <c r="A336">
        <v>0</v>
      </c>
      <c r="B336">
        <v>25000</v>
      </c>
      <c r="C336">
        <f>1.225 * (1 - 0.00000687559 * B336) ^ 4.2561</f>
        <v>0.54892259437885793</v>
      </c>
      <c r="D336">
        <f>E336*(SQRT($C$2/C336))</f>
        <v>119.50951328728269</v>
      </c>
      <c r="E336">
        <v>80</v>
      </c>
      <c r="F336">
        <v>1150</v>
      </c>
      <c r="G336">
        <v>200</v>
      </c>
      <c r="H336">
        <f>CONVERT(G336,"HP","kW")</f>
        <v>149.13997431645407</v>
      </c>
      <c r="I336">
        <v>0.54190000000000005</v>
      </c>
      <c r="J336">
        <v>0.8095</v>
      </c>
      <c r="K336">
        <v>0.5746</v>
      </c>
      <c r="L336">
        <v>3.95E-2</v>
      </c>
      <c r="M336">
        <v>2.64E-2</v>
      </c>
      <c r="N336">
        <f>CONVERT(O336,"lbf","N")</f>
        <v>1314.4494873094777</v>
      </c>
      <c r="O336">
        <v>295.5</v>
      </c>
      <c r="P336">
        <f t="shared" si="5"/>
        <v>0.66835443037974684</v>
      </c>
    </row>
    <row r="337" spans="1:16" hidden="1" x14ac:dyDescent="0.25">
      <c r="A337">
        <v>0</v>
      </c>
      <c r="B337">
        <v>25000</v>
      </c>
      <c r="C337">
        <f>1.225 * (1 - 0.00000687559 * B337) ^ 4.2561</f>
        <v>0.54892259437885793</v>
      </c>
      <c r="D337">
        <f>E337*(SQRT($C$2/C337))</f>
        <v>149.38689160910337</v>
      </c>
      <c r="E337">
        <v>100</v>
      </c>
      <c r="F337">
        <v>1150</v>
      </c>
      <c r="G337">
        <v>200</v>
      </c>
      <c r="H337">
        <f>CONVERT(G337,"HP","kW")</f>
        <v>149.13997431645407</v>
      </c>
      <c r="I337">
        <v>0.54549999999999998</v>
      </c>
      <c r="J337">
        <v>1.0119</v>
      </c>
      <c r="K337">
        <v>0.59360000000000002</v>
      </c>
      <c r="L337">
        <v>3.95E-2</v>
      </c>
      <c r="M337">
        <v>2.1299999999999999E-2</v>
      </c>
      <c r="N337">
        <f>CONVERT(O337,"lbf","N")</f>
        <v>1058.6767444319989</v>
      </c>
      <c r="O337">
        <v>238</v>
      </c>
      <c r="P337">
        <f t="shared" si="5"/>
        <v>0.53924050632911391</v>
      </c>
    </row>
    <row r="338" spans="1:16" hidden="1" x14ac:dyDescent="0.25">
      <c r="A338">
        <v>0</v>
      </c>
      <c r="B338">
        <v>25000</v>
      </c>
      <c r="C338">
        <f>1.225 * (1 - 0.00000687559 * B338) ^ 4.2561</f>
        <v>0.54892259437885793</v>
      </c>
      <c r="D338">
        <f>E338*(SQRT($C$2/C338))</f>
        <v>179.26426993092403</v>
      </c>
      <c r="E338">
        <v>120</v>
      </c>
      <c r="F338">
        <v>1150</v>
      </c>
      <c r="G338">
        <v>200</v>
      </c>
      <c r="H338">
        <f>CONVERT(G338,"HP","kW")</f>
        <v>149.13997431645407</v>
      </c>
      <c r="I338">
        <v>0.52600000000000002</v>
      </c>
      <c r="J338">
        <v>1.2142999999999999</v>
      </c>
      <c r="K338">
        <v>0.61609999999999998</v>
      </c>
      <c r="L338">
        <v>3.95E-2</v>
      </c>
      <c r="M338">
        <v>1.7100000000000001E-2</v>
      </c>
      <c r="N338">
        <f>CONVERT(O338,"lbf","N")</f>
        <v>850.49997283780749</v>
      </c>
      <c r="O338">
        <v>191.2</v>
      </c>
      <c r="P338">
        <f t="shared" si="5"/>
        <v>0.43291139240506332</v>
      </c>
    </row>
    <row r="339" spans="1:16" hidden="1" x14ac:dyDescent="0.25">
      <c r="A339">
        <v>0</v>
      </c>
      <c r="B339">
        <v>25000</v>
      </c>
      <c r="C339">
        <f>1.225 * (1 - 0.00000687559 * B339) ^ 4.2561</f>
        <v>0.54892259437885793</v>
      </c>
      <c r="D339">
        <f>E339*(SQRT($C$2/C339))</f>
        <v>209.14164825274472</v>
      </c>
      <c r="E339">
        <v>140</v>
      </c>
      <c r="F339">
        <v>1150</v>
      </c>
      <c r="G339">
        <v>200</v>
      </c>
      <c r="H339">
        <f>CONVERT(G339,"HP","kW")</f>
        <v>149.13997431645407</v>
      </c>
      <c r="I339">
        <v>0.47260000000000002</v>
      </c>
      <c r="J339">
        <v>1.4166000000000001</v>
      </c>
      <c r="K339">
        <v>0.64149999999999996</v>
      </c>
      <c r="L339">
        <v>3.95E-2</v>
      </c>
      <c r="M339">
        <v>1.32E-2</v>
      </c>
      <c r="N339">
        <f>CONVERT(O339,"lbf","N")</f>
        <v>655.22304392787169</v>
      </c>
      <c r="O339">
        <v>147.30000000000001</v>
      </c>
      <c r="P339">
        <f t="shared" si="5"/>
        <v>0.33417721518987342</v>
      </c>
    </row>
    <row r="340" spans="1:16" hidden="1" x14ac:dyDescent="0.25">
      <c r="A340">
        <v>0</v>
      </c>
      <c r="B340">
        <v>25000</v>
      </c>
      <c r="C340">
        <f>1.225 * (1 - 0.00000687559 * B340) ^ 4.2561</f>
        <v>0.54892259437885793</v>
      </c>
      <c r="D340">
        <f>E340*(SQRT($C$2/C340))</f>
        <v>268.89640489638606</v>
      </c>
      <c r="E340">
        <v>180</v>
      </c>
      <c r="F340">
        <v>1150</v>
      </c>
      <c r="G340">
        <v>200</v>
      </c>
      <c r="H340">
        <f>CONVERT(G340,"HP","kW")</f>
        <v>149.13997431645407</v>
      </c>
      <c r="I340">
        <v>0.15820000000000001</v>
      </c>
      <c r="J340">
        <v>1.8213999999999999</v>
      </c>
      <c r="K340">
        <v>0.70030000000000003</v>
      </c>
      <c r="L340">
        <v>3.95E-2</v>
      </c>
      <c r="M340">
        <v>3.3999999999999998E-3</v>
      </c>
      <c r="N340">
        <f>CONVERT(O340,"lbf","N")</f>
        <v>170.36688786447715</v>
      </c>
      <c r="O340">
        <v>38.299999999999997</v>
      </c>
      <c r="P340">
        <f t="shared" si="5"/>
        <v>8.6075949367088608E-2</v>
      </c>
    </row>
    <row r="341" spans="1:16" hidden="1" x14ac:dyDescent="0.25">
      <c r="A341">
        <v>0</v>
      </c>
      <c r="B341">
        <v>25000</v>
      </c>
      <c r="C341">
        <f>1.225 * (1 - 0.00000687559 * B341) ^ 4.2561</f>
        <v>0.54892259437885793</v>
      </c>
      <c r="D341">
        <f>E341*(SQRT($C$2/C341))</f>
        <v>328.65116154002743</v>
      </c>
      <c r="E341">
        <v>220</v>
      </c>
      <c r="F341">
        <v>1150</v>
      </c>
      <c r="G341">
        <v>200</v>
      </c>
      <c r="H341">
        <f>CONVERT(G341,"HP","kW")</f>
        <v>149.13997431645407</v>
      </c>
      <c r="I341">
        <v>-0.6341</v>
      </c>
      <c r="J341">
        <v>2.2262</v>
      </c>
      <c r="K341">
        <v>0.76739999999999997</v>
      </c>
      <c r="L341">
        <v>3.95E-2</v>
      </c>
      <c r="M341">
        <v>-1.1299999999999999E-2</v>
      </c>
      <c r="N341">
        <f>CONVERT(O341,"lbf","N")</f>
        <v>-559.14145703824488</v>
      </c>
      <c r="O341">
        <v>-125.7</v>
      </c>
      <c r="P341">
        <f t="shared" si="5"/>
        <v>-0.28607594936708858</v>
      </c>
    </row>
    <row r="342" spans="1:16" hidden="1" x14ac:dyDescent="0.25">
      <c r="A342">
        <v>0</v>
      </c>
      <c r="B342">
        <v>25000</v>
      </c>
      <c r="C342">
        <f>1.225 * (1 - 0.00000687559 * B342) ^ 4.2561</f>
        <v>0.54892259437885793</v>
      </c>
      <c r="D342">
        <f>E342*(SQRT($C$2/C342))</f>
        <v>358.52853986184806</v>
      </c>
      <c r="E342">
        <v>240</v>
      </c>
      <c r="F342">
        <v>1150</v>
      </c>
      <c r="G342">
        <v>200</v>
      </c>
      <c r="H342">
        <f>CONVERT(G342,"HP","kW")</f>
        <v>149.13997431645407</v>
      </c>
      <c r="I342">
        <v>0</v>
      </c>
      <c r="J342">
        <v>2.4285000000000001</v>
      </c>
      <c r="K342">
        <v>0.80349999999999999</v>
      </c>
      <c r="L342">
        <v>3.95E-2</v>
      </c>
      <c r="M342">
        <v>-2.0799999999999999E-2</v>
      </c>
      <c r="N342">
        <f>CONVERT(O342,"lbf","N")</f>
        <v>-1033.7667033865403</v>
      </c>
      <c r="O342">
        <v>-232.4</v>
      </c>
      <c r="P342">
        <f t="shared" si="5"/>
        <v>-0.52658227848101258</v>
      </c>
    </row>
    <row r="343" spans="1:16" hidden="1" x14ac:dyDescent="0.25">
      <c r="A343">
        <v>0</v>
      </c>
      <c r="B343">
        <v>25000</v>
      </c>
      <c r="C343">
        <f>1.225 * (1 - 0.00000687559 * B343) ^ 4.2561</f>
        <v>0.54892259437885793</v>
      </c>
      <c r="D343">
        <f>E343*(SQRT($C$2/C343))</f>
        <v>388.40591818366875</v>
      </c>
      <c r="E343">
        <v>260</v>
      </c>
      <c r="F343">
        <v>1150</v>
      </c>
      <c r="G343">
        <v>200</v>
      </c>
      <c r="H343">
        <f>CONVERT(G343,"HP","kW")</f>
        <v>149.13997431645407</v>
      </c>
      <c r="I343">
        <v>0</v>
      </c>
      <c r="J343">
        <v>2.6309</v>
      </c>
      <c r="K343">
        <v>0.84089999999999998</v>
      </c>
      <c r="L343">
        <v>3.95E-2</v>
      </c>
      <c r="M343">
        <v>-3.4200000000000001E-2</v>
      </c>
      <c r="N343">
        <f>CONVERT(O343,"lbf","N")</f>
        <v>-1699.2206570295111</v>
      </c>
      <c r="O343">
        <v>-382</v>
      </c>
      <c r="P343">
        <f t="shared" si="5"/>
        <v>-0.86582278481012664</v>
      </c>
    </row>
    <row r="344" spans="1:16" hidden="1" x14ac:dyDescent="0.25">
      <c r="A344">
        <v>0</v>
      </c>
      <c r="B344">
        <v>25000</v>
      </c>
      <c r="C344">
        <f>1.225 * (1 - 0.00000687559 * B344) ^ 4.2561</f>
        <v>0.54892259437885793</v>
      </c>
      <c r="D344">
        <f>E344*(SQRT($C$2/C344))</f>
        <v>298.77378321820675</v>
      </c>
      <c r="E344">
        <v>200</v>
      </c>
      <c r="F344">
        <v>1150</v>
      </c>
      <c r="G344">
        <v>200</v>
      </c>
      <c r="H344">
        <f>CONVERT(G344,"HP","kW")</f>
        <v>149.13997431645407</v>
      </c>
      <c r="I344">
        <v>-0.18379999999999999</v>
      </c>
      <c r="J344">
        <v>2.0238</v>
      </c>
      <c r="K344">
        <v>0.73299999999999998</v>
      </c>
      <c r="L344">
        <v>3.9600000000000003E-2</v>
      </c>
      <c r="M344">
        <v>-3.5999999999999999E-3</v>
      </c>
      <c r="N344">
        <f>CONVERT(O344,"lbf","N")</f>
        <v>-178.37368677194607</v>
      </c>
      <c r="O344">
        <v>-40.1</v>
      </c>
      <c r="P344">
        <f t="shared" si="5"/>
        <v>-9.0909090909090898E-2</v>
      </c>
    </row>
    <row r="345" spans="1:16" hidden="1" x14ac:dyDescent="0.25">
      <c r="A345">
        <v>0</v>
      </c>
      <c r="B345">
        <v>30000</v>
      </c>
      <c r="C345">
        <f>1.225 * (1 - 0.00000687559 * B345) ^ 4.2561</f>
        <v>0.45828836225470948</v>
      </c>
      <c r="D345">
        <f>E345*(SQRT($C$2/C345))</f>
        <v>0</v>
      </c>
      <c r="E345">
        <v>0</v>
      </c>
      <c r="F345">
        <v>1215</v>
      </c>
      <c r="G345">
        <v>200</v>
      </c>
      <c r="H345">
        <f>CONVERT(G345,"HP","kW")</f>
        <v>149.13997431645407</v>
      </c>
      <c r="I345">
        <v>0</v>
      </c>
      <c r="J345">
        <v>0</v>
      </c>
      <c r="K345">
        <v>0.5766</v>
      </c>
      <c r="L345">
        <v>4.0099999999999997E-2</v>
      </c>
      <c r="M345">
        <v>0.1011</v>
      </c>
      <c r="N345">
        <f>CONVERT(O345,"lbf","N")</f>
        <v>4679.5291392540457</v>
      </c>
      <c r="O345">
        <v>1052</v>
      </c>
      <c r="P345">
        <f t="shared" si="5"/>
        <v>2.5211970074812968</v>
      </c>
    </row>
    <row r="346" spans="1:16" hidden="1" x14ac:dyDescent="0.25">
      <c r="A346">
        <v>0</v>
      </c>
      <c r="B346">
        <v>30000</v>
      </c>
      <c r="C346">
        <f>1.225 * (1 - 0.00000687559 * B346) ^ 4.2561</f>
        <v>0.45828836225470948</v>
      </c>
      <c r="D346">
        <f>E346*(SQRT($C$2/C346))</f>
        <v>32.698559864506464</v>
      </c>
      <c r="E346">
        <v>20</v>
      </c>
      <c r="F346">
        <v>1215</v>
      </c>
      <c r="G346">
        <v>200</v>
      </c>
      <c r="H346">
        <f>CONVERT(G346,"HP","kW")</f>
        <v>149.13997431645407</v>
      </c>
      <c r="I346">
        <v>0.36799999999999999</v>
      </c>
      <c r="J346">
        <v>0.20960000000000001</v>
      </c>
      <c r="K346">
        <v>0.58309999999999995</v>
      </c>
      <c r="L346">
        <v>4.0099999999999997E-2</v>
      </c>
      <c r="M346">
        <v>7.0499999999999993E-2</v>
      </c>
      <c r="N346">
        <f>CONVERT(O346,"lbf","N")</f>
        <v>3262.7705547935766</v>
      </c>
      <c r="O346">
        <v>733.5</v>
      </c>
      <c r="P346">
        <f t="shared" si="5"/>
        <v>1.7581047381546135</v>
      </c>
    </row>
    <row r="347" spans="1:16" hidden="1" x14ac:dyDescent="0.25">
      <c r="A347">
        <v>0</v>
      </c>
      <c r="B347">
        <v>30000</v>
      </c>
      <c r="C347">
        <f>1.225 * (1 - 0.00000687559 * B347) ^ 4.2561</f>
        <v>0.45828836225470948</v>
      </c>
      <c r="D347">
        <f>E347*(SQRT($C$2/C347))</f>
        <v>65.397119729012928</v>
      </c>
      <c r="E347">
        <v>40</v>
      </c>
      <c r="F347">
        <v>1215</v>
      </c>
      <c r="G347">
        <v>200</v>
      </c>
      <c r="H347">
        <f>CONVERT(G347,"HP","kW")</f>
        <v>149.13997431645407</v>
      </c>
      <c r="I347">
        <v>0.46560000000000001</v>
      </c>
      <c r="J347">
        <v>0.41930000000000001</v>
      </c>
      <c r="K347">
        <v>0.59209999999999996</v>
      </c>
      <c r="L347">
        <v>4.0099999999999997E-2</v>
      </c>
      <c r="M347">
        <v>4.4600000000000001E-2</v>
      </c>
      <c r="N347">
        <f>CONVERT(O347,"lbf","N")</f>
        <v>2063.9748294808724</v>
      </c>
      <c r="O347">
        <v>464</v>
      </c>
      <c r="P347">
        <f t="shared" si="5"/>
        <v>1.1122194513715711</v>
      </c>
    </row>
    <row r="348" spans="1:16" hidden="1" x14ac:dyDescent="0.25">
      <c r="A348">
        <v>0</v>
      </c>
      <c r="B348">
        <v>30000</v>
      </c>
      <c r="C348">
        <f>1.225 * (1 - 0.00000687559 * B348) ^ 4.2561</f>
        <v>0.45828836225470948</v>
      </c>
      <c r="D348">
        <f>E348*(SQRT($C$2/C348))</f>
        <v>163.49279932253233</v>
      </c>
      <c r="E348">
        <v>100</v>
      </c>
      <c r="F348">
        <v>1215</v>
      </c>
      <c r="G348">
        <v>200</v>
      </c>
      <c r="H348">
        <f>CONVERT(G348,"HP","kW")</f>
        <v>149.13997431645407</v>
      </c>
      <c r="I348">
        <v>0.47020000000000001</v>
      </c>
      <c r="J348">
        <v>1.0482</v>
      </c>
      <c r="K348">
        <v>0.64470000000000005</v>
      </c>
      <c r="L348">
        <v>4.0099999999999997E-2</v>
      </c>
      <c r="M348">
        <v>1.7999999999999999E-2</v>
      </c>
      <c r="N348">
        <f>CONVERT(O348,"lbf","N")</f>
        <v>833.59673069981773</v>
      </c>
      <c r="O348">
        <v>187.4</v>
      </c>
      <c r="P348">
        <f t="shared" si="5"/>
        <v>0.44887780548628431</v>
      </c>
    </row>
    <row r="349" spans="1:16" hidden="1" x14ac:dyDescent="0.25">
      <c r="A349">
        <v>0</v>
      </c>
      <c r="B349">
        <v>30000</v>
      </c>
      <c r="C349">
        <f>1.225 * (1 - 0.00000687559 * B349) ^ 4.2561</f>
        <v>0.45828836225470948</v>
      </c>
      <c r="D349">
        <f>E349*(SQRT($C$2/C349))</f>
        <v>196.19135918703881</v>
      </c>
      <c r="E349">
        <v>120</v>
      </c>
      <c r="F349">
        <v>1215</v>
      </c>
      <c r="G349">
        <v>200</v>
      </c>
      <c r="H349">
        <f>CONVERT(G349,"HP","kW")</f>
        <v>149.13997431645407</v>
      </c>
      <c r="I349">
        <v>0.39779999999999999</v>
      </c>
      <c r="J349">
        <v>1.2578</v>
      </c>
      <c r="K349">
        <v>0.67049999999999998</v>
      </c>
      <c r="L349">
        <v>4.0099999999999997E-2</v>
      </c>
      <c r="M349">
        <v>1.2699999999999999E-2</v>
      </c>
      <c r="N349">
        <f>CONVERT(O349,"lbf","N")</f>
        <v>588.05489753743802</v>
      </c>
      <c r="O349">
        <v>132.19999999999999</v>
      </c>
      <c r="P349">
        <f t="shared" si="5"/>
        <v>0.31670822942643395</v>
      </c>
    </row>
    <row r="350" spans="1:16" hidden="1" x14ac:dyDescent="0.25">
      <c r="A350">
        <v>0</v>
      </c>
      <c r="B350">
        <v>30000</v>
      </c>
      <c r="C350">
        <f>1.225 * (1 - 0.00000687559 * B350) ^ 4.2561</f>
        <v>0.45828836225470948</v>
      </c>
      <c r="D350">
        <f>E350*(SQRT($C$2/C350))</f>
        <v>228.88991905154526</v>
      </c>
      <c r="E350">
        <v>140</v>
      </c>
      <c r="F350">
        <v>1215</v>
      </c>
      <c r="G350">
        <v>200</v>
      </c>
      <c r="H350">
        <f>CONVERT(G350,"HP","kW")</f>
        <v>149.13997431645407</v>
      </c>
      <c r="I350">
        <v>0.25459999999999999</v>
      </c>
      <c r="J350">
        <v>1.4675</v>
      </c>
      <c r="K350">
        <v>0.69969999999999999</v>
      </c>
      <c r="L350">
        <v>4.0099999999999997E-2</v>
      </c>
      <c r="M350">
        <v>7.0000000000000001E-3</v>
      </c>
      <c r="N350">
        <f>CONVERT(O350,"lbf","N")</f>
        <v>322.49606710638625</v>
      </c>
      <c r="O350">
        <v>72.5</v>
      </c>
      <c r="P350">
        <f t="shared" si="5"/>
        <v>0.1745635910224439</v>
      </c>
    </row>
    <row r="351" spans="1:16" hidden="1" x14ac:dyDescent="0.25">
      <c r="A351">
        <v>0</v>
      </c>
      <c r="B351">
        <v>30000</v>
      </c>
      <c r="C351">
        <f>1.225 * (1 - 0.00000687559 * B351) ^ 4.2561</f>
        <v>0.45828836225470948</v>
      </c>
      <c r="D351">
        <f>E351*(SQRT($C$2/C351))</f>
        <v>294.28703878055819</v>
      </c>
      <c r="E351">
        <v>180</v>
      </c>
      <c r="F351">
        <v>1215</v>
      </c>
      <c r="G351">
        <v>200</v>
      </c>
      <c r="H351">
        <f>CONVERT(G351,"HP","kW")</f>
        <v>149.13997431645407</v>
      </c>
      <c r="I351">
        <v>-0.2707</v>
      </c>
      <c r="J351">
        <v>1.8867</v>
      </c>
      <c r="K351">
        <v>0.76690000000000003</v>
      </c>
      <c r="L351">
        <v>4.0099999999999997E-2</v>
      </c>
      <c r="M351">
        <v>-5.7999999999999996E-3</v>
      </c>
      <c r="N351">
        <f>CONVERT(O351,"lbf","N")</f>
        <v>-266.89329691563</v>
      </c>
      <c r="O351">
        <v>-60</v>
      </c>
      <c r="P351">
        <f t="shared" si="5"/>
        <v>-0.14463840399002495</v>
      </c>
    </row>
    <row r="352" spans="1:16" hidden="1" x14ac:dyDescent="0.25">
      <c r="A352">
        <v>0</v>
      </c>
      <c r="B352">
        <v>30000</v>
      </c>
      <c r="C352">
        <f>1.225 * (1 - 0.00000687559 * B352) ^ 4.2561</f>
        <v>0.45828836225470948</v>
      </c>
      <c r="D352">
        <f>E352*(SQRT($C$2/C352))</f>
        <v>326.98559864506467</v>
      </c>
      <c r="E352">
        <v>200</v>
      </c>
      <c r="F352">
        <v>1215</v>
      </c>
      <c r="G352">
        <v>200</v>
      </c>
      <c r="H352">
        <f>CONVERT(G352,"HP","kW")</f>
        <v>149.13997431645407</v>
      </c>
      <c r="I352">
        <v>-0.69179999999999997</v>
      </c>
      <c r="J352">
        <v>2.0964</v>
      </c>
      <c r="K352">
        <v>0.80410000000000004</v>
      </c>
      <c r="L352">
        <v>4.0099999999999997E-2</v>
      </c>
      <c r="M352">
        <v>-1.32E-2</v>
      </c>
      <c r="N352">
        <f>CONVERT(O352,"lbf","N")</f>
        <v>-613.40976074442301</v>
      </c>
      <c r="O352">
        <v>-137.9</v>
      </c>
      <c r="P352">
        <f t="shared" si="5"/>
        <v>-0.32917705735660852</v>
      </c>
    </row>
    <row r="353" spans="1:16" hidden="1" x14ac:dyDescent="0.25">
      <c r="A353">
        <v>0</v>
      </c>
      <c r="B353">
        <v>30000</v>
      </c>
      <c r="C353">
        <f>1.225 * (1 - 0.00000687559 * B353) ^ 4.2561</f>
        <v>0.45828836225470948</v>
      </c>
      <c r="D353">
        <f>E353*(SQRT($C$2/C353))</f>
        <v>359.68415850957115</v>
      </c>
      <c r="E353">
        <v>220</v>
      </c>
      <c r="F353">
        <v>1215</v>
      </c>
      <c r="G353">
        <v>200</v>
      </c>
      <c r="H353">
        <f>CONVERT(G353,"HP","kW")</f>
        <v>149.13997431645407</v>
      </c>
      <c r="I353">
        <v>0</v>
      </c>
      <c r="J353">
        <v>2.306</v>
      </c>
      <c r="K353">
        <v>0.84330000000000005</v>
      </c>
      <c r="L353">
        <v>4.0099999999999997E-2</v>
      </c>
      <c r="M353">
        <v>-2.3800000000000002E-2</v>
      </c>
      <c r="N353">
        <f>CONVERT(O353,"lbf","N")</f>
        <v>-1104.048604907656</v>
      </c>
      <c r="O353">
        <v>-248.2</v>
      </c>
      <c r="P353">
        <f t="shared" si="5"/>
        <v>-0.59351620947630934</v>
      </c>
    </row>
    <row r="354" spans="1:16" hidden="1" x14ac:dyDescent="0.25">
      <c r="A354">
        <v>0</v>
      </c>
      <c r="B354">
        <v>30000</v>
      </c>
      <c r="C354">
        <f>1.225 * (1 - 0.00000687559 * B354) ^ 4.2561</f>
        <v>0.45828836225470948</v>
      </c>
      <c r="D354">
        <f>E354*(SQRT($C$2/C354))</f>
        <v>392.38271837407763</v>
      </c>
      <c r="E354">
        <v>240</v>
      </c>
      <c r="F354">
        <v>1215</v>
      </c>
      <c r="G354">
        <v>200</v>
      </c>
      <c r="H354">
        <f>CONVERT(G354,"HP","kW")</f>
        <v>149.13997431645407</v>
      </c>
      <c r="I354">
        <v>0</v>
      </c>
      <c r="J354">
        <v>2.5156999999999998</v>
      </c>
      <c r="K354">
        <v>0.88429999999999997</v>
      </c>
      <c r="L354">
        <v>4.0099999999999997E-2</v>
      </c>
      <c r="M354">
        <v>-4.1000000000000002E-2</v>
      </c>
      <c r="N354">
        <f>CONVERT(O354,"lbf","N")</f>
        <v>-1897.1665189086032</v>
      </c>
      <c r="O354">
        <v>-426.5</v>
      </c>
      <c r="P354">
        <f t="shared" si="5"/>
        <v>-1.0224438902743143</v>
      </c>
    </row>
    <row r="355" spans="1:16" hidden="1" x14ac:dyDescent="0.25">
      <c r="A355">
        <v>0</v>
      </c>
      <c r="B355">
        <v>30000</v>
      </c>
      <c r="C355">
        <f>1.225 * (1 - 0.00000687559 * B355) ^ 4.2561</f>
        <v>0.45828836225470948</v>
      </c>
      <c r="D355">
        <f>E355*(SQRT($C$2/C355))</f>
        <v>425.08127823858405</v>
      </c>
      <c r="E355">
        <v>260</v>
      </c>
      <c r="F355">
        <v>1215</v>
      </c>
      <c r="G355">
        <v>200</v>
      </c>
      <c r="H355">
        <f>CONVERT(G355,"HP","kW")</f>
        <v>149.13997431645407</v>
      </c>
      <c r="I355">
        <v>0</v>
      </c>
      <c r="J355">
        <v>2.7252999999999998</v>
      </c>
      <c r="K355">
        <v>0.92679999999999996</v>
      </c>
      <c r="L355">
        <v>4.0099999999999997E-2</v>
      </c>
      <c r="M355">
        <v>-6.5199999999999994E-2</v>
      </c>
      <c r="N355">
        <f>CONVERT(O355,"lbf","N")</f>
        <v>-3018.5631881157756</v>
      </c>
      <c r="O355">
        <v>-678.6</v>
      </c>
      <c r="P355">
        <f t="shared" si="5"/>
        <v>-1.6259351620947631</v>
      </c>
    </row>
    <row r="356" spans="1:16" hidden="1" x14ac:dyDescent="0.25">
      <c r="A356">
        <v>0</v>
      </c>
      <c r="B356">
        <v>30000</v>
      </c>
      <c r="C356">
        <f>1.225 * (1 - 0.00000687559 * B356) ^ 4.2561</f>
        <v>0.45828836225470948</v>
      </c>
      <c r="D356">
        <f>E356*(SQRT($C$2/C356))</f>
        <v>98.095679593519407</v>
      </c>
      <c r="E356">
        <v>60</v>
      </c>
      <c r="F356">
        <v>1215</v>
      </c>
      <c r="G356">
        <v>200</v>
      </c>
      <c r="H356">
        <f>CONVERT(G356,"HP","kW")</f>
        <v>149.13997431645407</v>
      </c>
      <c r="I356">
        <v>0.4955</v>
      </c>
      <c r="J356">
        <v>0.62890000000000001</v>
      </c>
      <c r="K356">
        <v>0.60519999999999996</v>
      </c>
      <c r="L356">
        <v>4.02E-2</v>
      </c>
      <c r="M356">
        <v>3.1600000000000003E-2</v>
      </c>
      <c r="N356">
        <f>CONVERT(O356,"lbf","N")</f>
        <v>1464.3545557437567</v>
      </c>
      <c r="O356">
        <v>329.2</v>
      </c>
      <c r="P356">
        <f t="shared" si="5"/>
        <v>0.78606965174129362</v>
      </c>
    </row>
    <row r="357" spans="1:16" hidden="1" x14ac:dyDescent="0.25">
      <c r="A357">
        <v>0</v>
      </c>
      <c r="B357">
        <v>30000</v>
      </c>
      <c r="C357">
        <f>1.225 * (1 - 0.00000687559 * B357) ^ 4.2561</f>
        <v>0.45828836225470948</v>
      </c>
      <c r="D357">
        <f>E357*(SQRT($C$2/C357))</f>
        <v>130.79423945802586</v>
      </c>
      <c r="E357">
        <v>80</v>
      </c>
      <c r="F357">
        <v>1215</v>
      </c>
      <c r="G357">
        <v>200</v>
      </c>
      <c r="H357">
        <f>CONVERT(G357,"HP","kW")</f>
        <v>149.13997431645407</v>
      </c>
      <c r="I357">
        <v>0.50439999999999996</v>
      </c>
      <c r="J357">
        <v>0.83860000000000001</v>
      </c>
      <c r="K357">
        <v>0.62280000000000002</v>
      </c>
      <c r="L357">
        <v>4.02E-2</v>
      </c>
      <c r="M357">
        <v>2.4199999999999999E-2</v>
      </c>
      <c r="N357">
        <f>CONVERT(O357,"lbf","N")</f>
        <v>1117.8380919149638</v>
      </c>
      <c r="O357">
        <v>251.3</v>
      </c>
      <c r="P357">
        <f t="shared" si="5"/>
        <v>0.60199004975124382</v>
      </c>
    </row>
    <row r="358" spans="1:16" hidden="1" x14ac:dyDescent="0.25">
      <c r="A358">
        <v>0</v>
      </c>
      <c r="B358">
        <v>30000</v>
      </c>
      <c r="C358">
        <f>1.225 * (1 - 0.00000687559 * B358) ^ 4.2561</f>
        <v>0.45828836225470948</v>
      </c>
      <c r="D358">
        <f>E358*(SQRT($C$2/C358))</f>
        <v>261.58847891605171</v>
      </c>
      <c r="E358">
        <v>160</v>
      </c>
      <c r="F358">
        <v>1215</v>
      </c>
      <c r="G358">
        <v>200</v>
      </c>
      <c r="H358">
        <f>CONVERT(G358,"HP","kW")</f>
        <v>149.13997431645407</v>
      </c>
      <c r="I358">
        <v>2.63E-2</v>
      </c>
      <c r="J358">
        <v>1.6771</v>
      </c>
      <c r="K358">
        <v>0.73199999999999998</v>
      </c>
      <c r="L358">
        <v>4.02E-2</v>
      </c>
      <c r="M358">
        <v>5.9999999999999995E-4</v>
      </c>
      <c r="N358">
        <f>CONVERT(O358,"lbf","N")</f>
        <v>28.91344049919325</v>
      </c>
      <c r="O358">
        <v>6.5</v>
      </c>
      <c r="P358">
        <f t="shared" si="5"/>
        <v>1.4925373134328356E-2</v>
      </c>
    </row>
    <row r="359" spans="1:16" hidden="1" x14ac:dyDescent="0.25">
      <c r="A359">
        <v>0</v>
      </c>
      <c r="B359">
        <v>5000</v>
      </c>
      <c r="C359">
        <f>1.225 * (1 - 0.00000687559 * B359) ^ 4.2561</f>
        <v>1.0555380742846066</v>
      </c>
      <c r="D359">
        <f>E359*(SQRT($C$2/C359))</f>
        <v>64.637171418273525</v>
      </c>
      <c r="E359">
        <v>60</v>
      </c>
      <c r="F359">
        <v>987</v>
      </c>
      <c r="G359">
        <v>250</v>
      </c>
      <c r="H359">
        <f>CONVERT(G359,"HP","kW")</f>
        <v>186.42496789556756</v>
      </c>
      <c r="I359">
        <v>0.63360000000000005</v>
      </c>
      <c r="J359">
        <v>0.5101</v>
      </c>
      <c r="K359">
        <v>0.43980000000000002</v>
      </c>
      <c r="L359">
        <v>4.0599999999999997E-2</v>
      </c>
      <c r="M359">
        <v>5.0500000000000003E-2</v>
      </c>
      <c r="N359">
        <f>CONVERT(O359,"lbf","N")</f>
        <v>3552.3497819470354</v>
      </c>
      <c r="O359">
        <v>798.6</v>
      </c>
      <c r="P359">
        <f t="shared" si="5"/>
        <v>1.2438423645320198</v>
      </c>
    </row>
    <row r="360" spans="1:16" hidden="1" x14ac:dyDescent="0.25">
      <c r="A360">
        <v>0</v>
      </c>
      <c r="B360">
        <v>5000</v>
      </c>
      <c r="C360">
        <f>1.225 * (1 - 0.00000687559 * B360) ^ 4.2561</f>
        <v>1.0555380742846066</v>
      </c>
      <c r="D360">
        <f>E360*(SQRT($C$2/C360))</f>
        <v>86.1828952243647</v>
      </c>
      <c r="E360">
        <v>80</v>
      </c>
      <c r="F360">
        <v>987</v>
      </c>
      <c r="G360">
        <v>250</v>
      </c>
      <c r="H360">
        <f>CONVERT(G360,"HP","kW")</f>
        <v>186.42496789556756</v>
      </c>
      <c r="I360">
        <v>0.67230000000000001</v>
      </c>
      <c r="J360">
        <v>0.68020000000000003</v>
      </c>
      <c r="K360">
        <v>0.4486</v>
      </c>
      <c r="L360">
        <v>4.0599999999999997E-2</v>
      </c>
      <c r="M360">
        <v>4.02E-2</v>
      </c>
      <c r="N360">
        <f>CONVERT(O360,"lbf","N")</f>
        <v>2826.8448364980477</v>
      </c>
      <c r="O360">
        <v>635.5</v>
      </c>
      <c r="P360">
        <f t="shared" si="5"/>
        <v>0.99014778325123154</v>
      </c>
    </row>
    <row r="361" spans="1:16" hidden="1" x14ac:dyDescent="0.25">
      <c r="A361">
        <v>0</v>
      </c>
      <c r="B361">
        <v>5000</v>
      </c>
      <c r="C361">
        <f>1.225 * (1 - 0.00000687559 * B361) ^ 4.2561</f>
        <v>1.0555380742846066</v>
      </c>
      <c r="D361">
        <f>E361*(SQRT($C$2/C361))</f>
        <v>129.27434283654705</v>
      </c>
      <c r="E361">
        <v>120</v>
      </c>
      <c r="F361">
        <v>987</v>
      </c>
      <c r="G361">
        <v>250</v>
      </c>
      <c r="H361">
        <f>CONVERT(G361,"HP","kW")</f>
        <v>186.42496789556756</v>
      </c>
      <c r="I361">
        <v>0.69279999999999997</v>
      </c>
      <c r="J361">
        <v>1.0203</v>
      </c>
      <c r="K361">
        <v>0.47249999999999998</v>
      </c>
      <c r="L361">
        <v>4.0599999999999997E-2</v>
      </c>
      <c r="M361">
        <v>2.76E-2</v>
      </c>
      <c r="N361">
        <f>CONVERT(O361,"lbf","N")</f>
        <v>1942.0935572227345</v>
      </c>
      <c r="O361">
        <v>436.6</v>
      </c>
      <c r="P361">
        <f t="shared" si="5"/>
        <v>0.67980295566502469</v>
      </c>
    </row>
    <row r="362" spans="1:16" hidden="1" x14ac:dyDescent="0.25">
      <c r="A362">
        <v>0</v>
      </c>
      <c r="B362">
        <v>5000</v>
      </c>
      <c r="C362">
        <f>1.225 * (1 - 0.00000687559 * B362) ^ 4.2561</f>
        <v>1.0555380742846066</v>
      </c>
      <c r="D362">
        <f>E362*(SQRT($C$2/C362))</f>
        <v>150.82006664263821</v>
      </c>
      <c r="E362">
        <v>140</v>
      </c>
      <c r="F362">
        <v>987</v>
      </c>
      <c r="G362">
        <v>250</v>
      </c>
      <c r="H362">
        <f>CONVERT(G362,"HP","kW")</f>
        <v>186.42496789556756</v>
      </c>
      <c r="I362">
        <v>0.68110000000000004</v>
      </c>
      <c r="J362">
        <v>1.1902999999999999</v>
      </c>
      <c r="K362">
        <v>0.4874</v>
      </c>
      <c r="L362">
        <v>4.0599999999999997E-2</v>
      </c>
      <c r="M362">
        <v>2.3300000000000001E-2</v>
      </c>
      <c r="N362">
        <f>CONVERT(O362,"lbf","N")</f>
        <v>1636.5007322543379</v>
      </c>
      <c r="O362">
        <v>367.9</v>
      </c>
      <c r="P362">
        <f t="shared" si="5"/>
        <v>0.57389162561576357</v>
      </c>
    </row>
    <row r="363" spans="1:16" hidden="1" x14ac:dyDescent="0.25">
      <c r="A363">
        <v>0</v>
      </c>
      <c r="B363">
        <v>5000</v>
      </c>
      <c r="C363">
        <f>1.225 * (1 - 0.00000687559 * B363) ^ 4.2561</f>
        <v>1.0555380742846066</v>
      </c>
      <c r="D363">
        <f>E363*(SQRT($C$2/C363))</f>
        <v>172.3657904487294</v>
      </c>
      <c r="E363">
        <v>160</v>
      </c>
      <c r="F363">
        <v>987</v>
      </c>
      <c r="G363">
        <v>250</v>
      </c>
      <c r="H363">
        <f>CONVERT(G363,"HP","kW")</f>
        <v>186.42496789556756</v>
      </c>
      <c r="I363">
        <v>0.65680000000000005</v>
      </c>
      <c r="J363">
        <v>1.3604000000000001</v>
      </c>
      <c r="K363">
        <v>0.504</v>
      </c>
      <c r="L363">
        <v>4.0599999999999997E-2</v>
      </c>
      <c r="M363">
        <v>1.9599999999999999E-2</v>
      </c>
      <c r="N363">
        <f>CONVERT(O363,"lbf","N")</f>
        <v>1380.7279893768591</v>
      </c>
      <c r="O363">
        <v>310.39999999999998</v>
      </c>
      <c r="P363">
        <f t="shared" si="5"/>
        <v>0.48275862068965519</v>
      </c>
    </row>
    <row r="364" spans="1:16" hidden="1" x14ac:dyDescent="0.25">
      <c r="A364">
        <v>0</v>
      </c>
      <c r="B364">
        <v>5000</v>
      </c>
      <c r="C364">
        <f>1.225 * (1 - 0.00000687559 * B364) ^ 4.2561</f>
        <v>1.0555380742846066</v>
      </c>
      <c r="D364">
        <f>E364*(SQRT($C$2/C364))</f>
        <v>193.91151425482059</v>
      </c>
      <c r="E364">
        <v>180</v>
      </c>
      <c r="F364">
        <v>987</v>
      </c>
      <c r="G364">
        <v>250</v>
      </c>
      <c r="H364">
        <f>CONVERT(G364,"HP","kW")</f>
        <v>186.42496789556756</v>
      </c>
      <c r="I364">
        <v>0.61850000000000005</v>
      </c>
      <c r="J364">
        <v>1.5304</v>
      </c>
      <c r="K364">
        <v>0.5222</v>
      </c>
      <c r="L364">
        <v>4.0599999999999997E-2</v>
      </c>
      <c r="M364">
        <v>1.6400000000000001E-2</v>
      </c>
      <c r="N364">
        <f>CONVERT(O364,"lbf","N")</f>
        <v>1155.6479756446781</v>
      </c>
      <c r="O364">
        <v>259.8</v>
      </c>
      <c r="P364">
        <f t="shared" si="5"/>
        <v>0.40394088669950745</v>
      </c>
    </row>
    <row r="365" spans="1:16" hidden="1" x14ac:dyDescent="0.25">
      <c r="A365">
        <v>0</v>
      </c>
      <c r="B365">
        <v>5000</v>
      </c>
      <c r="C365">
        <f>1.225 * (1 - 0.00000687559 * B365) ^ 4.2561</f>
        <v>1.0555380742846066</v>
      </c>
      <c r="D365">
        <f>E365*(SQRT($C$2/C365))</f>
        <v>215.45723806091175</v>
      </c>
      <c r="E365">
        <v>200</v>
      </c>
      <c r="F365">
        <v>987</v>
      </c>
      <c r="G365">
        <v>250</v>
      </c>
      <c r="H365">
        <f>CONVERT(G365,"HP","kW")</f>
        <v>186.42496789556756</v>
      </c>
      <c r="I365">
        <v>0.55659999999999998</v>
      </c>
      <c r="J365">
        <v>1.7004999999999999</v>
      </c>
      <c r="K365">
        <v>0.54190000000000005</v>
      </c>
      <c r="L365">
        <v>4.0599999999999997E-2</v>
      </c>
      <c r="M365">
        <v>1.3299999999999999E-2</v>
      </c>
      <c r="N365">
        <f>CONVERT(O365,"lbf","N")</f>
        <v>936.35065001233534</v>
      </c>
      <c r="O365">
        <v>210.5</v>
      </c>
      <c r="P365">
        <f t="shared" si="5"/>
        <v>0.32758620689655171</v>
      </c>
    </row>
    <row r="366" spans="1:16" hidden="1" x14ac:dyDescent="0.25">
      <c r="A366">
        <v>0</v>
      </c>
      <c r="B366">
        <v>5000</v>
      </c>
      <c r="C366">
        <f>1.225 * (1 - 0.00000687559 * B366) ^ 4.2561</f>
        <v>1.0555380742846066</v>
      </c>
      <c r="D366">
        <f>E366*(SQRT($C$2/C366))</f>
        <v>237.00296186700291</v>
      </c>
      <c r="E366">
        <v>220</v>
      </c>
      <c r="F366">
        <v>987</v>
      </c>
      <c r="G366">
        <v>250</v>
      </c>
      <c r="H366">
        <f>CONVERT(G366,"HP","kW")</f>
        <v>186.42496789556756</v>
      </c>
      <c r="I366">
        <v>0.4728</v>
      </c>
      <c r="J366">
        <v>1.8705000000000001</v>
      </c>
      <c r="K366">
        <v>0.56269999999999998</v>
      </c>
      <c r="L366">
        <v>4.0599999999999997E-2</v>
      </c>
      <c r="M366">
        <v>1.03E-2</v>
      </c>
      <c r="N366">
        <f>CONVERT(O366,"lbf","N")</f>
        <v>722.83601247983131</v>
      </c>
      <c r="O366">
        <v>162.5</v>
      </c>
      <c r="P366">
        <f t="shared" si="5"/>
        <v>0.2536945812807882</v>
      </c>
    </row>
    <row r="367" spans="1:16" hidden="1" x14ac:dyDescent="0.25">
      <c r="A367">
        <v>0</v>
      </c>
      <c r="B367">
        <v>5000</v>
      </c>
      <c r="C367">
        <f>1.225 * (1 - 0.00000687559 * B367) ^ 4.2561</f>
        <v>1.0555380742846066</v>
      </c>
      <c r="D367">
        <f>E367*(SQRT($C$2/C367))</f>
        <v>258.5486856730941</v>
      </c>
      <c r="E367">
        <v>240</v>
      </c>
      <c r="F367">
        <v>987</v>
      </c>
      <c r="G367">
        <v>250</v>
      </c>
      <c r="H367">
        <f>CONVERT(G367,"HP","kW")</f>
        <v>186.42496789556756</v>
      </c>
      <c r="I367">
        <v>0.36009999999999998</v>
      </c>
      <c r="J367">
        <v>2.0406</v>
      </c>
      <c r="K367">
        <v>0.58479999999999999</v>
      </c>
      <c r="L367">
        <v>4.0599999999999997E-2</v>
      </c>
      <c r="M367">
        <v>7.1999999999999998E-3</v>
      </c>
      <c r="N367">
        <f>CONVERT(O367,"lbf","N")</f>
        <v>504.87315333206675</v>
      </c>
      <c r="O367">
        <v>113.5</v>
      </c>
      <c r="P367">
        <f t="shared" si="5"/>
        <v>0.17733990147783252</v>
      </c>
    </row>
    <row r="368" spans="1:16" hidden="1" x14ac:dyDescent="0.25">
      <c r="A368">
        <v>0</v>
      </c>
      <c r="B368">
        <v>5000</v>
      </c>
      <c r="C368">
        <f>1.225 * (1 - 0.00000687559 * B368) ^ 4.2561</f>
        <v>1.0555380742846066</v>
      </c>
      <c r="D368">
        <f>E368*(SQRT($C$2/C368))</f>
        <v>280.09440947918529</v>
      </c>
      <c r="E368">
        <v>260</v>
      </c>
      <c r="F368">
        <v>987</v>
      </c>
      <c r="G368">
        <v>250</v>
      </c>
      <c r="H368">
        <f>CONVERT(G368,"HP","kW")</f>
        <v>186.42496789556756</v>
      </c>
      <c r="I368">
        <v>0.20910000000000001</v>
      </c>
      <c r="J368">
        <v>2.2105999999999999</v>
      </c>
      <c r="K368">
        <v>0.60780000000000001</v>
      </c>
      <c r="L368">
        <v>4.0599999999999997E-2</v>
      </c>
      <c r="M368">
        <v>3.8E-3</v>
      </c>
      <c r="N368">
        <f>CONVERT(O368,"lbf","N")</f>
        <v>270.45187420783839</v>
      </c>
      <c r="O368">
        <v>60.8</v>
      </c>
      <c r="P368">
        <f t="shared" si="5"/>
        <v>9.3596059113300503E-2</v>
      </c>
    </row>
    <row r="369" spans="1:16" hidden="1" x14ac:dyDescent="0.25">
      <c r="A369">
        <v>0</v>
      </c>
      <c r="B369">
        <v>5000</v>
      </c>
      <c r="C369">
        <f>1.225 * (1 - 0.00000687559 * B369) ^ 4.2561</f>
        <v>1.0555380742846066</v>
      </c>
      <c r="D369">
        <f>E369*(SQRT($C$2/C369))</f>
        <v>0</v>
      </c>
      <c r="E369">
        <v>0</v>
      </c>
      <c r="F369">
        <v>987</v>
      </c>
      <c r="G369">
        <v>250</v>
      </c>
      <c r="H369">
        <f>CONVERT(G369,"HP","kW")</f>
        <v>186.42496789556756</v>
      </c>
      <c r="I369">
        <v>0</v>
      </c>
      <c r="J369">
        <v>0</v>
      </c>
      <c r="K369">
        <v>0.42449999999999999</v>
      </c>
      <c r="L369">
        <v>4.07E-2</v>
      </c>
      <c r="M369">
        <v>0.1071</v>
      </c>
      <c r="N369">
        <f>CONVERT(O369,"lbf","N")</f>
        <v>7533.0633054436566</v>
      </c>
      <c r="O369">
        <v>1693.5</v>
      </c>
      <c r="P369">
        <f t="shared" si="5"/>
        <v>2.6314496314496316</v>
      </c>
    </row>
    <row r="370" spans="1:16" hidden="1" x14ac:dyDescent="0.25">
      <c r="A370">
        <v>0</v>
      </c>
      <c r="B370">
        <v>5000</v>
      </c>
      <c r="C370">
        <f>1.225 * (1 - 0.00000687559 * B370) ^ 4.2561</f>
        <v>1.0555380742846066</v>
      </c>
      <c r="D370">
        <f>E370*(SQRT($C$2/C370))</f>
        <v>21.545723806091175</v>
      </c>
      <c r="E370">
        <v>20</v>
      </c>
      <c r="F370">
        <v>987</v>
      </c>
      <c r="G370">
        <v>250</v>
      </c>
      <c r="H370">
        <f>CONVERT(G370,"HP","kW")</f>
        <v>186.42496789556756</v>
      </c>
      <c r="I370">
        <v>0.36149999999999999</v>
      </c>
      <c r="J370">
        <v>0.17</v>
      </c>
      <c r="K370">
        <v>0.42820000000000003</v>
      </c>
      <c r="L370">
        <v>4.07E-2</v>
      </c>
      <c r="M370">
        <v>8.6400000000000005E-2</v>
      </c>
      <c r="N370">
        <f>CONVERT(O370,"lbf","N")</f>
        <v>6080.7189480611041</v>
      </c>
      <c r="O370">
        <v>1367</v>
      </c>
      <c r="P370">
        <f t="shared" si="5"/>
        <v>2.1228501228501231</v>
      </c>
    </row>
    <row r="371" spans="1:16" hidden="1" x14ac:dyDescent="0.25">
      <c r="A371">
        <v>0</v>
      </c>
      <c r="B371">
        <v>5000</v>
      </c>
      <c r="C371">
        <f>1.225 * (1 - 0.00000687559 * B371) ^ 4.2561</f>
        <v>1.0555380742846066</v>
      </c>
      <c r="D371">
        <f>E371*(SQRT($C$2/C371))</f>
        <v>43.09144761218235</v>
      </c>
      <c r="E371">
        <v>40</v>
      </c>
      <c r="F371">
        <v>987</v>
      </c>
      <c r="G371">
        <v>250</v>
      </c>
      <c r="H371">
        <f>CONVERT(G371,"HP","kW")</f>
        <v>186.42496789556756</v>
      </c>
      <c r="I371">
        <v>0.5514</v>
      </c>
      <c r="J371">
        <v>0.34010000000000001</v>
      </c>
      <c r="K371">
        <v>0.43309999999999998</v>
      </c>
      <c r="L371">
        <v>4.07E-2</v>
      </c>
      <c r="M371">
        <v>6.59E-2</v>
      </c>
      <c r="N371">
        <f>CONVERT(O371,"lbf","N")</f>
        <v>4636.826211747546</v>
      </c>
      <c r="O371">
        <v>1042.4000000000001</v>
      </c>
      <c r="P371">
        <f t="shared" si="5"/>
        <v>1.6191646191646192</v>
      </c>
    </row>
    <row r="372" spans="1:16" hidden="1" x14ac:dyDescent="0.25">
      <c r="A372">
        <v>0</v>
      </c>
      <c r="B372">
        <v>5000</v>
      </c>
      <c r="C372">
        <f>1.225 * (1 - 0.00000687559 * B372) ^ 4.2561</f>
        <v>1.0555380742846066</v>
      </c>
      <c r="D372">
        <f>E372*(SQRT($C$2/C372))</f>
        <v>107.72861903045587</v>
      </c>
      <c r="E372">
        <v>100</v>
      </c>
      <c r="F372">
        <v>987</v>
      </c>
      <c r="G372">
        <v>250</v>
      </c>
      <c r="H372">
        <f>CONVERT(G372,"HP","kW")</f>
        <v>186.42496789556756</v>
      </c>
      <c r="I372">
        <v>0.69099999999999995</v>
      </c>
      <c r="J372">
        <v>0.85019999999999996</v>
      </c>
      <c r="K372">
        <v>0.45950000000000002</v>
      </c>
      <c r="L372">
        <v>4.07E-2</v>
      </c>
      <c r="M372">
        <v>3.3000000000000002E-2</v>
      </c>
      <c r="N372">
        <f>CONVERT(O372,"lbf","N")</f>
        <v>2324.6406161351374</v>
      </c>
      <c r="O372">
        <v>522.6</v>
      </c>
      <c r="P372">
        <f t="shared" si="5"/>
        <v>0.81081081081081086</v>
      </c>
    </row>
    <row r="373" spans="1:16" hidden="1" x14ac:dyDescent="0.25">
      <c r="A373">
        <v>0</v>
      </c>
      <c r="B373">
        <v>20000</v>
      </c>
      <c r="C373">
        <f>1.225 * (1 - 0.00000687559 * B373) ^ 4.2561</f>
        <v>0.65267221054298263</v>
      </c>
      <c r="D373">
        <f>E373*(SQRT($C$2/C373))</f>
        <v>0</v>
      </c>
      <c r="E373">
        <v>0</v>
      </c>
      <c r="F373">
        <v>1150</v>
      </c>
      <c r="G373">
        <v>250</v>
      </c>
      <c r="H373">
        <f>CONVERT(G373,"HP","kW")</f>
        <v>186.42496789556756</v>
      </c>
      <c r="I373">
        <v>0</v>
      </c>
      <c r="J373">
        <v>0</v>
      </c>
      <c r="K373">
        <v>0.52329999999999999</v>
      </c>
      <c r="L373">
        <v>4.1500000000000002E-2</v>
      </c>
      <c r="M373">
        <v>0.10680000000000001</v>
      </c>
      <c r="N373">
        <f>CONVERT(O373,"lbf","N")</f>
        <v>6315.1402271853331</v>
      </c>
      <c r="O373">
        <v>1419.7</v>
      </c>
      <c r="P373">
        <f t="shared" si="5"/>
        <v>2.5734939759036144</v>
      </c>
    </row>
    <row r="374" spans="1:16" hidden="1" x14ac:dyDescent="0.25">
      <c r="A374">
        <v>0</v>
      </c>
      <c r="B374">
        <v>20000</v>
      </c>
      <c r="C374">
        <f>1.225 * (1 - 0.00000687559 * B374) ^ 4.2561</f>
        <v>0.65267221054298263</v>
      </c>
      <c r="D374">
        <f>E374*(SQRT($C$2/C374))</f>
        <v>27.399994721664136</v>
      </c>
      <c r="E374">
        <v>20</v>
      </c>
      <c r="F374">
        <v>1150</v>
      </c>
      <c r="G374">
        <v>250</v>
      </c>
      <c r="H374">
        <f>CONVERT(G374,"HP","kW")</f>
        <v>186.42496789556756</v>
      </c>
      <c r="I374">
        <v>0.36520000000000002</v>
      </c>
      <c r="J374">
        <v>0.18559999999999999</v>
      </c>
      <c r="K374">
        <v>0.52839999999999998</v>
      </c>
      <c r="L374">
        <v>4.1500000000000002E-2</v>
      </c>
      <c r="M374">
        <v>8.1699999999999995E-2</v>
      </c>
      <c r="N374">
        <f>CONVERT(O374,"lbf","N")</f>
        <v>4830.3238520113773</v>
      </c>
      <c r="O374">
        <v>1085.9000000000001</v>
      </c>
      <c r="P374">
        <f t="shared" si="5"/>
        <v>1.9686746987951804</v>
      </c>
    </row>
    <row r="375" spans="1:16" hidden="1" x14ac:dyDescent="0.25">
      <c r="A375">
        <v>0</v>
      </c>
      <c r="B375">
        <v>20000</v>
      </c>
      <c r="C375">
        <f>1.225 * (1 - 0.00000687559 * B375) ^ 4.2561</f>
        <v>0.65267221054298263</v>
      </c>
      <c r="D375">
        <f>E375*(SQRT($C$2/C375))</f>
        <v>54.799989443328272</v>
      </c>
      <c r="E375">
        <v>40</v>
      </c>
      <c r="F375">
        <v>1150</v>
      </c>
      <c r="G375">
        <v>250</v>
      </c>
      <c r="H375">
        <f>CONVERT(G375,"HP","kW")</f>
        <v>186.42496789556756</v>
      </c>
      <c r="I375">
        <v>0.51039999999999996</v>
      </c>
      <c r="J375">
        <v>0.37119999999999997</v>
      </c>
      <c r="K375">
        <v>0.5353</v>
      </c>
      <c r="L375">
        <v>4.1500000000000002E-2</v>
      </c>
      <c r="M375">
        <v>5.7099999999999998E-2</v>
      </c>
      <c r="N375">
        <f>CONVERT(O375,"lbf","N")</f>
        <v>3374.8657394981415</v>
      </c>
      <c r="O375">
        <v>758.7</v>
      </c>
      <c r="P375">
        <f t="shared" si="5"/>
        <v>1.3759036144578312</v>
      </c>
    </row>
    <row r="376" spans="1:16" hidden="1" x14ac:dyDescent="0.25">
      <c r="A376">
        <v>0</v>
      </c>
      <c r="B376">
        <v>20000</v>
      </c>
      <c r="C376">
        <f>1.225 * (1 - 0.00000687559 * B376) ^ 4.2561</f>
        <v>0.65267221054298263</v>
      </c>
      <c r="D376">
        <f>E376*(SQRT($C$2/C376))</f>
        <v>109.59997888665654</v>
      </c>
      <c r="E376">
        <v>80</v>
      </c>
      <c r="F376">
        <v>1150</v>
      </c>
      <c r="G376">
        <v>250</v>
      </c>
      <c r="H376">
        <f>CONVERT(G376,"HP","kW")</f>
        <v>186.42496789556756</v>
      </c>
      <c r="I376">
        <v>0.57879999999999998</v>
      </c>
      <c r="J376">
        <v>0.74239999999999995</v>
      </c>
      <c r="K376">
        <v>0.55769999999999997</v>
      </c>
      <c r="L376">
        <v>4.1500000000000002E-2</v>
      </c>
      <c r="M376">
        <v>3.2399999999999998E-2</v>
      </c>
      <c r="N376">
        <f>CONVERT(O376,"lbf","N")</f>
        <v>1913.6249388850672</v>
      </c>
      <c r="O376">
        <v>430.2</v>
      </c>
      <c r="P376">
        <f t="shared" si="5"/>
        <v>0.78072289156626495</v>
      </c>
    </row>
    <row r="377" spans="1:16" hidden="1" x14ac:dyDescent="0.25">
      <c r="A377">
        <v>0</v>
      </c>
      <c r="B377">
        <v>20000</v>
      </c>
      <c r="C377">
        <f>1.225 * (1 - 0.00000687559 * B377) ^ 4.2561</f>
        <v>0.65267221054298263</v>
      </c>
      <c r="D377">
        <f>E377*(SQRT($C$2/C377))</f>
        <v>164.3999683299848</v>
      </c>
      <c r="E377">
        <v>120</v>
      </c>
      <c r="F377">
        <v>1150</v>
      </c>
      <c r="G377">
        <v>250</v>
      </c>
      <c r="H377">
        <f>CONVERT(G377,"HP","kW")</f>
        <v>186.42496789556756</v>
      </c>
      <c r="I377">
        <v>0.5786</v>
      </c>
      <c r="J377">
        <v>1.1135999999999999</v>
      </c>
      <c r="K377">
        <v>0.59230000000000005</v>
      </c>
      <c r="L377">
        <v>4.1500000000000002E-2</v>
      </c>
      <c r="M377">
        <v>2.1600000000000001E-2</v>
      </c>
      <c r="N377">
        <f>CONVERT(O377,"lbf","N")</f>
        <v>1275.3051370951853</v>
      </c>
      <c r="O377">
        <v>286.7</v>
      </c>
      <c r="P377">
        <f t="shared" si="5"/>
        <v>0.52048192771084334</v>
      </c>
    </row>
    <row r="378" spans="1:16" hidden="1" x14ac:dyDescent="0.25">
      <c r="A378">
        <v>0</v>
      </c>
      <c r="B378">
        <v>20000</v>
      </c>
      <c r="C378">
        <f>1.225 * (1 - 0.00000687559 * B378) ^ 4.2561</f>
        <v>0.65267221054298263</v>
      </c>
      <c r="D378">
        <f>E378*(SQRT($C$2/C378))</f>
        <v>191.79996305164894</v>
      </c>
      <c r="E378">
        <v>140</v>
      </c>
      <c r="F378">
        <v>1150</v>
      </c>
      <c r="G378">
        <v>250</v>
      </c>
      <c r="H378">
        <f>CONVERT(G378,"HP","kW")</f>
        <v>186.42496789556756</v>
      </c>
      <c r="I378">
        <v>0.55279999999999996</v>
      </c>
      <c r="J378">
        <v>1.2991999999999999</v>
      </c>
      <c r="K378">
        <v>0.61380000000000001</v>
      </c>
      <c r="L378">
        <v>4.1500000000000002E-2</v>
      </c>
      <c r="M378">
        <v>1.77E-2</v>
      </c>
      <c r="N378">
        <f>CONVERT(O378,"lbf","N")</f>
        <v>1044.4424352631656</v>
      </c>
      <c r="O378">
        <v>234.8</v>
      </c>
      <c r="P378">
        <f t="shared" si="5"/>
        <v>0.42650602409638555</v>
      </c>
    </row>
    <row r="379" spans="1:16" hidden="1" x14ac:dyDescent="0.25">
      <c r="A379">
        <v>0</v>
      </c>
      <c r="B379">
        <v>20000</v>
      </c>
      <c r="C379">
        <f>1.225 * (1 - 0.00000687559 * B379) ^ 4.2561</f>
        <v>0.65267221054298263</v>
      </c>
      <c r="D379">
        <f>E379*(SQRT($C$2/C379))</f>
        <v>246.59995249497723</v>
      </c>
      <c r="E379">
        <v>180</v>
      </c>
      <c r="F379">
        <v>1150</v>
      </c>
      <c r="G379">
        <v>250</v>
      </c>
      <c r="H379">
        <f>CONVERT(G379,"HP","kW")</f>
        <v>186.42496789556756</v>
      </c>
      <c r="I379">
        <v>0.4022</v>
      </c>
      <c r="J379">
        <v>1.6704000000000001</v>
      </c>
      <c r="K379">
        <v>0.66359999999999997</v>
      </c>
      <c r="L379">
        <v>4.1500000000000002E-2</v>
      </c>
      <c r="M379">
        <v>0.01</v>
      </c>
      <c r="N379">
        <f>CONVERT(O379,"lbf","N")</f>
        <v>591.16865266812044</v>
      </c>
      <c r="O379">
        <v>132.9</v>
      </c>
      <c r="P379">
        <f t="shared" si="5"/>
        <v>0.24096385542168675</v>
      </c>
    </row>
    <row r="380" spans="1:16" hidden="1" x14ac:dyDescent="0.25">
      <c r="A380">
        <v>0</v>
      </c>
      <c r="B380">
        <v>20000</v>
      </c>
      <c r="C380">
        <f>1.225 * (1 - 0.00000687559 * B380) ^ 4.2561</f>
        <v>0.65267221054298263</v>
      </c>
      <c r="D380">
        <f>E380*(SQRT($C$2/C380))</f>
        <v>273.99994721664137</v>
      </c>
      <c r="E380">
        <v>200</v>
      </c>
      <c r="F380">
        <v>1150</v>
      </c>
      <c r="G380">
        <v>250</v>
      </c>
      <c r="H380">
        <f>CONVERT(G380,"HP","kW")</f>
        <v>186.42496789556756</v>
      </c>
      <c r="I380">
        <v>0.2354</v>
      </c>
      <c r="J380">
        <v>1.8560000000000001</v>
      </c>
      <c r="K380">
        <v>0.6915</v>
      </c>
      <c r="L380">
        <v>4.1500000000000002E-2</v>
      </c>
      <c r="M380">
        <v>5.3E-3</v>
      </c>
      <c r="N380">
        <f>CONVERT(O380,"lbf","N")</f>
        <v>311.37551306823502</v>
      </c>
      <c r="O380">
        <v>70</v>
      </c>
      <c r="P380">
        <f t="shared" si="5"/>
        <v>0.12771084337349398</v>
      </c>
    </row>
    <row r="381" spans="1:16" hidden="1" x14ac:dyDescent="0.25">
      <c r="A381">
        <v>0</v>
      </c>
      <c r="B381">
        <v>20000</v>
      </c>
      <c r="C381">
        <f>1.225 * (1 - 0.00000687559 * B381) ^ 4.2561</f>
        <v>0.65267221054298263</v>
      </c>
      <c r="D381">
        <f>E381*(SQRT($C$2/C381))</f>
        <v>301.39994193830552</v>
      </c>
      <c r="E381">
        <v>220</v>
      </c>
      <c r="F381">
        <v>1150</v>
      </c>
      <c r="G381">
        <v>250</v>
      </c>
      <c r="H381">
        <f>CONVERT(G381,"HP","kW")</f>
        <v>186.42496789556756</v>
      </c>
      <c r="I381">
        <v>-4.7899999999999998E-2</v>
      </c>
      <c r="J381">
        <v>2.0415999999999999</v>
      </c>
      <c r="K381">
        <v>0.72109999999999996</v>
      </c>
      <c r="L381">
        <v>4.1500000000000002E-2</v>
      </c>
      <c r="M381">
        <v>-1E-3</v>
      </c>
      <c r="N381">
        <f>CONVERT(O381,"lbf","N")</f>
        <v>-57.8268809983865</v>
      </c>
      <c r="O381">
        <v>-13</v>
      </c>
      <c r="P381">
        <f t="shared" si="5"/>
        <v>-2.4096385542168672E-2</v>
      </c>
    </row>
    <row r="382" spans="1:16" hidden="1" x14ac:dyDescent="0.25">
      <c r="A382">
        <v>0</v>
      </c>
      <c r="B382">
        <v>20000</v>
      </c>
      <c r="C382">
        <f>1.225 * (1 - 0.00000687559 * B382) ^ 4.2561</f>
        <v>0.65267221054298263</v>
      </c>
      <c r="D382">
        <f>E382*(SQRT($C$2/C382))</f>
        <v>328.7999366599696</v>
      </c>
      <c r="E382">
        <v>240</v>
      </c>
      <c r="F382">
        <v>1150</v>
      </c>
      <c r="G382">
        <v>250</v>
      </c>
      <c r="H382">
        <f>CONVERT(G382,"HP","kW")</f>
        <v>186.42496789556756</v>
      </c>
      <c r="I382">
        <v>-0.42280000000000001</v>
      </c>
      <c r="J382">
        <v>2.2271999999999998</v>
      </c>
      <c r="K382">
        <v>0.75219999999999998</v>
      </c>
      <c r="L382">
        <v>4.1500000000000002E-2</v>
      </c>
      <c r="M382">
        <v>-7.9000000000000008E-3</v>
      </c>
      <c r="N382">
        <f>CONVERT(O382,"lbf","N")</f>
        <v>-466.17362527930038</v>
      </c>
      <c r="O382">
        <v>-104.8</v>
      </c>
      <c r="P382">
        <f t="shared" si="5"/>
        <v>-0.19036144578313255</v>
      </c>
    </row>
    <row r="383" spans="1:16" hidden="1" x14ac:dyDescent="0.25">
      <c r="A383">
        <v>0</v>
      </c>
      <c r="B383">
        <v>20000</v>
      </c>
      <c r="C383">
        <f>1.225 * (1 - 0.00000687559 * B383) ^ 4.2561</f>
        <v>0.65267221054298263</v>
      </c>
      <c r="D383">
        <f>E383*(SQRT($C$2/C383))</f>
        <v>356.19993138163375</v>
      </c>
      <c r="E383">
        <v>260</v>
      </c>
      <c r="F383">
        <v>1150</v>
      </c>
      <c r="G383">
        <v>250</v>
      </c>
      <c r="H383">
        <f>CONVERT(G383,"HP","kW")</f>
        <v>186.42496789556756</v>
      </c>
      <c r="I383">
        <v>-0.94450000000000001</v>
      </c>
      <c r="J383">
        <v>2.4127999999999998</v>
      </c>
      <c r="K383">
        <v>0.78449999999999998</v>
      </c>
      <c r="L383">
        <v>4.1500000000000002E-2</v>
      </c>
      <c r="M383">
        <v>-1.6199999999999999E-2</v>
      </c>
      <c r="N383">
        <f>CONVERT(O383,"lbf","N")</f>
        <v>-960.81586889626806</v>
      </c>
      <c r="O383">
        <v>-216</v>
      </c>
      <c r="P383">
        <f t="shared" si="5"/>
        <v>-0.39036144578313248</v>
      </c>
    </row>
    <row r="384" spans="1:16" hidden="1" x14ac:dyDescent="0.25">
      <c r="A384">
        <v>0</v>
      </c>
      <c r="B384">
        <v>20000</v>
      </c>
      <c r="C384">
        <f>1.225 * (1 - 0.00000687559 * B384) ^ 4.2561</f>
        <v>0.65267221054298263</v>
      </c>
      <c r="D384">
        <f>E384*(SQRT($C$2/C384))</f>
        <v>82.199984164992401</v>
      </c>
      <c r="E384">
        <v>60</v>
      </c>
      <c r="F384">
        <v>1150</v>
      </c>
      <c r="G384">
        <v>250</v>
      </c>
      <c r="H384">
        <f>CONVERT(G384,"HP","kW")</f>
        <v>186.42496789556756</v>
      </c>
      <c r="I384">
        <v>0.55559999999999998</v>
      </c>
      <c r="J384">
        <v>0.55679999999999996</v>
      </c>
      <c r="K384">
        <v>0.54490000000000005</v>
      </c>
      <c r="L384">
        <v>4.1599999999999998E-2</v>
      </c>
      <c r="M384">
        <v>4.1500000000000002E-2</v>
      </c>
      <c r="N384">
        <f>CONVERT(O384,"lbf","N")</f>
        <v>2449.1908213624315</v>
      </c>
      <c r="O384">
        <v>550.6</v>
      </c>
      <c r="P384">
        <f t="shared" si="5"/>
        <v>0.99759615384615397</v>
      </c>
    </row>
    <row r="385" spans="1:16" hidden="1" x14ac:dyDescent="0.25">
      <c r="A385">
        <v>0</v>
      </c>
      <c r="B385">
        <v>20000</v>
      </c>
      <c r="C385">
        <f>1.225 * (1 - 0.00000687559 * B385) ^ 4.2561</f>
        <v>0.65267221054298263</v>
      </c>
      <c r="D385">
        <f>E385*(SQRT($C$2/C385))</f>
        <v>136.99997360832069</v>
      </c>
      <c r="E385">
        <v>100</v>
      </c>
      <c r="F385">
        <v>1150</v>
      </c>
      <c r="G385">
        <v>250</v>
      </c>
      <c r="H385">
        <f>CONVERT(G385,"HP","kW")</f>
        <v>186.42496789556756</v>
      </c>
      <c r="I385">
        <v>0.58799999999999997</v>
      </c>
      <c r="J385">
        <v>0.92800000000000005</v>
      </c>
      <c r="K385">
        <v>0.57350000000000001</v>
      </c>
      <c r="L385">
        <v>4.1599999999999998E-2</v>
      </c>
      <c r="M385">
        <v>2.63E-2</v>
      </c>
      <c r="N385">
        <f>CONVERT(O385,"lbf","N")</f>
        <v>1555.543098856597</v>
      </c>
      <c r="O385">
        <v>349.7</v>
      </c>
      <c r="P385">
        <f t="shared" si="5"/>
        <v>0.63221153846153855</v>
      </c>
    </row>
    <row r="386" spans="1:16" hidden="1" x14ac:dyDescent="0.25">
      <c r="A386">
        <v>0</v>
      </c>
      <c r="B386">
        <v>20000</v>
      </c>
      <c r="C386">
        <f>1.225 * (1 - 0.00000687559 * B386) ^ 4.2561</f>
        <v>0.65267221054298263</v>
      </c>
      <c r="D386">
        <f>E386*(SQRT($C$2/C386))</f>
        <v>219.19995777331309</v>
      </c>
      <c r="E386">
        <v>160</v>
      </c>
      <c r="F386">
        <v>1150</v>
      </c>
      <c r="G386">
        <v>250</v>
      </c>
      <c r="H386">
        <f>CONVERT(G386,"HP","kW")</f>
        <v>186.42496789556756</v>
      </c>
      <c r="I386">
        <v>0.50849999999999995</v>
      </c>
      <c r="J386">
        <v>1.4847999999999999</v>
      </c>
      <c r="K386">
        <v>0.63759999999999994</v>
      </c>
      <c r="L386">
        <v>4.1599999999999998E-2</v>
      </c>
      <c r="M386">
        <v>1.4200000000000001E-2</v>
      </c>
      <c r="N386">
        <f>CONVERT(O386,"lbf","N")</f>
        <v>840.71388528423461</v>
      </c>
      <c r="O386">
        <v>189</v>
      </c>
      <c r="P386">
        <f t="shared" si="5"/>
        <v>0.34134615384615385</v>
      </c>
    </row>
    <row r="387" spans="1:16" hidden="1" x14ac:dyDescent="0.25">
      <c r="A387">
        <v>0</v>
      </c>
      <c r="B387">
        <v>25000</v>
      </c>
      <c r="C387">
        <f>1.225 * (1 - 0.00000687559 * B387) ^ 4.2561</f>
        <v>0.54892259437885793</v>
      </c>
      <c r="D387">
        <f>E387*(SQRT($C$2/C387))</f>
        <v>179.26426993092403</v>
      </c>
      <c r="E387">
        <v>120</v>
      </c>
      <c r="F387">
        <v>1215</v>
      </c>
      <c r="G387">
        <v>250</v>
      </c>
      <c r="H387">
        <f>CONVERT(G387,"HP","kW")</f>
        <v>186.42496789556756</v>
      </c>
      <c r="I387">
        <v>0.51149999999999995</v>
      </c>
      <c r="J387">
        <v>1.1493</v>
      </c>
      <c r="K387">
        <v>0.64290000000000003</v>
      </c>
      <c r="L387">
        <v>4.1799999999999997E-2</v>
      </c>
      <c r="M387">
        <v>1.8599999999999998E-2</v>
      </c>
      <c r="N387">
        <f>CONVERT(O387,"lbf","N")</f>
        <v>1034.2115255480664</v>
      </c>
      <c r="O387">
        <v>232.5</v>
      </c>
      <c r="P387">
        <f t="shared" ref="P387:P450" si="6">M387/L387</f>
        <v>0.44497607655502391</v>
      </c>
    </row>
    <row r="388" spans="1:16" hidden="1" x14ac:dyDescent="0.25">
      <c r="A388">
        <v>0</v>
      </c>
      <c r="B388">
        <v>25000</v>
      </c>
      <c r="C388">
        <f>1.225 * (1 - 0.00000687559 * B388) ^ 4.2561</f>
        <v>0.54892259437885793</v>
      </c>
      <c r="D388">
        <f>E388*(SQRT($C$2/C388))</f>
        <v>358.52853986184806</v>
      </c>
      <c r="E388">
        <v>240</v>
      </c>
      <c r="F388">
        <v>1215</v>
      </c>
      <c r="G388">
        <v>250</v>
      </c>
      <c r="H388">
        <f>CONVERT(G388,"HP","kW")</f>
        <v>186.42496789556756</v>
      </c>
      <c r="I388">
        <v>0</v>
      </c>
      <c r="J388">
        <v>2.2986</v>
      </c>
      <c r="K388">
        <v>0.82430000000000003</v>
      </c>
      <c r="L388">
        <v>4.1799999999999997E-2</v>
      </c>
      <c r="M388">
        <v>-1.9E-2</v>
      </c>
      <c r="N388">
        <f>CONVERT(O388,"lbf","N")</f>
        <v>-1055.1181671397906</v>
      </c>
      <c r="O388">
        <v>-237.2</v>
      </c>
      <c r="P388">
        <f t="shared" si="6"/>
        <v>-0.45454545454545459</v>
      </c>
    </row>
    <row r="389" spans="1:16" hidden="1" x14ac:dyDescent="0.25">
      <c r="A389">
        <v>0</v>
      </c>
      <c r="B389">
        <v>25000</v>
      </c>
      <c r="C389">
        <f>1.225 * (1 - 0.00000687559 * B389) ^ 4.2561</f>
        <v>0.54892259437885793</v>
      </c>
      <c r="D389">
        <f>E389*(SQRT($C$2/C389))</f>
        <v>388.40591818366875</v>
      </c>
      <c r="E389">
        <v>260</v>
      </c>
      <c r="F389">
        <v>1215</v>
      </c>
      <c r="G389">
        <v>250</v>
      </c>
      <c r="H389">
        <f>CONVERT(G389,"HP","kW")</f>
        <v>186.42496789556756</v>
      </c>
      <c r="I389">
        <v>0</v>
      </c>
      <c r="J389">
        <v>2.4902000000000002</v>
      </c>
      <c r="K389">
        <v>0.86080000000000001</v>
      </c>
      <c r="L389">
        <v>4.1799999999999997E-2</v>
      </c>
      <c r="M389">
        <v>-3.3000000000000002E-2</v>
      </c>
      <c r="N389">
        <f>CONVERT(O389,"lbf","N")</f>
        <v>-1835.3362384564825</v>
      </c>
      <c r="O389">
        <v>-412.6</v>
      </c>
      <c r="P389">
        <f t="shared" si="6"/>
        <v>-0.78947368421052644</v>
      </c>
    </row>
    <row r="390" spans="1:16" hidden="1" x14ac:dyDescent="0.25">
      <c r="A390">
        <v>0</v>
      </c>
      <c r="B390">
        <v>25000</v>
      </c>
      <c r="C390">
        <f>1.225 * (1 - 0.00000687559 * B390) ^ 4.2561</f>
        <v>0.54892259437885793</v>
      </c>
      <c r="D390">
        <f>E390*(SQRT($C$2/C390))</f>
        <v>0</v>
      </c>
      <c r="E390">
        <v>0</v>
      </c>
      <c r="F390">
        <v>1215</v>
      </c>
      <c r="G390">
        <v>250</v>
      </c>
      <c r="H390">
        <f>CONVERT(G390,"HP","kW")</f>
        <v>186.42496789556756</v>
      </c>
      <c r="I390">
        <v>0</v>
      </c>
      <c r="J390">
        <v>0</v>
      </c>
      <c r="K390">
        <v>0.56420000000000003</v>
      </c>
      <c r="L390">
        <v>4.19E-2</v>
      </c>
      <c r="M390">
        <v>0.1067</v>
      </c>
      <c r="N390">
        <f>CONVERT(O390,"lbf","N")</f>
        <v>5917.4692147810438</v>
      </c>
      <c r="O390">
        <v>1330.3</v>
      </c>
      <c r="P390">
        <f t="shared" si="6"/>
        <v>2.5465393794749405</v>
      </c>
    </row>
    <row r="391" spans="1:16" hidden="1" x14ac:dyDescent="0.25">
      <c r="A391">
        <v>0</v>
      </c>
      <c r="B391">
        <v>25000</v>
      </c>
      <c r="C391">
        <f>1.225 * (1 - 0.00000687559 * B391) ^ 4.2561</f>
        <v>0.54892259437885793</v>
      </c>
      <c r="D391">
        <f>E391*(SQRT($C$2/C391))</f>
        <v>29.877378321820672</v>
      </c>
      <c r="E391">
        <v>20</v>
      </c>
      <c r="F391">
        <v>1215</v>
      </c>
      <c r="G391">
        <v>250</v>
      </c>
      <c r="H391">
        <f>CONVERT(G391,"HP","kW")</f>
        <v>186.42496789556756</v>
      </c>
      <c r="I391">
        <v>0.3629</v>
      </c>
      <c r="J391">
        <v>0.19159999999999999</v>
      </c>
      <c r="K391">
        <v>0.56999999999999995</v>
      </c>
      <c r="L391">
        <v>4.19E-2</v>
      </c>
      <c r="M391">
        <v>7.9299999999999995E-2</v>
      </c>
      <c r="N391">
        <f>CONVERT(O391,"lbf","N")</f>
        <v>4401.5152883002647</v>
      </c>
      <c r="O391">
        <v>989.5</v>
      </c>
      <c r="P391">
        <f t="shared" si="6"/>
        <v>1.8926014319809068</v>
      </c>
    </row>
    <row r="392" spans="1:16" hidden="1" x14ac:dyDescent="0.25">
      <c r="A392">
        <v>0</v>
      </c>
      <c r="B392">
        <v>25000</v>
      </c>
      <c r="C392">
        <f>1.225 * (1 - 0.00000687559 * B392) ^ 4.2561</f>
        <v>0.54892259437885793</v>
      </c>
      <c r="D392">
        <f>E392*(SQRT($C$2/C392))</f>
        <v>59.754756643641343</v>
      </c>
      <c r="E392">
        <v>40</v>
      </c>
      <c r="F392">
        <v>1215</v>
      </c>
      <c r="G392">
        <v>250</v>
      </c>
      <c r="H392">
        <f>CONVERT(G392,"HP","kW")</f>
        <v>186.42496789556756</v>
      </c>
      <c r="I392">
        <v>0.49299999999999999</v>
      </c>
      <c r="J392">
        <v>0.3831</v>
      </c>
      <c r="K392">
        <v>0.57779999999999998</v>
      </c>
      <c r="L392">
        <v>4.19E-2</v>
      </c>
      <c r="M392">
        <v>5.3900000000000003E-2</v>
      </c>
      <c r="N392">
        <f>CONVERT(O392,"lbf","N")</f>
        <v>2990.0945697781085</v>
      </c>
      <c r="O392">
        <v>672.2</v>
      </c>
      <c r="P392">
        <f t="shared" si="6"/>
        <v>1.2863961813842484</v>
      </c>
    </row>
    <row r="393" spans="1:16" hidden="1" x14ac:dyDescent="0.25">
      <c r="A393">
        <v>0</v>
      </c>
      <c r="B393">
        <v>25000</v>
      </c>
      <c r="C393">
        <f>1.225 * (1 - 0.00000687559 * B393) ^ 4.2561</f>
        <v>0.54892259437885793</v>
      </c>
      <c r="D393">
        <f>E393*(SQRT($C$2/C393))</f>
        <v>89.632134965462015</v>
      </c>
      <c r="E393">
        <v>60</v>
      </c>
      <c r="F393">
        <v>1215</v>
      </c>
      <c r="G393">
        <v>250</v>
      </c>
      <c r="H393">
        <f>CONVERT(G393,"HP","kW")</f>
        <v>186.42496789556756</v>
      </c>
      <c r="I393">
        <v>0.53510000000000002</v>
      </c>
      <c r="J393">
        <v>0.57469999999999999</v>
      </c>
      <c r="K393">
        <v>0.5887</v>
      </c>
      <c r="L393">
        <v>4.19E-2</v>
      </c>
      <c r="M393">
        <v>3.9E-2</v>
      </c>
      <c r="N393">
        <f>CONVERT(O393,"lbf","N")</f>
        <v>2163.6149936627071</v>
      </c>
      <c r="O393">
        <v>486.4</v>
      </c>
      <c r="P393">
        <f t="shared" si="6"/>
        <v>0.93078758949880669</v>
      </c>
    </row>
    <row r="394" spans="1:16" hidden="1" x14ac:dyDescent="0.25">
      <c r="A394">
        <v>0</v>
      </c>
      <c r="B394">
        <v>25000</v>
      </c>
      <c r="C394">
        <f>1.225 * (1 - 0.00000687559 * B394) ^ 4.2561</f>
        <v>0.54892259437885793</v>
      </c>
      <c r="D394">
        <f>E394*(SQRT($C$2/C394))</f>
        <v>119.50951328728269</v>
      </c>
      <c r="E394">
        <v>80</v>
      </c>
      <c r="F394">
        <v>1215</v>
      </c>
      <c r="G394">
        <v>250</v>
      </c>
      <c r="H394">
        <f>CONVERT(G394,"HP","kW")</f>
        <v>186.42496789556756</v>
      </c>
      <c r="I394">
        <v>0.55120000000000002</v>
      </c>
      <c r="J394">
        <v>0.76619999999999999</v>
      </c>
      <c r="K394">
        <v>0.60329999999999995</v>
      </c>
      <c r="L394">
        <v>4.19E-2</v>
      </c>
      <c r="M394">
        <v>3.0099999999999998E-2</v>
      </c>
      <c r="N394">
        <f>CONVERT(O394,"lbf","N")</f>
        <v>1671.641683014896</v>
      </c>
      <c r="O394">
        <v>375.8</v>
      </c>
      <c r="P394">
        <f t="shared" si="6"/>
        <v>0.71837708830548919</v>
      </c>
    </row>
    <row r="395" spans="1:16" hidden="1" x14ac:dyDescent="0.25">
      <c r="A395">
        <v>0</v>
      </c>
      <c r="B395">
        <v>25000</v>
      </c>
      <c r="C395">
        <f>1.225 * (1 - 0.00000687559 * B395) ^ 4.2561</f>
        <v>0.54892259437885793</v>
      </c>
      <c r="D395">
        <f>E395*(SQRT($C$2/C395))</f>
        <v>149.38689160910337</v>
      </c>
      <c r="E395">
        <v>100</v>
      </c>
      <c r="F395">
        <v>1215</v>
      </c>
      <c r="G395">
        <v>250</v>
      </c>
      <c r="H395">
        <f>CONVERT(G395,"HP","kW")</f>
        <v>186.42496789556756</v>
      </c>
      <c r="I395">
        <v>0.54990000000000006</v>
      </c>
      <c r="J395">
        <v>0.95779999999999998</v>
      </c>
      <c r="K395">
        <v>0.62139999999999995</v>
      </c>
      <c r="L395">
        <v>4.19E-2</v>
      </c>
      <c r="M395">
        <v>2.4E-2</v>
      </c>
      <c r="N395">
        <f>CONVERT(O395,"lbf","N")</f>
        <v>1334.0216624166239</v>
      </c>
      <c r="O395">
        <v>299.89999999999998</v>
      </c>
      <c r="P395">
        <f t="shared" si="6"/>
        <v>0.57279236276849643</v>
      </c>
    </row>
    <row r="396" spans="1:16" hidden="1" x14ac:dyDescent="0.25">
      <c r="A396">
        <v>0</v>
      </c>
      <c r="B396">
        <v>25000</v>
      </c>
      <c r="C396">
        <f>1.225 * (1 - 0.00000687559 * B396) ^ 4.2561</f>
        <v>0.54892259437885793</v>
      </c>
      <c r="D396">
        <f>E396*(SQRT($C$2/C396))</f>
        <v>209.14164825274472</v>
      </c>
      <c r="E396">
        <v>140</v>
      </c>
      <c r="F396">
        <v>1215</v>
      </c>
      <c r="G396">
        <v>250</v>
      </c>
      <c r="H396">
        <f>CONVERT(G396,"HP","kW")</f>
        <v>186.42496789556756</v>
      </c>
      <c r="I396">
        <v>0.44169999999999998</v>
      </c>
      <c r="J396">
        <v>1.3409</v>
      </c>
      <c r="K396">
        <v>0.66739999999999999</v>
      </c>
      <c r="L396">
        <v>4.19E-2</v>
      </c>
      <c r="M396">
        <v>1.38E-2</v>
      </c>
      <c r="N396">
        <f>CONVERT(O396,"lbf","N")</f>
        <v>765.53893998633203</v>
      </c>
      <c r="O396">
        <v>172.1</v>
      </c>
      <c r="P396">
        <f t="shared" si="6"/>
        <v>0.32935560859188545</v>
      </c>
    </row>
    <row r="397" spans="1:16" hidden="1" x14ac:dyDescent="0.25">
      <c r="A397">
        <v>0</v>
      </c>
      <c r="B397">
        <v>25000</v>
      </c>
      <c r="C397">
        <f>1.225 * (1 - 0.00000687559 * B397) ^ 4.2561</f>
        <v>0.54892259437885793</v>
      </c>
      <c r="D397">
        <f>E397*(SQRT($C$2/C397))</f>
        <v>239.01902657456537</v>
      </c>
      <c r="E397">
        <v>160</v>
      </c>
      <c r="F397">
        <v>1215</v>
      </c>
      <c r="G397">
        <v>250</v>
      </c>
      <c r="H397">
        <f>CONVERT(G397,"HP","kW")</f>
        <v>186.42496789556756</v>
      </c>
      <c r="I397">
        <v>0.31459999999999999</v>
      </c>
      <c r="J397">
        <v>1.5324</v>
      </c>
      <c r="K397">
        <v>0.69450000000000001</v>
      </c>
      <c r="L397">
        <v>4.19E-2</v>
      </c>
      <c r="M397">
        <v>8.6E-3</v>
      </c>
      <c r="N397">
        <f>CONVERT(O397,"lbf","N")</f>
        <v>476.84935715592565</v>
      </c>
      <c r="O397">
        <v>107.2</v>
      </c>
      <c r="P397">
        <f t="shared" si="6"/>
        <v>0.20525059665871123</v>
      </c>
    </row>
    <row r="398" spans="1:16" hidden="1" x14ac:dyDescent="0.25">
      <c r="A398">
        <v>0</v>
      </c>
      <c r="B398">
        <v>25000</v>
      </c>
      <c r="C398">
        <f>1.225 * (1 - 0.00000687559 * B398) ^ 4.2561</f>
        <v>0.54892259437885793</v>
      </c>
      <c r="D398">
        <f>E398*(SQRT($C$2/C398))</f>
        <v>268.89640489638606</v>
      </c>
      <c r="E398">
        <v>180</v>
      </c>
      <c r="F398">
        <v>1215</v>
      </c>
      <c r="G398">
        <v>250</v>
      </c>
      <c r="H398">
        <f>CONVERT(G398,"HP","kW")</f>
        <v>186.42496789556756</v>
      </c>
      <c r="I398">
        <v>0.1016</v>
      </c>
      <c r="J398">
        <v>1.724</v>
      </c>
      <c r="K398">
        <v>0.72399999999999998</v>
      </c>
      <c r="L398">
        <v>4.19E-2</v>
      </c>
      <c r="M398">
        <v>2.5000000000000001E-3</v>
      </c>
      <c r="N398">
        <f>CONVERT(O398,"lbf","N")</f>
        <v>137.00522575002341</v>
      </c>
      <c r="O398">
        <v>30.8</v>
      </c>
      <c r="P398">
        <f t="shared" si="6"/>
        <v>5.9665871121718381E-2</v>
      </c>
    </row>
    <row r="399" spans="1:16" hidden="1" x14ac:dyDescent="0.25">
      <c r="A399">
        <v>0</v>
      </c>
      <c r="B399">
        <v>25000</v>
      </c>
      <c r="C399">
        <f>1.225 * (1 - 0.00000687559 * B399) ^ 4.2561</f>
        <v>0.54892259437885793</v>
      </c>
      <c r="D399">
        <f>E399*(SQRT($C$2/C399))</f>
        <v>298.77378321820675</v>
      </c>
      <c r="E399">
        <v>200</v>
      </c>
      <c r="F399">
        <v>1215</v>
      </c>
      <c r="G399">
        <v>250</v>
      </c>
      <c r="H399">
        <f>CONVERT(G399,"HP","kW")</f>
        <v>186.42496789556756</v>
      </c>
      <c r="I399">
        <v>-0.17899999999999999</v>
      </c>
      <c r="J399">
        <v>1.9155</v>
      </c>
      <c r="K399">
        <v>0.75570000000000004</v>
      </c>
      <c r="L399">
        <v>4.19E-2</v>
      </c>
      <c r="M399">
        <v>-3.8999999999999998E-3</v>
      </c>
      <c r="N399">
        <f>CONVERT(O399,"lbf","N")</f>
        <v>-217.07321482471238</v>
      </c>
      <c r="O399">
        <v>-48.8</v>
      </c>
      <c r="P399">
        <f t="shared" si="6"/>
        <v>-9.3078758949880658E-2</v>
      </c>
    </row>
    <row r="400" spans="1:16" hidden="1" x14ac:dyDescent="0.25">
      <c r="A400">
        <v>0</v>
      </c>
      <c r="B400">
        <v>25000</v>
      </c>
      <c r="C400">
        <f>1.225 * (1 - 0.00000687559 * B400) ^ 4.2561</f>
        <v>0.54892259437885793</v>
      </c>
      <c r="D400">
        <f>E400*(SQRT($C$2/C400))</f>
        <v>328.65116154002743</v>
      </c>
      <c r="E400">
        <v>220</v>
      </c>
      <c r="F400">
        <v>1215</v>
      </c>
      <c r="G400">
        <v>250</v>
      </c>
      <c r="H400">
        <f>CONVERT(G400,"HP","kW")</f>
        <v>186.42496789556756</v>
      </c>
      <c r="I400">
        <v>-0.56289999999999996</v>
      </c>
      <c r="J400">
        <v>2.1071</v>
      </c>
      <c r="K400">
        <v>0.78920000000000001</v>
      </c>
      <c r="L400">
        <v>4.19E-2</v>
      </c>
      <c r="M400">
        <v>-1.12E-2</v>
      </c>
      <c r="N400">
        <f>CONVERT(O400,"lbf","N")</f>
        <v>-620.52691532883978</v>
      </c>
      <c r="O400">
        <v>-139.5</v>
      </c>
      <c r="P400">
        <f t="shared" si="6"/>
        <v>-0.26730310262529833</v>
      </c>
    </row>
    <row r="401" spans="1:16" hidden="1" x14ac:dyDescent="0.25">
      <c r="A401">
        <v>0</v>
      </c>
      <c r="B401">
        <v>5000</v>
      </c>
      <c r="C401">
        <f>1.225 * (1 - 0.00000687559 * B401) ^ 4.2561</f>
        <v>1.0555380742846066</v>
      </c>
      <c r="D401">
        <f>E401*(SQRT($C$2/C401))</f>
        <v>172.3657904487294</v>
      </c>
      <c r="E401">
        <v>160</v>
      </c>
      <c r="F401">
        <v>1215</v>
      </c>
      <c r="G401">
        <v>500</v>
      </c>
      <c r="H401">
        <f>CONVERT(G401,"HP","kW")</f>
        <v>372.84993579113512</v>
      </c>
      <c r="I401">
        <v>0.60670000000000002</v>
      </c>
      <c r="J401">
        <v>1.1051</v>
      </c>
      <c r="K401">
        <v>0.59050000000000002</v>
      </c>
      <c r="L401">
        <v>4.3499999999999997E-2</v>
      </c>
      <c r="M401">
        <v>2.3900000000000001E-2</v>
      </c>
      <c r="N401">
        <f>CONVERT(O401,"lbf","N")</f>
        <v>2551.0550963518967</v>
      </c>
      <c r="O401">
        <v>573.5</v>
      </c>
      <c r="P401">
        <f t="shared" si="6"/>
        <v>0.5494252873563219</v>
      </c>
    </row>
    <row r="402" spans="1:16" hidden="1" x14ac:dyDescent="0.25">
      <c r="A402">
        <v>0</v>
      </c>
      <c r="B402">
        <v>5000</v>
      </c>
      <c r="C402">
        <f>1.225 * (1 - 0.00000687559 * B402) ^ 4.2561</f>
        <v>1.0555380742846066</v>
      </c>
      <c r="D402">
        <f>E402*(SQRT($C$2/C402))</f>
        <v>193.91151425482059</v>
      </c>
      <c r="E402">
        <v>180</v>
      </c>
      <c r="F402">
        <v>1215</v>
      </c>
      <c r="G402">
        <v>500</v>
      </c>
      <c r="H402">
        <f>CONVERT(G402,"HP","kW")</f>
        <v>372.84993579113512</v>
      </c>
      <c r="I402">
        <v>0.59030000000000005</v>
      </c>
      <c r="J402">
        <v>1.2432000000000001</v>
      </c>
      <c r="K402">
        <v>0.60609999999999997</v>
      </c>
      <c r="L402">
        <v>4.3499999999999997E-2</v>
      </c>
      <c r="M402">
        <v>2.07E-2</v>
      </c>
      <c r="N402">
        <f>CONVERT(O402,"lbf","N")</f>
        <v>2206.3179211692081</v>
      </c>
      <c r="O402">
        <v>496</v>
      </c>
      <c r="P402">
        <f t="shared" si="6"/>
        <v>0.47586206896551725</v>
      </c>
    </row>
    <row r="403" spans="1:16" hidden="1" x14ac:dyDescent="0.25">
      <c r="A403">
        <v>0</v>
      </c>
      <c r="B403">
        <v>5000</v>
      </c>
      <c r="C403">
        <f>1.225 * (1 - 0.00000687559 * B403) ^ 4.2561</f>
        <v>1.0555380742846066</v>
      </c>
      <c r="D403">
        <f>E403*(SQRT($C$2/C403))</f>
        <v>215.45723806091175</v>
      </c>
      <c r="E403">
        <v>200</v>
      </c>
      <c r="F403">
        <v>1215</v>
      </c>
      <c r="G403">
        <v>500</v>
      </c>
      <c r="H403">
        <f>CONVERT(G403,"HP","kW")</f>
        <v>372.84993579113512</v>
      </c>
      <c r="I403">
        <v>0.56610000000000005</v>
      </c>
      <c r="J403">
        <v>1.3814</v>
      </c>
      <c r="K403">
        <v>0.62309999999999999</v>
      </c>
      <c r="L403">
        <v>4.3499999999999997E-2</v>
      </c>
      <c r="M403">
        <v>1.78E-2</v>
      </c>
      <c r="N403">
        <f>CONVERT(O403,"lbf","N")</f>
        <v>1904.2836734930202</v>
      </c>
      <c r="O403">
        <v>428.1</v>
      </c>
      <c r="P403">
        <f t="shared" si="6"/>
        <v>0.4091954022988506</v>
      </c>
    </row>
    <row r="404" spans="1:16" hidden="1" x14ac:dyDescent="0.25">
      <c r="A404">
        <v>0</v>
      </c>
      <c r="B404">
        <v>5000</v>
      </c>
      <c r="C404">
        <f>1.225 * (1 - 0.00000687559 * B404) ^ 4.2561</f>
        <v>1.0555380742846066</v>
      </c>
      <c r="D404">
        <f>E404*(SQRT($C$2/C404))</f>
        <v>280.09440947918529</v>
      </c>
      <c r="E404">
        <v>260</v>
      </c>
      <c r="F404">
        <v>1215</v>
      </c>
      <c r="G404">
        <v>500</v>
      </c>
      <c r="H404">
        <f>CONVERT(G404,"HP","kW")</f>
        <v>372.84993579113512</v>
      </c>
      <c r="I404">
        <v>0.34289999999999998</v>
      </c>
      <c r="J404">
        <v>1.7958000000000001</v>
      </c>
      <c r="K404">
        <v>0.68130000000000002</v>
      </c>
      <c r="L404">
        <v>4.3499999999999997E-2</v>
      </c>
      <c r="M404">
        <v>8.3000000000000001E-3</v>
      </c>
      <c r="N404">
        <f>CONVERT(O404,"lbf","N")</f>
        <v>887.42021224446978</v>
      </c>
      <c r="O404">
        <v>199.5</v>
      </c>
      <c r="P404">
        <f t="shared" si="6"/>
        <v>0.19080459770114944</v>
      </c>
    </row>
    <row r="405" spans="1:16" hidden="1" x14ac:dyDescent="0.25">
      <c r="A405">
        <v>0</v>
      </c>
      <c r="B405">
        <v>5000</v>
      </c>
      <c r="C405">
        <f>1.225 * (1 - 0.00000687559 * B405) ^ 4.2561</f>
        <v>1.0555380742846066</v>
      </c>
      <c r="D405">
        <f>E405*(SQRT($C$2/C405))</f>
        <v>0</v>
      </c>
      <c r="E405">
        <v>0</v>
      </c>
      <c r="F405">
        <v>1215</v>
      </c>
      <c r="G405">
        <v>500</v>
      </c>
      <c r="H405">
        <f>CONVERT(G405,"HP","kW")</f>
        <v>372.84993579113512</v>
      </c>
      <c r="I405">
        <v>0</v>
      </c>
      <c r="J405">
        <v>0</v>
      </c>
      <c r="K405">
        <v>0.5222</v>
      </c>
      <c r="L405">
        <v>4.36E-2</v>
      </c>
      <c r="M405">
        <v>0.1125</v>
      </c>
      <c r="N405">
        <f>CONVERT(O405,"lbf","N")</f>
        <v>11976.836699088897</v>
      </c>
      <c r="O405">
        <v>2692.5</v>
      </c>
      <c r="P405">
        <f t="shared" si="6"/>
        <v>2.5802752293577984</v>
      </c>
    </row>
    <row r="406" spans="1:16" hidden="1" x14ac:dyDescent="0.25">
      <c r="A406">
        <v>0</v>
      </c>
      <c r="B406">
        <v>5000</v>
      </c>
      <c r="C406">
        <f>1.225 * (1 - 0.00000687559 * B406) ^ 4.2561</f>
        <v>1.0555380742846066</v>
      </c>
      <c r="D406">
        <f>E406*(SQRT($C$2/C406))</f>
        <v>21.545723806091175</v>
      </c>
      <c r="E406">
        <v>20</v>
      </c>
      <c r="F406">
        <v>1215</v>
      </c>
      <c r="G406">
        <v>500</v>
      </c>
      <c r="H406">
        <f>CONVERT(G406,"HP","kW")</f>
        <v>372.84993579113512</v>
      </c>
      <c r="I406">
        <v>0.29770000000000002</v>
      </c>
      <c r="J406">
        <v>0.1381</v>
      </c>
      <c r="K406">
        <v>0.52590000000000003</v>
      </c>
      <c r="L406">
        <v>4.36E-2</v>
      </c>
      <c r="M406">
        <v>9.4100000000000003E-2</v>
      </c>
      <c r="N406">
        <f>CONVERT(O406,"lbf","N")</f>
        <v>10015.170966759017</v>
      </c>
      <c r="O406">
        <v>2251.5</v>
      </c>
      <c r="P406">
        <f t="shared" si="6"/>
        <v>2.1582568807339451</v>
      </c>
    </row>
    <row r="407" spans="1:16" hidden="1" x14ac:dyDescent="0.25">
      <c r="A407">
        <v>0</v>
      </c>
      <c r="B407">
        <v>5000</v>
      </c>
      <c r="C407">
        <f>1.225 * (1 - 0.00000687559 * B407) ^ 4.2561</f>
        <v>1.0555380742846066</v>
      </c>
      <c r="D407">
        <f>E407*(SQRT($C$2/C407))</f>
        <v>43.09144761218235</v>
      </c>
      <c r="E407">
        <v>40</v>
      </c>
      <c r="F407">
        <v>1215</v>
      </c>
      <c r="G407">
        <v>500</v>
      </c>
      <c r="H407">
        <f>CONVERT(G407,"HP","kW")</f>
        <v>372.84993579113512</v>
      </c>
      <c r="I407">
        <v>0.47349999999999998</v>
      </c>
      <c r="J407">
        <v>0.27629999999999999</v>
      </c>
      <c r="K407">
        <v>0.53059999999999996</v>
      </c>
      <c r="L407">
        <v>4.36E-2</v>
      </c>
      <c r="M407">
        <v>7.4800000000000005E-2</v>
      </c>
      <c r="N407">
        <f>CONVERT(O407,"lbf","N")</f>
        <v>7964.0959799624006</v>
      </c>
      <c r="O407">
        <v>1790.4</v>
      </c>
      <c r="P407">
        <f t="shared" si="6"/>
        <v>1.7155963302752295</v>
      </c>
    </row>
    <row r="408" spans="1:16" hidden="1" x14ac:dyDescent="0.25">
      <c r="A408">
        <v>0</v>
      </c>
      <c r="B408">
        <v>5000</v>
      </c>
      <c r="C408">
        <f>1.225 * (1 - 0.00000687559 * B408) ^ 4.2561</f>
        <v>1.0555380742846066</v>
      </c>
      <c r="D408">
        <f>E408*(SQRT($C$2/C408))</f>
        <v>64.637171418273525</v>
      </c>
      <c r="E408">
        <v>60</v>
      </c>
      <c r="F408">
        <v>1215</v>
      </c>
      <c r="G408">
        <v>500</v>
      </c>
      <c r="H408">
        <f>CONVERT(G408,"HP","kW")</f>
        <v>372.84993579113512</v>
      </c>
      <c r="I408">
        <v>0.55020000000000002</v>
      </c>
      <c r="J408">
        <v>0.41439999999999999</v>
      </c>
      <c r="K408">
        <v>0.53639999999999999</v>
      </c>
      <c r="L408">
        <v>4.36E-2</v>
      </c>
      <c r="M408">
        <v>5.79E-2</v>
      </c>
      <c r="N408">
        <f>CONVERT(O408,"lbf","N")</f>
        <v>6169.683380366313</v>
      </c>
      <c r="O408">
        <v>1387</v>
      </c>
      <c r="P408">
        <f t="shared" si="6"/>
        <v>1.3279816513761469</v>
      </c>
    </row>
    <row r="409" spans="1:16" hidden="1" x14ac:dyDescent="0.25">
      <c r="A409">
        <v>0</v>
      </c>
      <c r="B409">
        <v>5000</v>
      </c>
      <c r="C409">
        <f>1.225 * (1 - 0.00000687559 * B409) ^ 4.2561</f>
        <v>1.0555380742846066</v>
      </c>
      <c r="D409">
        <f>E409*(SQRT($C$2/C409))</f>
        <v>86.1828952243647</v>
      </c>
      <c r="E409">
        <v>80</v>
      </c>
      <c r="F409">
        <v>1215</v>
      </c>
      <c r="G409">
        <v>500</v>
      </c>
      <c r="H409">
        <f>CONVERT(G409,"HP","kW")</f>
        <v>372.84993579113512</v>
      </c>
      <c r="I409">
        <v>0.58350000000000002</v>
      </c>
      <c r="J409">
        <v>0.55259999999999998</v>
      </c>
      <c r="K409">
        <v>0.54379999999999995</v>
      </c>
      <c r="L409">
        <v>4.36E-2</v>
      </c>
      <c r="M409">
        <v>4.5999999999999999E-2</v>
      </c>
      <c r="N409">
        <f>CONVERT(O409,"lbf","N")</f>
        <v>4906.8332637938574</v>
      </c>
      <c r="O409">
        <v>1103.0999999999999</v>
      </c>
      <c r="P409">
        <f t="shared" si="6"/>
        <v>1.0550458715596329</v>
      </c>
    </row>
    <row r="410" spans="1:16" hidden="1" x14ac:dyDescent="0.25">
      <c r="A410">
        <v>0</v>
      </c>
      <c r="B410">
        <v>5000</v>
      </c>
      <c r="C410">
        <f>1.225 * (1 - 0.00000687559 * B410) ^ 4.2561</f>
        <v>1.0555380742846066</v>
      </c>
      <c r="D410">
        <f>E410*(SQRT($C$2/C410))</f>
        <v>107.72861903045587</v>
      </c>
      <c r="E410">
        <v>100</v>
      </c>
      <c r="F410">
        <v>1215</v>
      </c>
      <c r="G410">
        <v>500</v>
      </c>
      <c r="H410">
        <f>CONVERT(G410,"HP","kW")</f>
        <v>372.84993579113512</v>
      </c>
      <c r="I410">
        <v>0.60260000000000002</v>
      </c>
      <c r="J410">
        <v>0.69069999999999998</v>
      </c>
      <c r="K410">
        <v>0.55289999999999995</v>
      </c>
      <c r="L410">
        <v>4.36E-2</v>
      </c>
      <c r="M410">
        <v>3.7999999999999999E-2</v>
      </c>
      <c r="N410">
        <f>CONVERT(O410,"lbf","N")</f>
        <v>4054.1091801484199</v>
      </c>
      <c r="O410">
        <v>911.4</v>
      </c>
      <c r="P410">
        <f t="shared" si="6"/>
        <v>0.87155963302752293</v>
      </c>
    </row>
    <row r="411" spans="1:16" hidden="1" x14ac:dyDescent="0.25">
      <c r="A411">
        <v>0</v>
      </c>
      <c r="B411">
        <v>5000</v>
      </c>
      <c r="C411">
        <f>1.225 * (1 - 0.00000687559 * B411) ^ 4.2561</f>
        <v>1.0555380742846066</v>
      </c>
      <c r="D411">
        <f>E411*(SQRT($C$2/C411))</f>
        <v>129.27434283654705</v>
      </c>
      <c r="E411">
        <v>120</v>
      </c>
      <c r="F411">
        <v>1215</v>
      </c>
      <c r="G411">
        <v>500</v>
      </c>
      <c r="H411">
        <f>CONVERT(G411,"HP","kW")</f>
        <v>372.84993579113512</v>
      </c>
      <c r="I411">
        <v>0.61419999999999997</v>
      </c>
      <c r="J411">
        <v>0.82879999999999998</v>
      </c>
      <c r="K411">
        <v>0.56379999999999997</v>
      </c>
      <c r="L411">
        <v>4.36E-2</v>
      </c>
      <c r="M411">
        <v>3.2300000000000002E-2</v>
      </c>
      <c r="N411">
        <f>CONVERT(O411,"lbf","N")</f>
        <v>3443.8131745346795</v>
      </c>
      <c r="O411">
        <v>774.2</v>
      </c>
      <c r="P411">
        <f t="shared" si="6"/>
        <v>0.74082568807339455</v>
      </c>
    </row>
    <row r="412" spans="1:16" hidden="1" x14ac:dyDescent="0.25">
      <c r="A412">
        <v>0</v>
      </c>
      <c r="B412">
        <v>5000</v>
      </c>
      <c r="C412">
        <f>1.225 * (1 - 0.00000687559 * B412) ^ 4.2561</f>
        <v>1.0555380742846066</v>
      </c>
      <c r="D412">
        <f>E412*(SQRT($C$2/C412))</f>
        <v>150.82006664263821</v>
      </c>
      <c r="E412">
        <v>140</v>
      </c>
      <c r="F412">
        <v>1215</v>
      </c>
      <c r="G412">
        <v>500</v>
      </c>
      <c r="H412">
        <f>CONVERT(G412,"HP","kW")</f>
        <v>372.84993579113512</v>
      </c>
      <c r="I412">
        <v>0.61509999999999998</v>
      </c>
      <c r="J412">
        <v>0.96699999999999997</v>
      </c>
      <c r="K412">
        <v>0.57640000000000002</v>
      </c>
      <c r="L412">
        <v>4.36E-2</v>
      </c>
      <c r="M412">
        <v>2.7699999999999999E-2</v>
      </c>
      <c r="N412">
        <f>CONVERT(O412,"lbf","N")</f>
        <v>2955.8432633406023</v>
      </c>
      <c r="O412">
        <v>664.5</v>
      </c>
      <c r="P412">
        <f t="shared" si="6"/>
        <v>0.63532110091743121</v>
      </c>
    </row>
    <row r="413" spans="1:16" hidden="1" x14ac:dyDescent="0.25">
      <c r="A413">
        <v>0</v>
      </c>
      <c r="B413">
        <v>5000</v>
      </c>
      <c r="C413">
        <f>1.225 * (1 - 0.00000687559 * B413) ^ 4.2561</f>
        <v>1.0555380742846066</v>
      </c>
      <c r="D413">
        <f>E413*(SQRT($C$2/C413))</f>
        <v>237.00296186700291</v>
      </c>
      <c r="E413">
        <v>220</v>
      </c>
      <c r="F413">
        <v>1215</v>
      </c>
      <c r="G413">
        <v>500</v>
      </c>
      <c r="H413">
        <f>CONVERT(G413,"HP","kW")</f>
        <v>372.84993579113512</v>
      </c>
      <c r="I413">
        <v>0.52680000000000005</v>
      </c>
      <c r="J413">
        <v>1.5195000000000001</v>
      </c>
      <c r="K413">
        <v>0.64139999999999997</v>
      </c>
      <c r="L413">
        <v>4.36E-2</v>
      </c>
      <c r="M413">
        <v>1.5100000000000001E-2</v>
      </c>
      <c r="N413">
        <f>CONVERT(O413,"lbf","N")</f>
        <v>1611.145869047353</v>
      </c>
      <c r="O413">
        <v>362.2</v>
      </c>
      <c r="P413">
        <f t="shared" si="6"/>
        <v>0.34633027522935783</v>
      </c>
    </row>
    <row r="414" spans="1:16" hidden="1" x14ac:dyDescent="0.25">
      <c r="A414">
        <v>0</v>
      </c>
      <c r="B414">
        <v>5000</v>
      </c>
      <c r="C414">
        <f>1.225 * (1 - 0.00000687559 * B414) ^ 4.2561</f>
        <v>1.0555380742846066</v>
      </c>
      <c r="D414">
        <f>E414*(SQRT($C$2/C414))</f>
        <v>258.5486856730941</v>
      </c>
      <c r="E414">
        <v>240</v>
      </c>
      <c r="F414">
        <v>1215</v>
      </c>
      <c r="G414">
        <v>500</v>
      </c>
      <c r="H414">
        <f>CONVERT(G414,"HP","kW")</f>
        <v>372.84993579113512</v>
      </c>
      <c r="I414">
        <v>0.4511</v>
      </c>
      <c r="J414">
        <v>1.6577</v>
      </c>
      <c r="K414">
        <v>0.66080000000000005</v>
      </c>
      <c r="L414">
        <v>4.36E-2</v>
      </c>
      <c r="M414">
        <v>1.1900000000000001E-2</v>
      </c>
      <c r="N414">
        <f>CONVERT(O414,"lbf","N")</f>
        <v>1264.6294052185604</v>
      </c>
      <c r="O414">
        <v>284.3</v>
      </c>
      <c r="P414">
        <f t="shared" si="6"/>
        <v>0.27293577981651379</v>
      </c>
    </row>
    <row r="415" spans="1:16" hidden="1" x14ac:dyDescent="0.25">
      <c r="A415">
        <v>0</v>
      </c>
      <c r="B415">
        <v>0</v>
      </c>
      <c r="C415">
        <f>1.225 * (1 - 0.00000687559 * B415) ^ 4.2561</f>
        <v>1.2250000000000001</v>
      </c>
      <c r="D415">
        <f>E415*(SQRT($C$2/C415))</f>
        <v>200</v>
      </c>
      <c r="E415">
        <v>200</v>
      </c>
      <c r="F415">
        <v>1150</v>
      </c>
      <c r="G415">
        <v>500</v>
      </c>
      <c r="H415">
        <f>CONVERT(G415,"HP","kW")</f>
        <v>372.84993579113512</v>
      </c>
      <c r="I415">
        <v>0.62070000000000003</v>
      </c>
      <c r="J415">
        <v>1.3548</v>
      </c>
      <c r="K415">
        <v>0.57640000000000002</v>
      </c>
      <c r="L415">
        <v>4.4200000000000003E-2</v>
      </c>
      <c r="M415">
        <v>2.0299999999999999E-2</v>
      </c>
      <c r="N415">
        <f>CONVERT(O415,"lbf","N")</f>
        <v>2249.4656708372349</v>
      </c>
      <c r="O415">
        <v>505.7</v>
      </c>
      <c r="P415">
        <f t="shared" si="6"/>
        <v>0.45927601809954743</v>
      </c>
    </row>
    <row r="416" spans="1:16" hidden="1" x14ac:dyDescent="0.25">
      <c r="A416">
        <v>0</v>
      </c>
      <c r="B416">
        <v>0</v>
      </c>
      <c r="C416">
        <f>1.225 * (1 - 0.00000687559 * B416) ^ 4.2561</f>
        <v>1.2250000000000001</v>
      </c>
      <c r="D416">
        <f>E416*(SQRT($C$2/C416))</f>
        <v>220</v>
      </c>
      <c r="E416">
        <v>220</v>
      </c>
      <c r="F416">
        <v>1150</v>
      </c>
      <c r="G416">
        <v>500</v>
      </c>
      <c r="H416">
        <f>CONVERT(G416,"HP","kW")</f>
        <v>372.84993579113512</v>
      </c>
      <c r="I416">
        <v>0.58930000000000005</v>
      </c>
      <c r="J416">
        <v>1.4902</v>
      </c>
      <c r="K416">
        <v>0.59279999999999999</v>
      </c>
      <c r="L416">
        <v>4.4200000000000003E-2</v>
      </c>
      <c r="M416">
        <v>1.7500000000000002E-2</v>
      </c>
      <c r="N416">
        <f>CONVERT(O416,"lbf","N")</f>
        <v>1941.2039128996823</v>
      </c>
      <c r="O416">
        <v>436.4</v>
      </c>
      <c r="P416">
        <f t="shared" si="6"/>
        <v>0.39592760180995479</v>
      </c>
    </row>
    <row r="417" spans="1:16" hidden="1" x14ac:dyDescent="0.25">
      <c r="A417">
        <v>0</v>
      </c>
      <c r="B417">
        <v>0</v>
      </c>
      <c r="C417">
        <f>1.225 * (1 - 0.00000687559 * B417) ^ 4.2561</f>
        <v>1.2250000000000001</v>
      </c>
      <c r="D417">
        <f>E417*(SQRT($C$2/C417))</f>
        <v>0</v>
      </c>
      <c r="E417">
        <v>0</v>
      </c>
      <c r="F417">
        <v>1150</v>
      </c>
      <c r="G417">
        <v>500</v>
      </c>
      <c r="H417">
        <f>CONVERT(G417,"HP","kW")</f>
        <v>372.84993579113512</v>
      </c>
      <c r="I417">
        <v>0</v>
      </c>
      <c r="J417">
        <v>0</v>
      </c>
      <c r="K417">
        <v>0.48559999999999998</v>
      </c>
      <c r="L417">
        <v>4.4299999999999999E-2</v>
      </c>
      <c r="M417">
        <v>0.1149</v>
      </c>
      <c r="N417">
        <f>CONVERT(O417,"lbf","N")</f>
        <v>12731.699907198603</v>
      </c>
      <c r="O417">
        <v>2862.2</v>
      </c>
      <c r="P417">
        <f t="shared" si="6"/>
        <v>2.5936794582392779</v>
      </c>
    </row>
    <row r="418" spans="1:16" hidden="1" x14ac:dyDescent="0.25">
      <c r="A418">
        <v>0</v>
      </c>
      <c r="B418">
        <v>0</v>
      </c>
      <c r="C418">
        <f>1.225 * (1 - 0.00000687559 * B418) ^ 4.2561</f>
        <v>1.2250000000000001</v>
      </c>
      <c r="D418">
        <f>E418*(SQRT($C$2/C418))</f>
        <v>20</v>
      </c>
      <c r="E418">
        <v>20</v>
      </c>
      <c r="F418">
        <v>1150</v>
      </c>
      <c r="G418">
        <v>500</v>
      </c>
      <c r="H418">
        <f>CONVERT(G418,"HP","kW")</f>
        <v>372.84993579113512</v>
      </c>
      <c r="I418">
        <v>0.29830000000000001</v>
      </c>
      <c r="J418">
        <v>0.13550000000000001</v>
      </c>
      <c r="K418">
        <v>0.48899999999999999</v>
      </c>
      <c r="L418">
        <v>4.4299999999999999E-2</v>
      </c>
      <c r="M418">
        <v>9.7600000000000006E-2</v>
      </c>
      <c r="N418">
        <f>CONVERT(O418,"lbf","N")</f>
        <v>10809.623347244542</v>
      </c>
      <c r="O418">
        <v>2430.1</v>
      </c>
      <c r="P418">
        <f t="shared" si="6"/>
        <v>2.2031602708803613</v>
      </c>
    </row>
    <row r="419" spans="1:16" hidden="1" x14ac:dyDescent="0.25">
      <c r="A419">
        <v>0</v>
      </c>
      <c r="B419">
        <v>0</v>
      </c>
      <c r="C419">
        <f>1.225 * (1 - 0.00000687559 * B419) ^ 4.2561</f>
        <v>1.2250000000000001</v>
      </c>
      <c r="D419">
        <f>E419*(SQRT($C$2/C419))</f>
        <v>40</v>
      </c>
      <c r="E419">
        <v>40</v>
      </c>
      <c r="F419">
        <v>1150</v>
      </c>
      <c r="G419">
        <v>500</v>
      </c>
      <c r="H419">
        <f>CONVERT(G419,"HP","kW")</f>
        <v>372.84993579113512</v>
      </c>
      <c r="I419">
        <v>0.48330000000000001</v>
      </c>
      <c r="J419">
        <v>0.27100000000000002</v>
      </c>
      <c r="K419">
        <v>0.49320000000000003</v>
      </c>
      <c r="L419">
        <v>4.4299999999999999E-2</v>
      </c>
      <c r="M419">
        <v>7.9100000000000004E-2</v>
      </c>
      <c r="N419">
        <f>CONVERT(O419,"lbf","N")</f>
        <v>8757.6587161248717</v>
      </c>
      <c r="O419">
        <v>1968.8</v>
      </c>
      <c r="P419">
        <f t="shared" si="6"/>
        <v>1.7855530474040633</v>
      </c>
    </row>
    <row r="420" spans="1:16" hidden="1" x14ac:dyDescent="0.25">
      <c r="A420">
        <v>0</v>
      </c>
      <c r="B420">
        <v>0</v>
      </c>
      <c r="C420">
        <f>1.225 * (1 - 0.00000687559 * B420) ^ 4.2561</f>
        <v>1.2250000000000001</v>
      </c>
      <c r="D420">
        <f>E420*(SQRT($C$2/C420))</f>
        <v>60</v>
      </c>
      <c r="E420">
        <v>60</v>
      </c>
      <c r="F420">
        <v>1150</v>
      </c>
      <c r="G420">
        <v>500</v>
      </c>
      <c r="H420">
        <f>CONVERT(G420,"HP","kW")</f>
        <v>372.84993579113512</v>
      </c>
      <c r="I420">
        <v>0.57789999999999997</v>
      </c>
      <c r="J420">
        <v>0.40639999999999998</v>
      </c>
      <c r="K420">
        <v>0.4985</v>
      </c>
      <c r="L420">
        <v>4.4299999999999999E-2</v>
      </c>
      <c r="M420">
        <v>6.3E-2</v>
      </c>
      <c r="N420">
        <f>CONVERT(O420,"lbf","N")</f>
        <v>6980.5941808283033</v>
      </c>
      <c r="O420">
        <v>1569.3</v>
      </c>
      <c r="P420">
        <f t="shared" si="6"/>
        <v>1.4221218961625282</v>
      </c>
    </row>
    <row r="421" spans="1:16" hidden="1" x14ac:dyDescent="0.25">
      <c r="A421">
        <v>0</v>
      </c>
      <c r="B421">
        <v>0</v>
      </c>
      <c r="C421">
        <f>1.225 * (1 - 0.00000687559 * B421) ^ 4.2561</f>
        <v>1.2250000000000001</v>
      </c>
      <c r="D421">
        <f>E421*(SQRT($C$2/C421))</f>
        <v>80</v>
      </c>
      <c r="E421">
        <v>80</v>
      </c>
      <c r="F421">
        <v>1150</v>
      </c>
      <c r="G421">
        <v>500</v>
      </c>
      <c r="H421">
        <f>CONVERT(G421,"HP","kW")</f>
        <v>372.84993579113512</v>
      </c>
      <c r="I421">
        <v>0.62509999999999999</v>
      </c>
      <c r="J421">
        <v>0.54190000000000005</v>
      </c>
      <c r="K421">
        <v>0.50519999999999998</v>
      </c>
      <c r="L421">
        <v>4.4299999999999999E-2</v>
      </c>
      <c r="M421">
        <v>5.11E-2</v>
      </c>
      <c r="N421">
        <f>CONVERT(O421,"lbf","N")</f>
        <v>5663.0309383881422</v>
      </c>
      <c r="O421">
        <v>1273.0999999999999</v>
      </c>
      <c r="P421">
        <f t="shared" si="6"/>
        <v>1.1534988713318284</v>
      </c>
    </row>
    <row r="422" spans="1:16" hidden="1" x14ac:dyDescent="0.25">
      <c r="A422">
        <v>0</v>
      </c>
      <c r="B422">
        <v>0</v>
      </c>
      <c r="C422">
        <f>1.225 * (1 - 0.00000687559 * B422) ^ 4.2561</f>
        <v>1.2250000000000001</v>
      </c>
      <c r="D422">
        <f>E422*(SQRT($C$2/C422))</f>
        <v>100</v>
      </c>
      <c r="E422">
        <v>100</v>
      </c>
      <c r="F422">
        <v>1150</v>
      </c>
      <c r="G422">
        <v>500</v>
      </c>
      <c r="H422">
        <f>CONVERT(G422,"HP","kW")</f>
        <v>372.84993579113512</v>
      </c>
      <c r="I422">
        <v>0.64980000000000004</v>
      </c>
      <c r="J422">
        <v>0.6774</v>
      </c>
      <c r="K422">
        <v>0.51339999999999997</v>
      </c>
      <c r="L422">
        <v>4.4299999999999999E-2</v>
      </c>
      <c r="M422">
        <v>4.2500000000000003E-2</v>
      </c>
      <c r="N422">
        <f>CONVERT(O422,"lbf","N")</f>
        <v>4709.3322240762918</v>
      </c>
      <c r="O422">
        <v>1058.7</v>
      </c>
      <c r="P422">
        <f t="shared" si="6"/>
        <v>0.95936794582392781</v>
      </c>
    </row>
    <row r="423" spans="1:16" hidden="1" x14ac:dyDescent="0.25">
      <c r="A423">
        <v>0</v>
      </c>
      <c r="B423">
        <v>0</v>
      </c>
      <c r="C423">
        <f>1.225 * (1 - 0.00000687559 * B423) ^ 4.2561</f>
        <v>1.2250000000000001</v>
      </c>
      <c r="D423">
        <f>E423*(SQRT($C$2/C423))</f>
        <v>120</v>
      </c>
      <c r="E423">
        <v>120</v>
      </c>
      <c r="F423">
        <v>1150</v>
      </c>
      <c r="G423">
        <v>500</v>
      </c>
      <c r="H423">
        <f>CONVERT(G423,"HP","kW")</f>
        <v>372.84993579113512</v>
      </c>
      <c r="I423">
        <v>0.66120000000000001</v>
      </c>
      <c r="J423">
        <v>0.81289999999999996</v>
      </c>
      <c r="K423">
        <v>0.52310000000000001</v>
      </c>
      <c r="L423">
        <v>4.4299999999999999E-2</v>
      </c>
      <c r="M423">
        <v>3.5999999999999997E-2</v>
      </c>
      <c r="N423">
        <f>CONVERT(O423,"lbf","N")</f>
        <v>3993.168544019351</v>
      </c>
      <c r="O423">
        <v>897.7</v>
      </c>
      <c r="P423">
        <f t="shared" si="6"/>
        <v>0.8126410835214446</v>
      </c>
    </row>
    <row r="424" spans="1:16" hidden="1" x14ac:dyDescent="0.25">
      <c r="A424">
        <v>0</v>
      </c>
      <c r="B424">
        <v>0</v>
      </c>
      <c r="C424">
        <f>1.225 * (1 - 0.00000687559 * B424) ^ 4.2561</f>
        <v>1.2250000000000001</v>
      </c>
      <c r="D424">
        <f>E424*(SQRT($C$2/C424))</f>
        <v>140</v>
      </c>
      <c r="E424">
        <v>140</v>
      </c>
      <c r="F424">
        <v>1150</v>
      </c>
      <c r="G424">
        <v>500</v>
      </c>
      <c r="H424">
        <f>CONVERT(G424,"HP","kW")</f>
        <v>372.84993579113512</v>
      </c>
      <c r="I424">
        <v>0.66359999999999997</v>
      </c>
      <c r="J424">
        <v>0.94830000000000003</v>
      </c>
      <c r="K424">
        <v>0.53439999999999999</v>
      </c>
      <c r="L424">
        <v>4.4299999999999999E-2</v>
      </c>
      <c r="M424">
        <v>3.1E-2</v>
      </c>
      <c r="N424">
        <f>CONVERT(O424,"lbf","N")</f>
        <v>3435.3615534656842</v>
      </c>
      <c r="O424">
        <v>772.3</v>
      </c>
      <c r="P424">
        <f t="shared" si="6"/>
        <v>0.69977426636568851</v>
      </c>
    </row>
    <row r="425" spans="1:16" hidden="1" x14ac:dyDescent="0.25">
      <c r="A425">
        <v>0</v>
      </c>
      <c r="B425">
        <v>0</v>
      </c>
      <c r="C425">
        <f>1.225 * (1 - 0.00000687559 * B425) ^ 4.2561</f>
        <v>1.2250000000000001</v>
      </c>
      <c r="D425">
        <f>E425*(SQRT($C$2/C425))</f>
        <v>160</v>
      </c>
      <c r="E425">
        <v>160</v>
      </c>
      <c r="F425">
        <v>1150</v>
      </c>
      <c r="G425">
        <v>500</v>
      </c>
      <c r="H425">
        <f>CONVERT(G425,"HP","kW")</f>
        <v>372.84993579113512</v>
      </c>
      <c r="I425">
        <v>0.65659999999999996</v>
      </c>
      <c r="J425">
        <v>1.0838000000000001</v>
      </c>
      <c r="K425">
        <v>0.54710000000000003</v>
      </c>
      <c r="L425">
        <v>4.4299999999999999E-2</v>
      </c>
      <c r="M425">
        <v>2.6800000000000001E-2</v>
      </c>
      <c r="N425">
        <f>CONVERT(O425,"lbf","N")</f>
        <v>2974.5257941246969</v>
      </c>
      <c r="O425">
        <v>668.7</v>
      </c>
      <c r="P425">
        <f t="shared" si="6"/>
        <v>0.60496613995485327</v>
      </c>
    </row>
    <row r="426" spans="1:16" hidden="1" x14ac:dyDescent="0.25">
      <c r="A426">
        <v>0</v>
      </c>
      <c r="B426">
        <v>0</v>
      </c>
      <c r="C426">
        <f>1.225 * (1 - 0.00000687559 * B426) ^ 4.2561</f>
        <v>1.2250000000000001</v>
      </c>
      <c r="D426">
        <f>E426*(SQRT($C$2/C426))</f>
        <v>180</v>
      </c>
      <c r="E426">
        <v>180</v>
      </c>
      <c r="F426">
        <v>1150</v>
      </c>
      <c r="G426">
        <v>500</v>
      </c>
      <c r="H426">
        <f>CONVERT(G426,"HP","kW")</f>
        <v>372.84993579113512</v>
      </c>
      <c r="I426">
        <v>0.6421</v>
      </c>
      <c r="J426">
        <v>1.2193000000000001</v>
      </c>
      <c r="K426">
        <v>0.56110000000000004</v>
      </c>
      <c r="L426">
        <v>4.4299999999999999E-2</v>
      </c>
      <c r="M426">
        <v>2.3300000000000001E-2</v>
      </c>
      <c r="N426">
        <f>CONVERT(O426,"lbf","N")</f>
        <v>2585.3064027894029</v>
      </c>
      <c r="O426">
        <v>581.20000000000005</v>
      </c>
      <c r="P426">
        <f t="shared" si="6"/>
        <v>0.52595936794582399</v>
      </c>
    </row>
    <row r="427" spans="1:16" hidden="1" x14ac:dyDescent="0.25">
      <c r="A427">
        <v>0</v>
      </c>
      <c r="B427">
        <v>0</v>
      </c>
      <c r="C427">
        <f>1.225 * (1 - 0.00000687559 * B427) ^ 4.2561</f>
        <v>1.2250000000000001</v>
      </c>
      <c r="D427">
        <f>E427*(SQRT($C$2/C427))</f>
        <v>240</v>
      </c>
      <c r="E427">
        <v>240</v>
      </c>
      <c r="F427">
        <v>1150</v>
      </c>
      <c r="G427">
        <v>500</v>
      </c>
      <c r="H427">
        <f>CONVERT(G427,"HP","kW")</f>
        <v>372.84993579113512</v>
      </c>
      <c r="I427">
        <v>0.54120000000000001</v>
      </c>
      <c r="J427">
        <v>1.6256999999999999</v>
      </c>
      <c r="K427">
        <v>0.61029999999999995</v>
      </c>
      <c r="L427">
        <v>4.4299999999999999E-2</v>
      </c>
      <c r="M427">
        <v>1.47E-2</v>
      </c>
      <c r="N427">
        <f>CONVERT(O427,"lbf","N")</f>
        <v>1634.2766214467076</v>
      </c>
      <c r="O427">
        <v>367.4</v>
      </c>
      <c r="P427">
        <f t="shared" si="6"/>
        <v>0.33182844243792325</v>
      </c>
    </row>
    <row r="428" spans="1:16" hidden="1" x14ac:dyDescent="0.25">
      <c r="A428">
        <v>0</v>
      </c>
      <c r="B428">
        <v>0</v>
      </c>
      <c r="C428">
        <f>1.225 * (1 - 0.00000687559 * B428) ^ 4.2561</f>
        <v>1.2250000000000001</v>
      </c>
      <c r="D428">
        <f>E428*(SQRT($C$2/C428))</f>
        <v>260</v>
      </c>
      <c r="E428">
        <v>260</v>
      </c>
      <c r="F428">
        <v>1150</v>
      </c>
      <c r="G428">
        <v>500</v>
      </c>
      <c r="H428">
        <f>CONVERT(G428,"HP","kW")</f>
        <v>372.84993579113512</v>
      </c>
      <c r="I428">
        <v>0.47710000000000002</v>
      </c>
      <c r="J428">
        <v>1.7612000000000001</v>
      </c>
      <c r="K428">
        <v>0.62880000000000003</v>
      </c>
      <c r="L428">
        <v>4.4299999999999999E-2</v>
      </c>
      <c r="M428">
        <v>1.2E-2</v>
      </c>
      <c r="N428">
        <f>CONVERT(O428,"lbf","N")</f>
        <v>1330.0182629628896</v>
      </c>
      <c r="O428">
        <v>299</v>
      </c>
      <c r="P428">
        <f t="shared" si="6"/>
        <v>0.27088036117381492</v>
      </c>
    </row>
    <row r="429" spans="1:16" hidden="1" x14ac:dyDescent="0.25">
      <c r="A429">
        <v>0</v>
      </c>
      <c r="B429">
        <v>15000</v>
      </c>
      <c r="C429">
        <f>1.225 * (1 - 0.00000687559 * B429) ^ 4.2561</f>
        <v>0.77079726910167001</v>
      </c>
      <c r="D429">
        <f>E429*(SQRT($C$2/C429))</f>
        <v>201.70559422026446</v>
      </c>
      <c r="E429">
        <v>160</v>
      </c>
      <c r="F429">
        <v>987</v>
      </c>
      <c r="G429">
        <v>200</v>
      </c>
      <c r="H429">
        <f>CONVERT(G429,"HP","kW")</f>
        <v>149.13997431645407</v>
      </c>
      <c r="I429">
        <v>0.62039999999999995</v>
      </c>
      <c r="J429">
        <v>1.5919000000000001</v>
      </c>
      <c r="K429">
        <v>0.54910000000000003</v>
      </c>
      <c r="L429">
        <v>4.4400000000000002E-2</v>
      </c>
      <c r="M429">
        <v>1.7299999999999999E-2</v>
      </c>
      <c r="N429">
        <f>CONVERT(O429,"lbf","N")</f>
        <v>891.42361169820424</v>
      </c>
      <c r="O429">
        <v>200.4</v>
      </c>
      <c r="P429">
        <f t="shared" si="6"/>
        <v>0.3896396396396396</v>
      </c>
    </row>
    <row r="430" spans="1:16" hidden="1" x14ac:dyDescent="0.25">
      <c r="A430" s="4">
        <v>0</v>
      </c>
      <c r="B430" s="4">
        <v>15000</v>
      </c>
      <c r="C430" s="4">
        <f>1.225 * (1 - 0.00000687559 * B430) ^ 4.2561</f>
        <v>0.77079726910167001</v>
      </c>
      <c r="D430" s="4">
        <f>E430*(SQRT($C$2/C430))</f>
        <v>252.13199277533059</v>
      </c>
      <c r="E430" s="4">
        <v>200</v>
      </c>
      <c r="F430" s="4">
        <v>987</v>
      </c>
      <c r="G430" s="4">
        <v>200</v>
      </c>
      <c r="H430" s="4">
        <f>CONVERT(G430,"HP","kW")</f>
        <v>149.13997431645407</v>
      </c>
      <c r="I430" s="4">
        <v>0.4234</v>
      </c>
      <c r="J430" s="4">
        <v>1.9899</v>
      </c>
      <c r="K430" s="4">
        <v>0.59989999999999999</v>
      </c>
      <c r="L430" s="4">
        <v>4.4400000000000002E-2</v>
      </c>
      <c r="M430" s="4">
        <v>9.4999999999999998E-3</v>
      </c>
      <c r="N430" s="4">
        <f>CONVERT(O430,"lbf","N")</f>
        <v>487.08026687102472</v>
      </c>
      <c r="O430" s="4">
        <v>109.5</v>
      </c>
      <c r="P430">
        <f t="shared" si="6"/>
        <v>0.21396396396396394</v>
      </c>
    </row>
    <row r="431" spans="1:16" hidden="1" x14ac:dyDescent="0.25">
      <c r="A431">
        <v>0</v>
      </c>
      <c r="B431">
        <v>15000</v>
      </c>
      <c r="C431">
        <f>1.225 * (1 - 0.00000687559 * B431) ^ 4.2561</f>
        <v>0.77079726910167001</v>
      </c>
      <c r="D431">
        <f>E431*(SQRT($C$2/C431))</f>
        <v>0</v>
      </c>
      <c r="E431">
        <v>0</v>
      </c>
      <c r="F431">
        <v>987</v>
      </c>
      <c r="G431">
        <v>200</v>
      </c>
      <c r="H431">
        <f>CONVERT(G431,"HP","kW")</f>
        <v>149.13997431645407</v>
      </c>
      <c r="I431">
        <v>0</v>
      </c>
      <c r="J431">
        <v>0</v>
      </c>
      <c r="K431">
        <v>0.44</v>
      </c>
      <c r="L431">
        <v>4.4499999999999998E-2</v>
      </c>
      <c r="M431">
        <v>0.11609999999999999</v>
      </c>
      <c r="N431">
        <f>CONVERT(O431,"lbf","N")</f>
        <v>5964.6203639028045</v>
      </c>
      <c r="O431">
        <v>1340.9</v>
      </c>
      <c r="P431">
        <f t="shared" si="6"/>
        <v>2.6089887640449438</v>
      </c>
    </row>
    <row r="432" spans="1:16" hidden="1" x14ac:dyDescent="0.25">
      <c r="A432">
        <v>0</v>
      </c>
      <c r="B432">
        <v>15000</v>
      </c>
      <c r="C432">
        <f>1.225 * (1 - 0.00000687559 * B432) ^ 4.2561</f>
        <v>0.77079726910167001</v>
      </c>
      <c r="D432">
        <f>E432*(SQRT($C$2/C432))</f>
        <v>25.213199277533057</v>
      </c>
      <c r="E432">
        <v>20</v>
      </c>
      <c r="F432">
        <v>987</v>
      </c>
      <c r="G432">
        <v>200</v>
      </c>
      <c r="H432">
        <f>CONVERT(G432,"HP","kW")</f>
        <v>149.13997431645407</v>
      </c>
      <c r="I432">
        <v>0.40739999999999998</v>
      </c>
      <c r="J432">
        <v>0.19900000000000001</v>
      </c>
      <c r="K432">
        <v>0.44479999999999997</v>
      </c>
      <c r="L432">
        <v>4.4499999999999998E-2</v>
      </c>
      <c r="M432">
        <v>9.1200000000000003E-2</v>
      </c>
      <c r="N432">
        <f>CONVERT(O432,"lbf","N")</f>
        <v>4683.9773608693067</v>
      </c>
      <c r="O432">
        <v>1053</v>
      </c>
      <c r="P432">
        <f t="shared" si="6"/>
        <v>2.0494382022471913</v>
      </c>
    </row>
    <row r="433" spans="1:16" hidden="1" x14ac:dyDescent="0.25">
      <c r="A433">
        <v>0</v>
      </c>
      <c r="B433">
        <v>15000</v>
      </c>
      <c r="C433">
        <f>1.225 * (1 - 0.00000687559 * B433) ^ 4.2561</f>
        <v>0.77079726910167001</v>
      </c>
      <c r="D433">
        <f>E433*(SQRT($C$2/C433))</f>
        <v>50.426398555066115</v>
      </c>
      <c r="E433">
        <v>40</v>
      </c>
      <c r="F433">
        <v>987</v>
      </c>
      <c r="G433">
        <v>200</v>
      </c>
      <c r="H433">
        <f>CONVERT(G433,"HP","kW")</f>
        <v>149.13997431645407</v>
      </c>
      <c r="I433">
        <v>0.60040000000000004</v>
      </c>
      <c r="J433">
        <v>0.39800000000000002</v>
      </c>
      <c r="K433">
        <v>0.45140000000000002</v>
      </c>
      <c r="L433">
        <v>4.4499999999999998E-2</v>
      </c>
      <c r="M433">
        <v>6.7199999999999996E-2</v>
      </c>
      <c r="N433">
        <f>CONVERT(O433,"lbf","N")</f>
        <v>3451.8199734421478</v>
      </c>
      <c r="O433">
        <v>776</v>
      </c>
      <c r="P433">
        <f t="shared" si="6"/>
        <v>1.5101123595505617</v>
      </c>
    </row>
    <row r="434" spans="1:16" hidden="1" x14ac:dyDescent="0.25">
      <c r="A434">
        <v>0</v>
      </c>
      <c r="B434">
        <v>15000</v>
      </c>
      <c r="C434">
        <f>1.225 * (1 - 0.00000687559 * B434) ^ 4.2561</f>
        <v>0.77079726910167001</v>
      </c>
      <c r="D434">
        <f>E434*(SQRT($C$2/C434))</f>
        <v>75.639597832599179</v>
      </c>
      <c r="E434">
        <v>60</v>
      </c>
      <c r="F434">
        <v>987</v>
      </c>
      <c r="G434">
        <v>200</v>
      </c>
      <c r="H434">
        <f>CONVERT(G434,"HP","kW")</f>
        <v>149.13997431645407</v>
      </c>
      <c r="I434">
        <v>0.67400000000000004</v>
      </c>
      <c r="J434">
        <v>0.59699999999999998</v>
      </c>
      <c r="K434">
        <v>0.46060000000000001</v>
      </c>
      <c r="L434">
        <v>4.4499999999999998E-2</v>
      </c>
      <c r="M434">
        <v>5.0200000000000002E-2</v>
      </c>
      <c r="N434">
        <f>CONVERT(O434,"lbf","N")</f>
        <v>2583.5271141432981</v>
      </c>
      <c r="O434">
        <v>580.79999999999995</v>
      </c>
      <c r="P434">
        <f t="shared" si="6"/>
        <v>1.1280898876404495</v>
      </c>
    </row>
    <row r="435" spans="1:16" hidden="1" x14ac:dyDescent="0.25">
      <c r="A435">
        <v>0</v>
      </c>
      <c r="B435">
        <v>15000</v>
      </c>
      <c r="C435">
        <f>1.225 * (1 - 0.00000687559 * B435) ^ 4.2561</f>
        <v>0.77079726910167001</v>
      </c>
      <c r="D435">
        <f>E435*(SQRT($C$2/C435))</f>
        <v>100.85279711013223</v>
      </c>
      <c r="E435">
        <v>80</v>
      </c>
      <c r="F435">
        <v>987</v>
      </c>
      <c r="G435">
        <v>200</v>
      </c>
      <c r="H435">
        <f>CONVERT(G435,"HP","kW")</f>
        <v>149.13997431645407</v>
      </c>
      <c r="I435">
        <v>0.70450000000000002</v>
      </c>
      <c r="J435">
        <v>0.79600000000000004</v>
      </c>
      <c r="K435">
        <v>0.47289999999999999</v>
      </c>
      <c r="L435">
        <v>4.4499999999999998E-2</v>
      </c>
      <c r="M435">
        <v>3.9399999999999998E-2</v>
      </c>
      <c r="N435">
        <f>CONVERT(O435,"lbf","N")</f>
        <v>2025.2753014281059</v>
      </c>
      <c r="O435">
        <v>455.3</v>
      </c>
      <c r="P435">
        <f t="shared" si="6"/>
        <v>0.88539325842696626</v>
      </c>
    </row>
    <row r="436" spans="1:16" hidden="1" x14ac:dyDescent="0.25">
      <c r="A436">
        <v>0</v>
      </c>
      <c r="B436">
        <v>15000</v>
      </c>
      <c r="C436">
        <f>1.225 * (1 - 0.00000687559 * B436) ^ 4.2561</f>
        <v>0.77079726910167001</v>
      </c>
      <c r="D436">
        <f>E436*(SQRT($C$2/C436))</f>
        <v>126.06599638766529</v>
      </c>
      <c r="E436">
        <v>100</v>
      </c>
      <c r="F436">
        <v>987</v>
      </c>
      <c r="G436">
        <v>200</v>
      </c>
      <c r="H436">
        <f>CONVERT(G436,"HP","kW")</f>
        <v>149.13997431645407</v>
      </c>
      <c r="I436">
        <v>0.71050000000000002</v>
      </c>
      <c r="J436">
        <v>0.995</v>
      </c>
      <c r="K436">
        <v>0.48809999999999998</v>
      </c>
      <c r="L436">
        <v>4.4499999999999998E-2</v>
      </c>
      <c r="M436">
        <v>3.1800000000000002E-2</v>
      </c>
      <c r="N436">
        <f>CONVERT(O436,"lbf","N")</f>
        <v>1633.8317992851817</v>
      </c>
      <c r="O436">
        <v>367.3</v>
      </c>
      <c r="P436">
        <f t="shared" si="6"/>
        <v>0.71460674157303383</v>
      </c>
    </row>
    <row r="437" spans="1:16" hidden="1" x14ac:dyDescent="0.25">
      <c r="A437">
        <v>0</v>
      </c>
      <c r="B437">
        <v>15000</v>
      </c>
      <c r="C437">
        <f>1.225 * (1 - 0.00000687559 * B437) ^ 4.2561</f>
        <v>0.77079726910167001</v>
      </c>
      <c r="D437">
        <f>E437*(SQRT($C$2/C437))</f>
        <v>151.27919566519836</v>
      </c>
      <c r="E437">
        <v>120</v>
      </c>
      <c r="F437">
        <v>987</v>
      </c>
      <c r="G437">
        <v>200</v>
      </c>
      <c r="H437">
        <f>CONVERT(G437,"HP","kW")</f>
        <v>149.13997431645407</v>
      </c>
      <c r="I437">
        <v>0.69820000000000004</v>
      </c>
      <c r="J437">
        <v>1.1939</v>
      </c>
      <c r="K437">
        <v>0.50609999999999999</v>
      </c>
      <c r="L437">
        <v>4.4499999999999998E-2</v>
      </c>
      <c r="M437">
        <v>2.5999999999999999E-2</v>
      </c>
      <c r="N437">
        <f>CONVERT(O437,"lbf","N")</f>
        <v>1338.0250618703585</v>
      </c>
      <c r="O437">
        <v>300.8</v>
      </c>
      <c r="P437">
        <f t="shared" si="6"/>
        <v>0.5842696629213483</v>
      </c>
    </row>
    <row r="438" spans="1:16" hidden="1" x14ac:dyDescent="0.25">
      <c r="A438">
        <v>0</v>
      </c>
      <c r="B438">
        <v>15000</v>
      </c>
      <c r="C438">
        <f>1.225 * (1 - 0.00000687559 * B438) ^ 4.2561</f>
        <v>0.77079726910167001</v>
      </c>
      <c r="D438">
        <f>E438*(SQRT($C$2/C438))</f>
        <v>176.49239494273141</v>
      </c>
      <c r="E438">
        <v>140</v>
      </c>
      <c r="F438">
        <v>987</v>
      </c>
      <c r="G438">
        <v>200</v>
      </c>
      <c r="H438">
        <f>CONVERT(G438,"HP","kW")</f>
        <v>149.13997431645407</v>
      </c>
      <c r="I438">
        <v>0.67069999999999996</v>
      </c>
      <c r="J438">
        <v>1.3929</v>
      </c>
      <c r="K438">
        <v>0.52649999999999997</v>
      </c>
      <c r="L438">
        <v>4.4499999999999998E-2</v>
      </c>
      <c r="M438">
        <v>2.1399999999999999E-2</v>
      </c>
      <c r="N438">
        <f>CONVERT(O438,"lbf","N")</f>
        <v>1101.824494100026</v>
      </c>
      <c r="O438">
        <v>247.7</v>
      </c>
      <c r="P438">
        <f t="shared" si="6"/>
        <v>0.48089887640449436</v>
      </c>
    </row>
    <row r="439" spans="1:16" hidden="1" x14ac:dyDescent="0.25">
      <c r="A439">
        <v>0</v>
      </c>
      <c r="B439">
        <v>15000</v>
      </c>
      <c r="C439">
        <f>1.225 * (1 - 0.00000687559 * B439) ^ 4.2561</f>
        <v>0.77079726910167001</v>
      </c>
      <c r="D439">
        <f>E439*(SQRT($C$2/C439))</f>
        <v>226.91879349779754</v>
      </c>
      <c r="E439">
        <v>180</v>
      </c>
      <c r="F439">
        <v>987</v>
      </c>
      <c r="G439">
        <v>200</v>
      </c>
      <c r="H439">
        <f>CONVERT(G439,"HP","kW")</f>
        <v>149.13997431645407</v>
      </c>
      <c r="I439">
        <v>0.54239999999999999</v>
      </c>
      <c r="J439">
        <v>1.7908999999999999</v>
      </c>
      <c r="K439">
        <v>0.5736</v>
      </c>
      <c r="L439">
        <v>4.4499999999999998E-2</v>
      </c>
      <c r="M439">
        <v>1.35E-2</v>
      </c>
      <c r="N439">
        <f>CONVERT(O439,"lbf","N")</f>
        <v>693.03292765758601</v>
      </c>
      <c r="O439">
        <v>155.80000000000001</v>
      </c>
      <c r="P439">
        <f t="shared" si="6"/>
        <v>0.30337078651685395</v>
      </c>
    </row>
    <row r="440" spans="1:16" hidden="1" x14ac:dyDescent="0.25">
      <c r="A440">
        <v>0</v>
      </c>
      <c r="B440">
        <v>15000</v>
      </c>
      <c r="C440">
        <f>1.225 * (1 - 0.00000687559 * B440) ^ 4.2561</f>
        <v>0.77079726910167001</v>
      </c>
      <c r="D440">
        <f>E440*(SQRT($C$2/C440))</f>
        <v>277.34519205286364</v>
      </c>
      <c r="E440">
        <v>220</v>
      </c>
      <c r="F440">
        <v>987</v>
      </c>
      <c r="G440">
        <v>200</v>
      </c>
      <c r="H440">
        <f>CONVERT(G440,"HP","kW")</f>
        <v>149.13997431645407</v>
      </c>
      <c r="I440">
        <v>0.26729999999999998</v>
      </c>
      <c r="J440">
        <v>2.1888999999999998</v>
      </c>
      <c r="K440">
        <v>0.62760000000000005</v>
      </c>
      <c r="L440">
        <v>4.4499999999999998E-2</v>
      </c>
      <c r="M440">
        <v>5.4000000000000003E-3</v>
      </c>
      <c r="N440">
        <f>CONVERT(O440,"lbf","N")</f>
        <v>279.3483174383594</v>
      </c>
      <c r="O440">
        <v>62.8</v>
      </c>
      <c r="P440">
        <f t="shared" si="6"/>
        <v>0.12134831460674159</v>
      </c>
    </row>
    <row r="441" spans="1:16" hidden="1" x14ac:dyDescent="0.25">
      <c r="A441">
        <v>0</v>
      </c>
      <c r="B441">
        <v>15000</v>
      </c>
      <c r="C441">
        <f>1.225 * (1 - 0.00000687559 * B441) ^ 4.2561</f>
        <v>0.77079726910167001</v>
      </c>
      <c r="D441">
        <f>E441*(SQRT($C$2/C441))</f>
        <v>302.55839133039672</v>
      </c>
      <c r="E441">
        <v>240</v>
      </c>
      <c r="F441">
        <v>987</v>
      </c>
      <c r="G441">
        <v>200</v>
      </c>
      <c r="H441">
        <f>CONVERT(G441,"HP","kW")</f>
        <v>149.13997431645407</v>
      </c>
      <c r="I441">
        <v>5.04E-2</v>
      </c>
      <c r="J441">
        <v>2.3879000000000001</v>
      </c>
      <c r="K441">
        <v>0.65659999999999996</v>
      </c>
      <c r="L441">
        <v>4.4499999999999998E-2</v>
      </c>
      <c r="M441">
        <v>8.9999999999999998E-4</v>
      </c>
      <c r="N441">
        <f>CONVERT(O441,"lbf","N")</f>
        <v>48.040793444813403</v>
      </c>
      <c r="O441">
        <v>10.8</v>
      </c>
      <c r="P441">
        <f t="shared" si="6"/>
        <v>2.0224719101123594E-2</v>
      </c>
    </row>
    <row r="442" spans="1:16" hidden="1" x14ac:dyDescent="0.25">
      <c r="A442">
        <v>0</v>
      </c>
      <c r="B442">
        <v>15000</v>
      </c>
      <c r="C442">
        <f>1.225 * (1 - 0.00000687559 * B442) ^ 4.2561</f>
        <v>0.77079726910167001</v>
      </c>
      <c r="D442">
        <f>E442*(SQRT($C$2/C442))</f>
        <v>327.77159060792974</v>
      </c>
      <c r="E442">
        <v>260</v>
      </c>
      <c r="F442">
        <v>987</v>
      </c>
      <c r="G442">
        <v>200</v>
      </c>
      <c r="H442">
        <f>CONVERT(G442,"HP","kW")</f>
        <v>149.13997431645407</v>
      </c>
      <c r="I442">
        <v>-0.25280000000000002</v>
      </c>
      <c r="J442">
        <v>2.5869</v>
      </c>
      <c r="K442">
        <v>0.68669999999999998</v>
      </c>
      <c r="L442">
        <v>4.4499999999999998E-2</v>
      </c>
      <c r="M442">
        <v>-4.3E-3</v>
      </c>
      <c r="N442">
        <f>CONVERT(O442,"lbf","N")</f>
        <v>-223.74554724760313</v>
      </c>
      <c r="O442">
        <v>-50.3</v>
      </c>
      <c r="P442">
        <f t="shared" si="6"/>
        <v>-9.662921348314607E-2</v>
      </c>
    </row>
    <row r="443" spans="1:16" hidden="1" x14ac:dyDescent="0.25">
      <c r="A443">
        <v>0</v>
      </c>
      <c r="B443">
        <v>10000</v>
      </c>
      <c r="C443">
        <f>1.225 * (1 - 0.00000687559 * B443) ^ 4.2561</f>
        <v>0.90462252368600637</v>
      </c>
      <c r="D443">
        <f>E443*(SQRT($C$2/C443))</f>
        <v>256.01005727719473</v>
      </c>
      <c r="E443">
        <v>220</v>
      </c>
      <c r="F443">
        <v>987</v>
      </c>
      <c r="G443">
        <v>250</v>
      </c>
      <c r="H443">
        <f>CONVERT(G443,"HP","kW")</f>
        <v>186.42496789556756</v>
      </c>
      <c r="I443">
        <v>0.46529999999999999</v>
      </c>
      <c r="J443">
        <v>2.0205000000000002</v>
      </c>
      <c r="K443">
        <v>0.59279999999999999</v>
      </c>
      <c r="L443">
        <v>4.7300000000000002E-2</v>
      </c>
      <c r="M443">
        <v>1.09E-2</v>
      </c>
      <c r="N443">
        <f>CONVERT(O443,"lbf","N")</f>
        <v>658.78162122008007</v>
      </c>
      <c r="O443">
        <v>148.1</v>
      </c>
      <c r="P443">
        <f t="shared" si="6"/>
        <v>0.23044397463002114</v>
      </c>
    </row>
    <row r="444" spans="1:16" hidden="1" x14ac:dyDescent="0.25">
      <c r="A444">
        <v>0</v>
      </c>
      <c r="B444">
        <v>30000</v>
      </c>
      <c r="C444">
        <f>1.225 * (1 - 0.00000687559 * B444) ^ 4.2561</f>
        <v>0.45828836225470948</v>
      </c>
      <c r="D444">
        <f>E444*(SQRT($C$2/C444))</f>
        <v>98.095679593519407</v>
      </c>
      <c r="E444">
        <v>60</v>
      </c>
      <c r="F444">
        <v>1150</v>
      </c>
      <c r="G444">
        <v>200</v>
      </c>
      <c r="H444">
        <f>CONVERT(G444,"HP","kW")</f>
        <v>149.13997431645407</v>
      </c>
      <c r="I444">
        <v>0.62739999999999996</v>
      </c>
      <c r="J444">
        <v>0.66449999999999998</v>
      </c>
      <c r="K444">
        <v>0.57520000000000004</v>
      </c>
      <c r="L444">
        <v>4.7300000000000002E-2</v>
      </c>
      <c r="M444">
        <v>4.4699999999999997E-2</v>
      </c>
      <c r="N444">
        <f>CONVERT(O444,"lbf","N")</f>
        <v>1854.0187692405766</v>
      </c>
      <c r="O444">
        <v>416.8</v>
      </c>
      <c r="P444">
        <f t="shared" si="6"/>
        <v>0.94503171247357287</v>
      </c>
    </row>
    <row r="445" spans="1:16" hidden="1" x14ac:dyDescent="0.25">
      <c r="A445">
        <v>0</v>
      </c>
      <c r="B445">
        <v>30000</v>
      </c>
      <c r="C445">
        <f>1.225 * (1 - 0.00000687559 * B445) ^ 4.2561</f>
        <v>0.45828836225470948</v>
      </c>
      <c r="D445">
        <f>E445*(SQRT($C$2/C445))</f>
        <v>130.79423945802586</v>
      </c>
      <c r="E445">
        <v>80</v>
      </c>
      <c r="F445">
        <v>1150</v>
      </c>
      <c r="G445">
        <v>200</v>
      </c>
      <c r="H445">
        <f>CONVERT(G445,"HP","kW")</f>
        <v>149.13997431645407</v>
      </c>
      <c r="I445">
        <v>0.64259999999999995</v>
      </c>
      <c r="J445">
        <v>0.88590000000000002</v>
      </c>
      <c r="K445">
        <v>0.59379999999999999</v>
      </c>
      <c r="L445">
        <v>4.7300000000000002E-2</v>
      </c>
      <c r="M445">
        <v>3.4299999999999997E-2</v>
      </c>
      <c r="N445">
        <f>CONVERT(O445,"lbf","N")</f>
        <v>1424.3205612064121</v>
      </c>
      <c r="O445">
        <v>320.2</v>
      </c>
      <c r="P445">
        <f t="shared" si="6"/>
        <v>0.72515856236786458</v>
      </c>
    </row>
    <row r="446" spans="1:16" hidden="1" x14ac:dyDescent="0.25">
      <c r="A446">
        <v>0</v>
      </c>
      <c r="B446">
        <v>30000</v>
      </c>
      <c r="C446">
        <f>1.225 * (1 - 0.00000687559 * B446) ^ 4.2561</f>
        <v>0.45828836225470948</v>
      </c>
      <c r="D446">
        <f>E446*(SQRT($C$2/C446))</f>
        <v>163.49279932253233</v>
      </c>
      <c r="E446">
        <v>100</v>
      </c>
      <c r="F446">
        <v>1150</v>
      </c>
      <c r="G446">
        <v>200</v>
      </c>
      <c r="H446">
        <f>CONVERT(G446,"HP","kW")</f>
        <v>149.13997431645407</v>
      </c>
      <c r="I446">
        <v>0.62939999999999996</v>
      </c>
      <c r="J446">
        <v>1.1073999999999999</v>
      </c>
      <c r="K446">
        <v>0.61670000000000003</v>
      </c>
      <c r="L446">
        <v>4.7300000000000002E-2</v>
      </c>
      <c r="M446">
        <v>2.69E-2</v>
      </c>
      <c r="N446">
        <f>CONVERT(O446,"lbf","N")</f>
        <v>1116.0588032688595</v>
      </c>
      <c r="O446">
        <v>250.9</v>
      </c>
      <c r="P446">
        <f t="shared" si="6"/>
        <v>0.56871035940803383</v>
      </c>
    </row>
    <row r="447" spans="1:16" hidden="1" x14ac:dyDescent="0.25">
      <c r="A447">
        <v>0</v>
      </c>
      <c r="B447">
        <v>30000</v>
      </c>
      <c r="C447">
        <f>1.225 * (1 - 0.00000687559 * B447) ^ 4.2561</f>
        <v>0.45828836225470948</v>
      </c>
      <c r="D447">
        <f>E447*(SQRT($C$2/C447))</f>
        <v>196.19135918703881</v>
      </c>
      <c r="E447">
        <v>120</v>
      </c>
      <c r="F447">
        <v>1150</v>
      </c>
      <c r="G447">
        <v>200</v>
      </c>
      <c r="H447">
        <f>CONVERT(G447,"HP","kW")</f>
        <v>149.13997431645407</v>
      </c>
      <c r="I447">
        <v>0.58819999999999995</v>
      </c>
      <c r="J447">
        <v>1.3289</v>
      </c>
      <c r="K447">
        <v>0.64359999999999995</v>
      </c>
      <c r="L447">
        <v>4.7300000000000002E-2</v>
      </c>
      <c r="M447">
        <v>2.0899999999999998E-2</v>
      </c>
      <c r="N447">
        <f>CONVERT(O447,"lbf","N")</f>
        <v>869.18250362190167</v>
      </c>
      <c r="O447">
        <v>195.4</v>
      </c>
      <c r="P447">
        <f t="shared" si="6"/>
        <v>0.44186046511627902</v>
      </c>
    </row>
    <row r="448" spans="1:16" hidden="1" x14ac:dyDescent="0.25">
      <c r="A448">
        <v>0</v>
      </c>
      <c r="B448">
        <v>30000</v>
      </c>
      <c r="C448">
        <f>1.225 * (1 - 0.00000687559 * B448) ^ 4.2561</f>
        <v>0.45828836225470948</v>
      </c>
      <c r="D448">
        <f>E448*(SQRT($C$2/C448))</f>
        <v>228.88991905154526</v>
      </c>
      <c r="E448">
        <v>140</v>
      </c>
      <c r="F448">
        <v>1150</v>
      </c>
      <c r="G448">
        <v>200</v>
      </c>
      <c r="H448">
        <f>CONVERT(G448,"HP","kW")</f>
        <v>149.13997431645407</v>
      </c>
      <c r="I448">
        <v>0.49940000000000001</v>
      </c>
      <c r="J448">
        <v>1.5504</v>
      </c>
      <c r="K448">
        <v>0.67400000000000004</v>
      </c>
      <c r="L448">
        <v>4.7300000000000002E-2</v>
      </c>
      <c r="M448">
        <v>1.52E-2</v>
      </c>
      <c r="N448">
        <f>CONVERT(O448,"lbf","N")</f>
        <v>632.53711369004304</v>
      </c>
      <c r="O448">
        <v>142.19999999999999</v>
      </c>
      <c r="P448">
        <f t="shared" si="6"/>
        <v>0.32135306553911203</v>
      </c>
    </row>
    <row r="449" spans="1:16" hidden="1" x14ac:dyDescent="0.25">
      <c r="A449">
        <v>0</v>
      </c>
      <c r="B449">
        <v>30000</v>
      </c>
      <c r="C449">
        <f>1.225 * (1 - 0.00000687559 * B449) ^ 4.2561</f>
        <v>0.45828836225470948</v>
      </c>
      <c r="D449">
        <f>E449*(SQRT($C$2/C449))</f>
        <v>261.58847891605171</v>
      </c>
      <c r="E449">
        <v>160</v>
      </c>
      <c r="F449">
        <v>1150</v>
      </c>
      <c r="G449">
        <v>200</v>
      </c>
      <c r="H449">
        <f>CONVERT(G449,"HP","kW")</f>
        <v>149.13997431645407</v>
      </c>
      <c r="I449">
        <v>0.30220000000000002</v>
      </c>
      <c r="J449">
        <v>1.7719</v>
      </c>
      <c r="K449">
        <v>0.70740000000000003</v>
      </c>
      <c r="L449">
        <v>4.7300000000000002E-2</v>
      </c>
      <c r="M449">
        <v>8.0999999999999996E-3</v>
      </c>
      <c r="N449">
        <f>CONVERT(O449,"lbf","N")</f>
        <v>334.95108762911565</v>
      </c>
      <c r="O449">
        <v>75.3</v>
      </c>
      <c r="P449">
        <f t="shared" si="6"/>
        <v>0.17124735729386892</v>
      </c>
    </row>
    <row r="450" spans="1:16" hidden="1" x14ac:dyDescent="0.25">
      <c r="A450">
        <v>0</v>
      </c>
      <c r="B450">
        <v>30000</v>
      </c>
      <c r="C450">
        <f>1.225 * (1 - 0.00000687559 * B450) ^ 4.2561</f>
        <v>0.45828836225470948</v>
      </c>
      <c r="D450">
        <f>E450*(SQRT($C$2/C450))</f>
        <v>294.28703878055819</v>
      </c>
      <c r="E450">
        <v>180</v>
      </c>
      <c r="F450">
        <v>1150</v>
      </c>
      <c r="G450">
        <v>200</v>
      </c>
      <c r="H450">
        <f>CONVERT(G450,"HP","kW")</f>
        <v>149.13997431645407</v>
      </c>
      <c r="I450">
        <v>3.8E-3</v>
      </c>
      <c r="J450">
        <v>1.9934000000000001</v>
      </c>
      <c r="K450">
        <v>0.74350000000000005</v>
      </c>
      <c r="L450">
        <v>4.7300000000000002E-2</v>
      </c>
      <c r="M450">
        <v>1E-4</v>
      </c>
      <c r="N450">
        <f>CONVERT(O450,"lbf","N")</f>
        <v>4.0033994537344499</v>
      </c>
      <c r="O450">
        <v>0.9</v>
      </c>
      <c r="P450">
        <f t="shared" si="6"/>
        <v>2.1141649048625794E-3</v>
      </c>
    </row>
    <row r="451" spans="1:16" hidden="1" x14ac:dyDescent="0.25">
      <c r="A451">
        <v>0</v>
      </c>
      <c r="B451">
        <v>30000</v>
      </c>
      <c r="C451">
        <f>1.225 * (1 - 0.00000687559 * B451) ^ 4.2561</f>
        <v>0.45828836225470948</v>
      </c>
      <c r="D451">
        <f>E451*(SQRT($C$2/C451))</f>
        <v>392.38271837407763</v>
      </c>
      <c r="E451">
        <v>240</v>
      </c>
      <c r="F451">
        <v>1150</v>
      </c>
      <c r="G451">
        <v>200</v>
      </c>
      <c r="H451">
        <f>CONVERT(G451,"HP","kW")</f>
        <v>149.13997431645407</v>
      </c>
      <c r="I451">
        <v>0</v>
      </c>
      <c r="J451">
        <v>2.6577999999999999</v>
      </c>
      <c r="K451">
        <v>0.86419999999999997</v>
      </c>
      <c r="L451">
        <v>4.7300000000000002E-2</v>
      </c>
      <c r="M451">
        <v>-3.8800000000000001E-2</v>
      </c>
      <c r="N451">
        <f>CONVERT(O451,"lbf","N")</f>
        <v>-1612.0355133704052</v>
      </c>
      <c r="O451">
        <v>-362.4</v>
      </c>
      <c r="P451">
        <f t="shared" ref="P451:P514" si="7">M451/L451</f>
        <v>-0.82029598308668072</v>
      </c>
    </row>
    <row r="452" spans="1:16" hidden="1" x14ac:dyDescent="0.25">
      <c r="A452">
        <v>0</v>
      </c>
      <c r="B452">
        <v>30000</v>
      </c>
      <c r="C452">
        <f>1.225 * (1 - 0.00000687559 * B452) ^ 4.2561</f>
        <v>0.45828836225470948</v>
      </c>
      <c r="D452">
        <f>E452*(SQRT($C$2/C452))</f>
        <v>425.08127823858405</v>
      </c>
      <c r="E452">
        <v>260</v>
      </c>
      <c r="F452">
        <v>1150</v>
      </c>
      <c r="G452">
        <v>200</v>
      </c>
      <c r="H452">
        <f>CONVERT(G452,"HP","kW")</f>
        <v>149.13997431645407</v>
      </c>
      <c r="I452">
        <v>0</v>
      </c>
      <c r="J452">
        <v>2.8793000000000002</v>
      </c>
      <c r="K452">
        <v>0.90759999999999996</v>
      </c>
      <c r="L452">
        <v>4.7300000000000002E-2</v>
      </c>
      <c r="M452">
        <v>-6.6100000000000006E-2</v>
      </c>
      <c r="N452">
        <f>CONVERT(O452,"lbf","N")</f>
        <v>-2742.3286258080984</v>
      </c>
      <c r="O452">
        <v>-616.5</v>
      </c>
      <c r="P452">
        <f t="shared" si="7"/>
        <v>-1.397463002114165</v>
      </c>
    </row>
    <row r="453" spans="1:16" hidden="1" x14ac:dyDescent="0.25">
      <c r="A453">
        <v>0</v>
      </c>
      <c r="B453">
        <v>10000</v>
      </c>
      <c r="C453">
        <f>1.225 * (1 - 0.00000687559 * B453) ^ 4.2561</f>
        <v>0.90462252368600637</v>
      </c>
      <c r="D453">
        <f>E453*(SQRT($C$2/C453))</f>
        <v>0</v>
      </c>
      <c r="E453">
        <v>0</v>
      </c>
      <c r="F453">
        <v>987</v>
      </c>
      <c r="G453">
        <v>250</v>
      </c>
      <c r="H453">
        <f>CONVERT(G453,"HP","kW")</f>
        <v>186.42496789556756</v>
      </c>
      <c r="I453">
        <v>0</v>
      </c>
      <c r="J453">
        <v>0</v>
      </c>
      <c r="K453">
        <v>0.43149999999999999</v>
      </c>
      <c r="L453">
        <v>4.7399999999999998E-2</v>
      </c>
      <c r="M453">
        <v>0.1226</v>
      </c>
      <c r="N453">
        <f>CONVERT(O453,"lbf","N")</f>
        <v>7396.5029018551586</v>
      </c>
      <c r="O453">
        <v>1662.8</v>
      </c>
      <c r="P453">
        <f t="shared" si="7"/>
        <v>2.5864978902953588</v>
      </c>
    </row>
    <row r="454" spans="1:16" hidden="1" x14ac:dyDescent="0.25">
      <c r="A454">
        <v>0</v>
      </c>
      <c r="B454">
        <v>10000</v>
      </c>
      <c r="C454">
        <f>1.225 * (1 - 0.00000687559 * B454) ^ 4.2561</f>
        <v>0.90462252368600637</v>
      </c>
      <c r="D454">
        <f>E454*(SQRT($C$2/C454))</f>
        <v>23.273641570654068</v>
      </c>
      <c r="E454">
        <v>20</v>
      </c>
      <c r="F454">
        <v>987</v>
      </c>
      <c r="G454">
        <v>250</v>
      </c>
      <c r="H454">
        <f>CONVERT(G454,"HP","kW")</f>
        <v>186.42496789556756</v>
      </c>
      <c r="I454">
        <v>0.38569999999999999</v>
      </c>
      <c r="J454">
        <v>0.1837</v>
      </c>
      <c r="K454">
        <v>0.43590000000000001</v>
      </c>
      <c r="L454">
        <v>4.7399999999999998E-2</v>
      </c>
      <c r="M454">
        <v>9.9599999999999994E-2</v>
      </c>
      <c r="N454">
        <f>CONVERT(O454,"lbf","N")</f>
        <v>6005.5440027632012</v>
      </c>
      <c r="O454">
        <v>1350.1</v>
      </c>
      <c r="P454">
        <f t="shared" si="7"/>
        <v>2.1012658227848102</v>
      </c>
    </row>
    <row r="455" spans="1:16" hidden="1" x14ac:dyDescent="0.25">
      <c r="A455">
        <v>0</v>
      </c>
      <c r="B455">
        <v>10000</v>
      </c>
      <c r="C455">
        <f>1.225 * (1 - 0.00000687559 * B455) ^ 4.2561</f>
        <v>0.90462252368600637</v>
      </c>
      <c r="D455">
        <f>E455*(SQRT($C$2/C455))</f>
        <v>46.547283141308135</v>
      </c>
      <c r="E455">
        <v>40</v>
      </c>
      <c r="F455">
        <v>987</v>
      </c>
      <c r="G455">
        <v>250</v>
      </c>
      <c r="H455">
        <f>CONVERT(G455,"HP","kW")</f>
        <v>186.42496789556756</v>
      </c>
      <c r="I455">
        <v>0.59419999999999995</v>
      </c>
      <c r="J455">
        <v>0.3674</v>
      </c>
      <c r="K455">
        <v>0.44169999999999998</v>
      </c>
      <c r="L455">
        <v>4.7399999999999998E-2</v>
      </c>
      <c r="M455">
        <v>7.6700000000000004E-2</v>
      </c>
      <c r="N455">
        <f>CONVERT(O455,"lbf","N")</f>
        <v>4625.7056577093945</v>
      </c>
      <c r="O455">
        <v>1039.9000000000001</v>
      </c>
      <c r="P455">
        <f t="shared" si="7"/>
        <v>1.6181434599156119</v>
      </c>
    </row>
    <row r="456" spans="1:16" hidden="1" x14ac:dyDescent="0.25">
      <c r="A456">
        <v>0</v>
      </c>
      <c r="B456">
        <v>10000</v>
      </c>
      <c r="C456">
        <f>1.225 * (1 - 0.00000687559 * B456) ^ 4.2561</f>
        <v>0.90462252368600637</v>
      </c>
      <c r="D456">
        <f>E456*(SQRT($C$2/C456))</f>
        <v>69.820924711962206</v>
      </c>
      <c r="E456">
        <v>60</v>
      </c>
      <c r="F456">
        <v>987</v>
      </c>
      <c r="G456">
        <v>250</v>
      </c>
      <c r="H456">
        <f>CONVERT(G456,"HP","kW")</f>
        <v>186.42496789556756</v>
      </c>
      <c r="I456">
        <v>0.6855</v>
      </c>
      <c r="J456">
        <v>0.55110000000000003</v>
      </c>
      <c r="K456">
        <v>0.4496</v>
      </c>
      <c r="L456">
        <v>4.7399999999999998E-2</v>
      </c>
      <c r="M456">
        <v>5.8999999999999997E-2</v>
      </c>
      <c r="N456">
        <f>CONVERT(O456,"lbf","N")</f>
        <v>3558.1324700468736</v>
      </c>
      <c r="O456">
        <v>799.9</v>
      </c>
      <c r="P456">
        <f t="shared" si="7"/>
        <v>1.2447257383966244</v>
      </c>
    </row>
    <row r="457" spans="1:16" hidden="1" x14ac:dyDescent="0.25">
      <c r="A457">
        <v>0</v>
      </c>
      <c r="B457">
        <v>10000</v>
      </c>
      <c r="C457">
        <f>1.225 * (1 - 0.00000687559 * B457) ^ 4.2561</f>
        <v>0.90462252368600637</v>
      </c>
      <c r="D457">
        <f>E457*(SQRT($C$2/C457))</f>
        <v>116.36820785327033</v>
      </c>
      <c r="E457">
        <v>100</v>
      </c>
      <c r="F457">
        <v>987</v>
      </c>
      <c r="G457">
        <v>250</v>
      </c>
      <c r="H457">
        <f>CONVERT(G457,"HP","kW")</f>
        <v>186.42496789556756</v>
      </c>
      <c r="I457">
        <v>0.73899999999999999</v>
      </c>
      <c r="J457">
        <v>0.91839999999999999</v>
      </c>
      <c r="K457">
        <v>0.47289999999999999</v>
      </c>
      <c r="L457">
        <v>4.7399999999999998E-2</v>
      </c>
      <c r="M457">
        <v>3.8100000000000002E-2</v>
      </c>
      <c r="N457">
        <f>CONVERT(O457,"lbf","N")</f>
        <v>2301.5098637357828</v>
      </c>
      <c r="O457">
        <v>517.4</v>
      </c>
      <c r="P457">
        <f t="shared" si="7"/>
        <v>0.80379746835443044</v>
      </c>
    </row>
    <row r="458" spans="1:16" hidden="1" x14ac:dyDescent="0.25">
      <c r="A458">
        <v>0</v>
      </c>
      <c r="B458">
        <v>10000</v>
      </c>
      <c r="C458">
        <f>1.225 * (1 - 0.00000687559 * B458) ^ 4.2561</f>
        <v>0.90462252368600637</v>
      </c>
      <c r="D458">
        <f>E458*(SQRT($C$2/C458))</f>
        <v>139.64184942392441</v>
      </c>
      <c r="E458">
        <v>120</v>
      </c>
      <c r="F458">
        <v>987</v>
      </c>
      <c r="G458">
        <v>250</v>
      </c>
      <c r="H458">
        <f>CONVERT(G458,"HP","kW")</f>
        <v>186.42496789556756</v>
      </c>
      <c r="I458">
        <v>0.7359</v>
      </c>
      <c r="J458">
        <v>1.1021000000000001</v>
      </c>
      <c r="K458">
        <v>0.48820000000000002</v>
      </c>
      <c r="L458">
        <v>4.7399999999999998E-2</v>
      </c>
      <c r="M458">
        <v>3.1600000000000003E-2</v>
      </c>
      <c r="N458">
        <f>CONVERT(O458,"lbf","N")</f>
        <v>1909.6215394313326</v>
      </c>
      <c r="O458">
        <v>429.3</v>
      </c>
      <c r="P458">
        <f t="shared" si="7"/>
        <v>0.66666666666666674</v>
      </c>
    </row>
    <row r="459" spans="1:16" hidden="1" x14ac:dyDescent="0.25">
      <c r="A459">
        <v>0</v>
      </c>
      <c r="B459">
        <v>10000</v>
      </c>
      <c r="C459">
        <f>1.225 * (1 - 0.00000687559 * B459) ^ 4.2561</f>
        <v>0.90462252368600637</v>
      </c>
      <c r="D459">
        <f>E459*(SQRT($C$2/C459))</f>
        <v>162.91549099457848</v>
      </c>
      <c r="E459">
        <v>140</v>
      </c>
      <c r="F459">
        <v>987</v>
      </c>
      <c r="G459">
        <v>250</v>
      </c>
      <c r="H459">
        <f>CONVERT(G459,"HP","kW")</f>
        <v>186.42496789556756</v>
      </c>
      <c r="I459">
        <v>0.7198</v>
      </c>
      <c r="J459">
        <v>1.2858000000000001</v>
      </c>
      <c r="K459">
        <v>0.50560000000000005</v>
      </c>
      <c r="L459">
        <v>4.7399999999999998E-2</v>
      </c>
      <c r="M459">
        <v>2.6499999999999999E-2</v>
      </c>
      <c r="N459">
        <f>CONVERT(O459,"lbf","N")</f>
        <v>1600.9149593322538</v>
      </c>
      <c r="O459">
        <v>359.9</v>
      </c>
      <c r="P459">
        <f t="shared" si="7"/>
        <v>0.55907172995780596</v>
      </c>
    </row>
    <row r="460" spans="1:16" hidden="1" x14ac:dyDescent="0.25">
      <c r="A460">
        <v>0</v>
      </c>
      <c r="B460">
        <v>10000</v>
      </c>
      <c r="C460">
        <f>1.225 * (1 - 0.00000687559 * B460) ^ 4.2561</f>
        <v>0.90462252368600637</v>
      </c>
      <c r="D460">
        <f>E460*(SQRT($C$2/C460))</f>
        <v>186.18913256523254</v>
      </c>
      <c r="E460">
        <v>160</v>
      </c>
      <c r="F460">
        <v>987</v>
      </c>
      <c r="G460">
        <v>250</v>
      </c>
      <c r="H460">
        <f>CONVERT(G460,"HP","kW")</f>
        <v>186.42496789556756</v>
      </c>
      <c r="I460">
        <v>0.69020000000000004</v>
      </c>
      <c r="J460">
        <v>1.4695</v>
      </c>
      <c r="K460">
        <v>0.52500000000000002</v>
      </c>
      <c r="L460">
        <v>4.7399999999999998E-2</v>
      </c>
      <c r="M460">
        <v>2.23E-2</v>
      </c>
      <c r="N460">
        <f>CONVERT(O460,"lbf","N")</f>
        <v>1343.362927808671</v>
      </c>
      <c r="O460">
        <v>302</v>
      </c>
      <c r="P460">
        <f t="shared" si="7"/>
        <v>0.47046413502109707</v>
      </c>
    </row>
    <row r="461" spans="1:16" hidden="1" x14ac:dyDescent="0.25">
      <c r="A461">
        <v>0</v>
      </c>
      <c r="B461">
        <v>10000</v>
      </c>
      <c r="C461">
        <f>1.225 * (1 - 0.00000687559 * B461) ^ 4.2561</f>
        <v>0.90462252368600637</v>
      </c>
      <c r="D461">
        <f>E461*(SQRT($C$2/C461))</f>
        <v>209.4627741358866</v>
      </c>
      <c r="E461">
        <v>180</v>
      </c>
      <c r="F461">
        <v>987</v>
      </c>
      <c r="G461">
        <v>250</v>
      </c>
      <c r="H461">
        <f>CONVERT(G461,"HP","kW")</f>
        <v>186.42496789556756</v>
      </c>
      <c r="I461">
        <v>0.63929999999999998</v>
      </c>
      <c r="J461">
        <v>1.6532</v>
      </c>
      <c r="K461">
        <v>0.54610000000000003</v>
      </c>
      <c r="L461">
        <v>4.7399999999999998E-2</v>
      </c>
      <c r="M461">
        <v>1.83E-2</v>
      </c>
      <c r="N461">
        <f>CONVERT(O461,"lbf","N")</f>
        <v>1105.8278935537603</v>
      </c>
      <c r="O461">
        <v>248.6</v>
      </c>
      <c r="P461">
        <f t="shared" si="7"/>
        <v>0.38607594936708861</v>
      </c>
    </row>
    <row r="462" spans="1:16" hidden="1" x14ac:dyDescent="0.25">
      <c r="A462">
        <v>0</v>
      </c>
      <c r="B462">
        <v>10000</v>
      </c>
      <c r="C462">
        <f>1.225 * (1 - 0.00000687559 * B462) ^ 4.2561</f>
        <v>0.90462252368600637</v>
      </c>
      <c r="D462">
        <f>E462*(SQRT($C$2/C462))</f>
        <v>232.73641570654067</v>
      </c>
      <c r="E462">
        <v>200</v>
      </c>
      <c r="F462">
        <v>987</v>
      </c>
      <c r="G462">
        <v>250</v>
      </c>
      <c r="H462">
        <f>CONVERT(G462,"HP","kW")</f>
        <v>186.42496789556756</v>
      </c>
      <c r="I462">
        <v>0.56730000000000003</v>
      </c>
      <c r="J462">
        <v>1.8368</v>
      </c>
      <c r="K462">
        <v>0.56869999999999998</v>
      </c>
      <c r="L462">
        <v>4.7399999999999998E-2</v>
      </c>
      <c r="M462">
        <v>1.46E-2</v>
      </c>
      <c r="N462">
        <f>CONVERT(O462,"lbf","N")</f>
        <v>883.41681279073532</v>
      </c>
      <c r="O462">
        <v>198.6</v>
      </c>
      <c r="P462">
        <f t="shared" si="7"/>
        <v>0.30801687763713081</v>
      </c>
    </row>
    <row r="463" spans="1:16" hidden="1" x14ac:dyDescent="0.25">
      <c r="A463">
        <v>0</v>
      </c>
      <c r="B463">
        <v>10000</v>
      </c>
      <c r="C463">
        <f>1.225 * (1 - 0.00000687559 * B463) ^ 4.2561</f>
        <v>0.90462252368600637</v>
      </c>
      <c r="D463">
        <f>E463*(SQRT($C$2/C463))</f>
        <v>302.55734041850286</v>
      </c>
      <c r="E463">
        <v>260</v>
      </c>
      <c r="F463">
        <v>987</v>
      </c>
      <c r="G463">
        <v>250</v>
      </c>
      <c r="H463">
        <f>CONVERT(G463,"HP","kW")</f>
        <v>186.42496789556756</v>
      </c>
      <c r="I463">
        <v>0.15029999999999999</v>
      </c>
      <c r="J463">
        <v>2.3879000000000001</v>
      </c>
      <c r="K463">
        <v>0.64429999999999998</v>
      </c>
      <c r="L463">
        <v>4.7399999999999998E-2</v>
      </c>
      <c r="M463">
        <v>3.0000000000000001E-3</v>
      </c>
      <c r="N463">
        <f>CONVERT(O463,"lbf","N")</f>
        <v>180.15297541805026</v>
      </c>
      <c r="O463">
        <v>40.5</v>
      </c>
      <c r="P463">
        <f t="shared" si="7"/>
        <v>6.3291139240506333E-2</v>
      </c>
    </row>
    <row r="464" spans="1:16" hidden="1" x14ac:dyDescent="0.25">
      <c r="A464">
        <v>0</v>
      </c>
      <c r="B464">
        <v>10000</v>
      </c>
      <c r="C464">
        <f>1.225 * (1 - 0.00000687559 * B464) ^ 4.2561</f>
        <v>0.90462252368600637</v>
      </c>
      <c r="D464">
        <f>E464*(SQRT($C$2/C464))</f>
        <v>23.273641570654068</v>
      </c>
      <c r="E464">
        <v>20</v>
      </c>
      <c r="F464">
        <v>1150</v>
      </c>
      <c r="G464">
        <v>200</v>
      </c>
      <c r="H464">
        <f>CONVERT(G464,"HP","kW")</f>
        <v>149.13997431645407</v>
      </c>
      <c r="I464" s="2" t="e">
        <f>#REF!</f>
        <v>#REF!</v>
      </c>
      <c r="J464" s="2" t="e">
        <f>#REF!</f>
        <v>#REF!</v>
      </c>
      <c r="K464" s="2" t="e">
        <f>#REF!</f>
        <v>#REF!</v>
      </c>
      <c r="L464" s="2" t="e">
        <f>#REF!</f>
        <v>#REF!</v>
      </c>
      <c r="M464" s="2" t="e">
        <f>#REF!</f>
        <v>#REF!</v>
      </c>
      <c r="N464" t="e">
        <f>CONVERT(O464,"lbf","N")</f>
        <v>#REF!</v>
      </c>
      <c r="O464" s="2" t="e">
        <f>#REF!</f>
        <v>#REF!</v>
      </c>
      <c r="P464" t="e">
        <f t="shared" si="7"/>
        <v>#REF!</v>
      </c>
    </row>
    <row r="465" spans="1:16" hidden="1" x14ac:dyDescent="0.25">
      <c r="A465">
        <v>0</v>
      </c>
      <c r="B465">
        <v>30000</v>
      </c>
      <c r="C465">
        <f>1.225 * (1 - 0.00000687559 * B465) ^ 4.2561</f>
        <v>0.45828836225470948</v>
      </c>
      <c r="D465">
        <f>E465*(SQRT($C$2/C465))</f>
        <v>0</v>
      </c>
      <c r="E465">
        <v>0</v>
      </c>
      <c r="F465">
        <v>1150</v>
      </c>
      <c r="G465">
        <v>200</v>
      </c>
      <c r="H465">
        <f>CONVERT(G465,"HP","kW")</f>
        <v>149.13997431645407</v>
      </c>
      <c r="I465">
        <v>0</v>
      </c>
      <c r="J465">
        <v>0</v>
      </c>
      <c r="K465">
        <v>0.54459999999999997</v>
      </c>
      <c r="L465">
        <v>4.7399999999999998E-2</v>
      </c>
      <c r="M465">
        <v>0.1211</v>
      </c>
      <c r="N465">
        <f>CONVERT(O465,"lbf","N")</f>
        <v>5021.597381467579</v>
      </c>
      <c r="O465">
        <v>1128.9000000000001</v>
      </c>
      <c r="P465">
        <f t="shared" si="7"/>
        <v>2.5548523206751055</v>
      </c>
    </row>
    <row r="466" spans="1:16" hidden="1" x14ac:dyDescent="0.25">
      <c r="A466">
        <v>0</v>
      </c>
      <c r="B466">
        <v>30000</v>
      </c>
      <c r="C466">
        <f>1.225 * (1 - 0.00000687559 * B466) ^ 4.2561</f>
        <v>0.45828836225470948</v>
      </c>
      <c r="D466">
        <f>E466*(SQRT($C$2/C466))</f>
        <v>32.698559864506464</v>
      </c>
      <c r="E466">
        <v>20</v>
      </c>
      <c r="F466">
        <v>1150</v>
      </c>
      <c r="G466">
        <v>200</v>
      </c>
      <c r="H466">
        <f>CONVERT(G466,"HP","kW")</f>
        <v>149.13997431645407</v>
      </c>
      <c r="I466">
        <v>0.42449999999999999</v>
      </c>
      <c r="J466">
        <v>0.2215</v>
      </c>
      <c r="K466">
        <v>0.55149999999999999</v>
      </c>
      <c r="L466">
        <v>4.7399999999999998E-2</v>
      </c>
      <c r="M466">
        <v>9.0800000000000006E-2</v>
      </c>
      <c r="N466">
        <f>CONVERT(O466,"lbf","N")</f>
        <v>3763.6403086719088</v>
      </c>
      <c r="O466">
        <v>846.1</v>
      </c>
      <c r="P466">
        <f t="shared" si="7"/>
        <v>1.9156118143459917</v>
      </c>
    </row>
    <row r="467" spans="1:16" hidden="1" x14ac:dyDescent="0.25">
      <c r="A467">
        <v>0</v>
      </c>
      <c r="B467">
        <v>30000</v>
      </c>
      <c r="C467">
        <f>1.225 * (1 - 0.00000687559 * B467) ^ 4.2561</f>
        <v>0.45828836225470948</v>
      </c>
      <c r="D467">
        <f>E467*(SQRT($C$2/C467))</f>
        <v>65.397119729012928</v>
      </c>
      <c r="E467">
        <v>40</v>
      </c>
      <c r="F467">
        <v>1150</v>
      </c>
      <c r="G467">
        <v>200</v>
      </c>
      <c r="H467">
        <f>CONVERT(G467,"HP","kW")</f>
        <v>149.13997431645407</v>
      </c>
      <c r="I467">
        <v>0.58140000000000003</v>
      </c>
      <c r="J467">
        <v>0.443</v>
      </c>
      <c r="K467">
        <v>0.56130000000000002</v>
      </c>
      <c r="L467">
        <v>4.7399999999999998E-2</v>
      </c>
      <c r="M467">
        <v>6.2199999999999998E-2</v>
      </c>
      <c r="N467">
        <f>CONVERT(O467,"lbf","N")</f>
        <v>2577.2996038819338</v>
      </c>
      <c r="O467">
        <v>579.4</v>
      </c>
      <c r="P467">
        <f t="shared" si="7"/>
        <v>1.3122362869198312</v>
      </c>
    </row>
    <row r="468" spans="1:16" hidden="1" x14ac:dyDescent="0.25">
      <c r="A468">
        <v>0</v>
      </c>
      <c r="B468">
        <v>30000</v>
      </c>
      <c r="C468">
        <f>1.225 * (1 - 0.00000687559 * B468) ^ 4.2561</f>
        <v>0.45828836225470948</v>
      </c>
      <c r="D468">
        <f>E468*(SQRT($C$2/C468))</f>
        <v>326.98559864506467</v>
      </c>
      <c r="E468">
        <v>200</v>
      </c>
      <c r="F468">
        <v>1150</v>
      </c>
      <c r="G468">
        <v>200</v>
      </c>
      <c r="H468">
        <f>CONVERT(G468,"HP","kW")</f>
        <v>149.13997431645407</v>
      </c>
      <c r="I468">
        <v>-0.41810000000000003</v>
      </c>
      <c r="J468">
        <v>2.2149000000000001</v>
      </c>
      <c r="K468">
        <v>0.78190000000000004</v>
      </c>
      <c r="L468">
        <v>4.7399999999999998E-2</v>
      </c>
      <c r="M468">
        <v>-8.8999999999999999E-3</v>
      </c>
      <c r="N468">
        <f>CONVERT(O468,"lbf","N")</f>
        <v>-370.5368605511996</v>
      </c>
      <c r="O468">
        <v>-83.3</v>
      </c>
      <c r="P468">
        <f t="shared" si="7"/>
        <v>-0.18776371308016879</v>
      </c>
    </row>
    <row r="469" spans="1:16" hidden="1" x14ac:dyDescent="0.25">
      <c r="A469">
        <v>0</v>
      </c>
      <c r="B469">
        <v>30000</v>
      </c>
      <c r="C469">
        <f>1.225 * (1 - 0.00000687559 * B469) ^ 4.2561</f>
        <v>0.45828836225470948</v>
      </c>
      <c r="D469">
        <f>E469*(SQRT($C$2/C469))</f>
        <v>359.68415850957115</v>
      </c>
      <c r="E469">
        <v>220</v>
      </c>
      <c r="F469">
        <v>1150</v>
      </c>
      <c r="G469">
        <v>200</v>
      </c>
      <c r="H469">
        <f>CONVERT(G469,"HP","kW")</f>
        <v>149.13997431645407</v>
      </c>
      <c r="I469">
        <v>0</v>
      </c>
      <c r="J469">
        <v>2.4363999999999999</v>
      </c>
      <c r="K469">
        <v>0.82220000000000004</v>
      </c>
      <c r="L469">
        <v>4.7399999999999998E-2</v>
      </c>
      <c r="M469">
        <v>-0.02</v>
      </c>
      <c r="N469">
        <f>CONVERT(O469,"lbf","N")</f>
        <v>-828.25886476150515</v>
      </c>
      <c r="O469">
        <v>-186.2</v>
      </c>
      <c r="P469">
        <f t="shared" si="7"/>
        <v>-0.4219409282700422</v>
      </c>
    </row>
    <row r="470" spans="1:16" hidden="1" x14ac:dyDescent="0.25">
      <c r="A470">
        <v>0</v>
      </c>
      <c r="B470">
        <v>10000</v>
      </c>
      <c r="C470">
        <f>1.225 * (1 - 0.00000687559 * B470) ^ 4.2561</f>
        <v>0.90462252368600637</v>
      </c>
      <c r="D470">
        <f>E470*(SQRT($C$2/C470))</f>
        <v>93.09456628261627</v>
      </c>
      <c r="E470">
        <v>80</v>
      </c>
      <c r="F470">
        <v>987</v>
      </c>
      <c r="G470">
        <v>250</v>
      </c>
      <c r="H470">
        <f>CONVERT(G470,"HP","kW")</f>
        <v>186.42496789556756</v>
      </c>
      <c r="I470">
        <v>0.72540000000000004</v>
      </c>
      <c r="J470">
        <v>0.73470000000000002</v>
      </c>
      <c r="K470">
        <v>0.46010000000000001</v>
      </c>
      <c r="L470">
        <v>4.7500000000000001E-2</v>
      </c>
      <c r="M470">
        <v>4.6899999999999997E-2</v>
      </c>
      <c r="N470">
        <f>CONVERT(O470,"lbf","N")</f>
        <v>2823.7310813673653</v>
      </c>
      <c r="O470">
        <v>634.79999999999995</v>
      </c>
      <c r="P470">
        <f t="shared" si="7"/>
        <v>0.98736842105263156</v>
      </c>
    </row>
    <row r="471" spans="1:16" hidden="1" x14ac:dyDescent="0.25">
      <c r="A471">
        <v>0</v>
      </c>
      <c r="B471">
        <v>10000</v>
      </c>
      <c r="C471">
        <f>1.225 * (1 - 0.00000687559 * B471) ^ 4.2561</f>
        <v>0.90462252368600637</v>
      </c>
      <c r="D471">
        <f>E471*(SQRT($C$2/C471))</f>
        <v>279.28369884784883</v>
      </c>
      <c r="E471">
        <v>240</v>
      </c>
      <c r="F471">
        <v>987</v>
      </c>
      <c r="G471">
        <v>250</v>
      </c>
      <c r="H471">
        <f>CONVERT(G471,"HP","kW")</f>
        <v>186.42496789556756</v>
      </c>
      <c r="I471">
        <v>0.32900000000000001</v>
      </c>
      <c r="J471">
        <v>2.2042000000000002</v>
      </c>
      <c r="K471">
        <v>0.61799999999999999</v>
      </c>
      <c r="L471">
        <v>4.7500000000000001E-2</v>
      </c>
      <c r="M471">
        <v>7.1000000000000004E-3</v>
      </c>
      <c r="N471">
        <f>CONVERT(O471,"lbf","N")</f>
        <v>427.02927506500805</v>
      </c>
      <c r="O471">
        <v>96</v>
      </c>
      <c r="P471">
        <f t="shared" si="7"/>
        <v>0.14947368421052631</v>
      </c>
    </row>
    <row r="472" spans="1:16" hidden="1" x14ac:dyDescent="0.25">
      <c r="A472">
        <v>0</v>
      </c>
      <c r="B472">
        <v>25000</v>
      </c>
      <c r="C472">
        <f>1.225 * (1 - 0.00000687559 * B472) ^ 4.2561</f>
        <v>0.54892259437885793</v>
      </c>
      <c r="D472">
        <f>E472*(SQRT($C$2/C472))</f>
        <v>268.89640489638606</v>
      </c>
      <c r="E472">
        <v>180</v>
      </c>
      <c r="F472">
        <v>1150</v>
      </c>
      <c r="G472">
        <v>250</v>
      </c>
      <c r="H472">
        <f>CONVERT(G472,"HP","kW")</f>
        <v>186.42496789556756</v>
      </c>
      <c r="I472">
        <v>0.36870000000000003</v>
      </c>
      <c r="J472">
        <v>1.8213999999999999</v>
      </c>
      <c r="K472">
        <v>0.70030000000000003</v>
      </c>
      <c r="L472">
        <v>4.9299999999999997E-2</v>
      </c>
      <c r="M472">
        <v>0.01</v>
      </c>
      <c r="N472">
        <f>CONVERT(O472,"lbf","N")</f>
        <v>496.86635442459783</v>
      </c>
      <c r="O472">
        <v>111.7</v>
      </c>
      <c r="P472">
        <f t="shared" si="7"/>
        <v>0.20283975659229211</v>
      </c>
    </row>
    <row r="473" spans="1:16" hidden="1" x14ac:dyDescent="0.25">
      <c r="A473">
        <v>0</v>
      </c>
      <c r="B473">
        <v>25000</v>
      </c>
      <c r="C473">
        <f>1.225 * (1 - 0.00000687559 * B473) ^ 4.2561</f>
        <v>0.54892259437885793</v>
      </c>
      <c r="D473">
        <f>E473*(SQRT($C$2/C473))</f>
        <v>298.77378321820675</v>
      </c>
      <c r="E473">
        <v>200</v>
      </c>
      <c r="F473">
        <v>1150</v>
      </c>
      <c r="G473">
        <v>250</v>
      </c>
      <c r="H473">
        <f>CONVERT(G473,"HP","kW")</f>
        <v>186.42496789556756</v>
      </c>
      <c r="I473">
        <v>0.1011</v>
      </c>
      <c r="J473">
        <v>2.0238</v>
      </c>
      <c r="K473">
        <v>0.73299999999999998</v>
      </c>
      <c r="L473">
        <v>4.9299999999999997E-2</v>
      </c>
      <c r="M473">
        <v>2.5000000000000001E-3</v>
      </c>
      <c r="N473">
        <f>CONVERT(O473,"lbf","N")</f>
        <v>122.77091658118982</v>
      </c>
      <c r="O473">
        <v>27.6</v>
      </c>
      <c r="P473">
        <f t="shared" si="7"/>
        <v>5.0709939148073029E-2</v>
      </c>
    </row>
    <row r="474" spans="1:16" hidden="1" x14ac:dyDescent="0.25">
      <c r="A474">
        <v>0</v>
      </c>
      <c r="B474">
        <v>25000</v>
      </c>
      <c r="C474">
        <f>1.225 * (1 - 0.00000687559 * B474) ^ 4.2561</f>
        <v>0.54892259437885793</v>
      </c>
      <c r="D474">
        <f>E474*(SQRT($C$2/C474))</f>
        <v>358.52853986184806</v>
      </c>
      <c r="E474">
        <v>240</v>
      </c>
      <c r="F474">
        <v>1150</v>
      </c>
      <c r="G474">
        <v>250</v>
      </c>
      <c r="H474">
        <f>CONVERT(G474,"HP","kW")</f>
        <v>186.42496789556756</v>
      </c>
      <c r="I474">
        <v>-0.78300000000000003</v>
      </c>
      <c r="J474">
        <v>2.4285000000000001</v>
      </c>
      <c r="K474">
        <v>0.80349999999999999</v>
      </c>
      <c r="L474">
        <v>4.9299999999999997E-2</v>
      </c>
      <c r="M474">
        <v>-1.5900000000000001E-2</v>
      </c>
      <c r="N474">
        <f>CONVERT(O474,"lbf","N")</f>
        <v>-791.33862535484297</v>
      </c>
      <c r="O474">
        <v>-177.9</v>
      </c>
      <c r="P474">
        <f t="shared" si="7"/>
        <v>-0.32251521298174446</v>
      </c>
    </row>
    <row r="475" spans="1:16" hidden="1" x14ac:dyDescent="0.25">
      <c r="A475">
        <v>0</v>
      </c>
      <c r="B475">
        <v>25000</v>
      </c>
      <c r="C475">
        <f>1.225 * (1 - 0.00000687559 * B475) ^ 4.2561</f>
        <v>0.54892259437885793</v>
      </c>
      <c r="D475">
        <f>E475*(SQRT($C$2/C475))</f>
        <v>0</v>
      </c>
      <c r="E475">
        <v>0</v>
      </c>
      <c r="F475">
        <v>1150</v>
      </c>
      <c r="G475">
        <v>250</v>
      </c>
      <c r="H475">
        <f>CONVERT(G475,"HP","kW")</f>
        <v>186.42496789556756</v>
      </c>
      <c r="I475">
        <v>0</v>
      </c>
      <c r="J475">
        <v>0</v>
      </c>
      <c r="K475">
        <v>0.53290000000000004</v>
      </c>
      <c r="L475">
        <v>4.9399999999999999E-2</v>
      </c>
      <c r="M475">
        <v>0.126</v>
      </c>
      <c r="N475">
        <f>CONVERT(O475,"lbf","N")</f>
        <v>6257.7581683484714</v>
      </c>
      <c r="O475">
        <v>1406.8</v>
      </c>
      <c r="P475">
        <f t="shared" si="7"/>
        <v>2.5506072874493926</v>
      </c>
    </row>
    <row r="476" spans="1:16" hidden="1" x14ac:dyDescent="0.25">
      <c r="A476">
        <v>0</v>
      </c>
      <c r="B476">
        <v>25000</v>
      </c>
      <c r="C476">
        <f>1.225 * (1 - 0.00000687559 * B476) ^ 4.2561</f>
        <v>0.54892259437885793</v>
      </c>
      <c r="D476">
        <f>E476*(SQRT($C$2/C476))</f>
        <v>29.877378321820672</v>
      </c>
      <c r="E476">
        <v>20</v>
      </c>
      <c r="F476">
        <v>1150</v>
      </c>
      <c r="G476">
        <v>250</v>
      </c>
      <c r="H476">
        <f>CONVERT(G476,"HP","kW")</f>
        <v>186.42496789556756</v>
      </c>
      <c r="I476">
        <v>0.40400000000000003</v>
      </c>
      <c r="J476">
        <v>0.2024</v>
      </c>
      <c r="K476">
        <v>0.53910000000000002</v>
      </c>
      <c r="L476">
        <v>4.9399999999999999E-2</v>
      </c>
      <c r="M476">
        <v>9.8699999999999996E-2</v>
      </c>
      <c r="N476">
        <f>CONVERT(O476,"lbf","N")</f>
        <v>4899.7161092094411</v>
      </c>
      <c r="O476">
        <v>1101.5</v>
      </c>
      <c r="P476">
        <f t="shared" si="7"/>
        <v>1.9979757085020242</v>
      </c>
    </row>
    <row r="477" spans="1:16" hidden="1" x14ac:dyDescent="0.25">
      <c r="A477">
        <v>0</v>
      </c>
      <c r="B477">
        <v>25000</v>
      </c>
      <c r="C477">
        <f>1.225 * (1 - 0.00000687559 * B477) ^ 4.2561</f>
        <v>0.54892259437885793</v>
      </c>
      <c r="D477">
        <f>E477*(SQRT($C$2/C477))</f>
        <v>59.754756643641343</v>
      </c>
      <c r="E477">
        <v>40</v>
      </c>
      <c r="F477">
        <v>1150</v>
      </c>
      <c r="G477">
        <v>250</v>
      </c>
      <c r="H477">
        <f>CONVERT(G477,"HP","kW")</f>
        <v>186.42496789556756</v>
      </c>
      <c r="I477">
        <v>0.58709999999999996</v>
      </c>
      <c r="J477">
        <v>0.40479999999999999</v>
      </c>
      <c r="K477">
        <v>0.54749999999999999</v>
      </c>
      <c r="L477">
        <v>4.9399999999999999E-2</v>
      </c>
      <c r="M477">
        <v>7.17E-2</v>
      </c>
      <c r="N477">
        <f>CONVERT(O477,"lbf","N")</f>
        <v>3560.8014030160302</v>
      </c>
      <c r="O477">
        <v>800.5</v>
      </c>
      <c r="P477">
        <f t="shared" si="7"/>
        <v>1.451417004048583</v>
      </c>
    </row>
    <row r="478" spans="1:16" hidden="1" x14ac:dyDescent="0.25">
      <c r="A478">
        <v>0</v>
      </c>
      <c r="B478">
        <v>25000</v>
      </c>
      <c r="C478">
        <f>1.225 * (1 - 0.00000687559 * B478) ^ 4.2561</f>
        <v>0.54892259437885793</v>
      </c>
      <c r="D478">
        <f>E478*(SQRT($C$2/C478))</f>
        <v>89.632134965462015</v>
      </c>
      <c r="E478">
        <v>60</v>
      </c>
      <c r="F478">
        <v>1150</v>
      </c>
      <c r="G478">
        <v>250</v>
      </c>
      <c r="H478">
        <f>CONVERT(G478,"HP","kW")</f>
        <v>186.42496789556756</v>
      </c>
      <c r="I478">
        <v>0.64580000000000004</v>
      </c>
      <c r="J478">
        <v>0.60709999999999997</v>
      </c>
      <c r="K478">
        <v>0.55920000000000003</v>
      </c>
      <c r="L478">
        <v>4.9399999999999999E-2</v>
      </c>
      <c r="M478">
        <v>5.2499999999999998E-2</v>
      </c>
      <c r="N478">
        <f>CONVERT(O478,"lbf","N")</f>
        <v>2611.1060881579137</v>
      </c>
      <c r="O478">
        <v>587</v>
      </c>
      <c r="P478">
        <f t="shared" si="7"/>
        <v>1.0627530364372468</v>
      </c>
    </row>
    <row r="479" spans="1:16" hidden="1" x14ac:dyDescent="0.25">
      <c r="A479">
        <v>0</v>
      </c>
      <c r="B479">
        <v>25000</v>
      </c>
      <c r="C479">
        <f>1.225 * (1 - 0.00000687559 * B479) ^ 4.2561</f>
        <v>0.54892259437885793</v>
      </c>
      <c r="D479">
        <f>E479*(SQRT($C$2/C479))</f>
        <v>119.50951328728269</v>
      </c>
      <c r="E479">
        <v>80</v>
      </c>
      <c r="F479">
        <v>1150</v>
      </c>
      <c r="G479">
        <v>250</v>
      </c>
      <c r="H479">
        <f>CONVERT(G479,"HP","kW")</f>
        <v>186.42496789556756</v>
      </c>
      <c r="I479">
        <v>0.66749999999999998</v>
      </c>
      <c r="J479">
        <v>0.8095</v>
      </c>
      <c r="K479">
        <v>0.5746</v>
      </c>
      <c r="L479">
        <v>4.9399999999999999E-2</v>
      </c>
      <c r="M479">
        <v>4.07E-2</v>
      </c>
      <c r="N479">
        <f>CONVERT(O479,"lbf","N")</f>
        <v>2023.9408349435275</v>
      </c>
      <c r="O479">
        <v>455</v>
      </c>
      <c r="P479">
        <f t="shared" si="7"/>
        <v>0.82388663967611342</v>
      </c>
    </row>
    <row r="480" spans="1:16" hidden="1" x14ac:dyDescent="0.25">
      <c r="A480">
        <v>0</v>
      </c>
      <c r="B480">
        <v>25000</v>
      </c>
      <c r="C480">
        <f>1.225 * (1 - 0.00000687559 * B480) ^ 4.2561</f>
        <v>0.54892259437885793</v>
      </c>
      <c r="D480">
        <f>E480*(SQRT($C$2/C480))</f>
        <v>149.38689160910337</v>
      </c>
      <c r="E480">
        <v>100</v>
      </c>
      <c r="F480">
        <v>1150</v>
      </c>
      <c r="G480">
        <v>250</v>
      </c>
      <c r="H480">
        <f>CONVERT(G480,"HP","kW")</f>
        <v>186.42496789556756</v>
      </c>
      <c r="I480">
        <v>0.66800000000000004</v>
      </c>
      <c r="J480">
        <v>1.0119</v>
      </c>
      <c r="K480">
        <v>0.59360000000000002</v>
      </c>
      <c r="L480">
        <v>4.9399999999999999E-2</v>
      </c>
      <c r="M480">
        <v>3.2599999999999997E-2</v>
      </c>
      <c r="N480">
        <f>CONVERT(O480,"lbf","N")</f>
        <v>1620.4871344394001</v>
      </c>
      <c r="O480">
        <v>364.3</v>
      </c>
      <c r="P480">
        <f t="shared" si="7"/>
        <v>0.65991902834008087</v>
      </c>
    </row>
    <row r="481" spans="1:16" hidden="1" x14ac:dyDescent="0.25">
      <c r="A481">
        <v>0</v>
      </c>
      <c r="B481">
        <v>25000</v>
      </c>
      <c r="C481">
        <f>1.225 * (1 - 0.00000687559 * B481) ^ 4.2561</f>
        <v>0.54892259437885793</v>
      </c>
      <c r="D481">
        <f>E481*(SQRT($C$2/C481))</f>
        <v>179.26426993092403</v>
      </c>
      <c r="E481">
        <v>120</v>
      </c>
      <c r="F481">
        <v>1150</v>
      </c>
      <c r="G481">
        <v>250</v>
      </c>
      <c r="H481">
        <f>CONVERT(G481,"HP","kW")</f>
        <v>186.42496789556756</v>
      </c>
      <c r="I481">
        <v>0.65200000000000002</v>
      </c>
      <c r="J481">
        <v>1.2142999999999999</v>
      </c>
      <c r="K481">
        <v>0.61599999999999999</v>
      </c>
      <c r="L481">
        <v>4.9399999999999999E-2</v>
      </c>
      <c r="M481">
        <v>2.6499999999999999E-2</v>
      </c>
      <c r="N481">
        <f>CONVERT(O481,"lbf","N")</f>
        <v>1318.0080646016863</v>
      </c>
      <c r="O481">
        <v>296.3</v>
      </c>
      <c r="P481">
        <f t="shared" si="7"/>
        <v>0.53643724696356276</v>
      </c>
    </row>
    <row r="482" spans="1:16" hidden="1" x14ac:dyDescent="0.25">
      <c r="A482">
        <v>0</v>
      </c>
      <c r="B482">
        <v>25000</v>
      </c>
      <c r="C482">
        <f>1.225 * (1 - 0.00000687559 * B482) ^ 4.2561</f>
        <v>0.54892259437885793</v>
      </c>
      <c r="D482">
        <f>E482*(SQRT($C$2/C482))</f>
        <v>209.14164825274472</v>
      </c>
      <c r="E482">
        <v>140</v>
      </c>
      <c r="F482">
        <v>1150</v>
      </c>
      <c r="G482">
        <v>250</v>
      </c>
      <c r="H482">
        <f>CONVERT(G482,"HP","kW")</f>
        <v>186.42496789556756</v>
      </c>
      <c r="I482">
        <v>0.61060000000000003</v>
      </c>
      <c r="J482">
        <v>1.4166000000000001</v>
      </c>
      <c r="K482">
        <v>0.64149999999999996</v>
      </c>
      <c r="L482">
        <v>4.9399999999999999E-2</v>
      </c>
      <c r="M482">
        <v>2.1299999999999999E-2</v>
      </c>
      <c r="N482">
        <f>CONVERT(O482,"lbf","N")</f>
        <v>1058.231922270473</v>
      </c>
      <c r="O482">
        <v>237.9</v>
      </c>
      <c r="P482">
        <f t="shared" si="7"/>
        <v>0.43117408906882593</v>
      </c>
    </row>
    <row r="483" spans="1:16" hidden="1" x14ac:dyDescent="0.25">
      <c r="A483">
        <v>0</v>
      </c>
      <c r="B483">
        <v>25000</v>
      </c>
      <c r="C483">
        <f>1.225 * (1 - 0.00000687559 * B483) ^ 4.2561</f>
        <v>0.54892259437885793</v>
      </c>
      <c r="D483">
        <f>E483*(SQRT($C$2/C483))</f>
        <v>239.01902657456537</v>
      </c>
      <c r="E483">
        <v>160</v>
      </c>
      <c r="F483">
        <v>1150</v>
      </c>
      <c r="G483">
        <v>250</v>
      </c>
      <c r="H483">
        <f>CONVERT(G483,"HP","kW")</f>
        <v>186.42496789556756</v>
      </c>
      <c r="I483">
        <v>0.52549999999999997</v>
      </c>
      <c r="J483">
        <v>1.619</v>
      </c>
      <c r="K483">
        <v>0.66969999999999996</v>
      </c>
      <c r="L483">
        <v>4.9399999999999999E-2</v>
      </c>
      <c r="M483">
        <v>1.6E-2</v>
      </c>
      <c r="N483">
        <f>CONVERT(O483,"lbf","N")</f>
        <v>796.67649129315555</v>
      </c>
      <c r="O483">
        <v>179.1</v>
      </c>
      <c r="P483">
        <f t="shared" si="7"/>
        <v>0.32388663967611336</v>
      </c>
    </row>
    <row r="484" spans="1:16" hidden="1" x14ac:dyDescent="0.25">
      <c r="A484">
        <v>0</v>
      </c>
      <c r="B484">
        <v>25000</v>
      </c>
      <c r="C484">
        <f>1.225 * (1 - 0.00000687559 * B484) ^ 4.2561</f>
        <v>0.54892259437885793</v>
      </c>
      <c r="D484">
        <f>E484*(SQRT($C$2/C484))</f>
        <v>328.65116154002743</v>
      </c>
      <c r="E484">
        <v>220</v>
      </c>
      <c r="F484">
        <v>1150</v>
      </c>
      <c r="G484">
        <v>250</v>
      </c>
      <c r="H484">
        <f>CONVERT(G484,"HP","kW")</f>
        <v>186.42496789556756</v>
      </c>
      <c r="I484">
        <v>-0.26329999999999998</v>
      </c>
      <c r="J484">
        <v>2.2262</v>
      </c>
      <c r="K484">
        <v>0.76739999999999997</v>
      </c>
      <c r="L484">
        <v>4.9399999999999999E-2</v>
      </c>
      <c r="M484">
        <v>-5.7999999999999996E-3</v>
      </c>
      <c r="N484">
        <f>CONVERT(O484,"lbf","N")</f>
        <v>-290.46887147651063</v>
      </c>
      <c r="O484">
        <v>-65.3</v>
      </c>
      <c r="P484">
        <f t="shared" si="7"/>
        <v>-0.11740890688259109</v>
      </c>
    </row>
    <row r="485" spans="1:16" hidden="1" x14ac:dyDescent="0.25">
      <c r="A485">
        <v>0</v>
      </c>
      <c r="B485">
        <v>25000</v>
      </c>
      <c r="C485">
        <f>1.225 * (1 - 0.00000687559 * B485) ^ 4.2561</f>
        <v>0.54892259437885793</v>
      </c>
      <c r="D485">
        <f>E485*(SQRT($C$2/C485))</f>
        <v>388.40591818366875</v>
      </c>
      <c r="E485">
        <v>260</v>
      </c>
      <c r="F485">
        <v>1150</v>
      </c>
      <c r="G485">
        <v>250</v>
      </c>
      <c r="H485">
        <f>CONVERT(G485,"HP","kW")</f>
        <v>186.42496789556756</v>
      </c>
      <c r="I485">
        <v>0</v>
      </c>
      <c r="J485">
        <v>2.6309</v>
      </c>
      <c r="K485">
        <v>0.84089999999999998</v>
      </c>
      <c r="L485">
        <v>4.9399999999999999E-2</v>
      </c>
      <c r="M485">
        <v>-2.9600000000000001E-2</v>
      </c>
      <c r="N485">
        <f>CONVERT(O485,"lbf","N")</f>
        <v>-1470.5820660051215</v>
      </c>
      <c r="O485">
        <v>-330.6</v>
      </c>
      <c r="P485">
        <f t="shared" si="7"/>
        <v>-0.59919028340080971</v>
      </c>
    </row>
    <row r="486" spans="1:16" hidden="1" x14ac:dyDescent="0.25">
      <c r="A486">
        <v>0</v>
      </c>
      <c r="B486">
        <v>30000</v>
      </c>
      <c r="C486">
        <f>1.225 * (1 - 0.00000687559 * B486) ^ 4.2561</f>
        <v>0.45828836225470948</v>
      </c>
      <c r="D486">
        <f>E486*(SQRT($C$2/C486))</f>
        <v>130.79423945802586</v>
      </c>
      <c r="E486">
        <v>80</v>
      </c>
      <c r="F486">
        <v>1215</v>
      </c>
      <c r="G486">
        <v>250</v>
      </c>
      <c r="H486">
        <f>CONVERT(G486,"HP","kW")</f>
        <v>186.42496789556756</v>
      </c>
      <c r="I486">
        <v>0.63649999999999995</v>
      </c>
      <c r="J486">
        <v>0.83860000000000001</v>
      </c>
      <c r="K486">
        <v>0.62270000000000003</v>
      </c>
      <c r="L486">
        <v>5.0099999999999999E-2</v>
      </c>
      <c r="M486">
        <v>3.7999999999999999E-2</v>
      </c>
      <c r="N486">
        <f>CONVERT(O486,"lbf","N")</f>
        <v>1763.275048289262</v>
      </c>
      <c r="O486">
        <v>396.4</v>
      </c>
      <c r="P486">
        <f t="shared" si="7"/>
        <v>0.75848303393213568</v>
      </c>
    </row>
    <row r="487" spans="1:16" hidden="1" x14ac:dyDescent="0.25">
      <c r="A487">
        <v>0</v>
      </c>
      <c r="B487">
        <v>30000</v>
      </c>
      <c r="C487">
        <f>1.225 * (1 - 0.00000687559 * B487) ^ 4.2561</f>
        <v>0.45828836225470948</v>
      </c>
      <c r="D487">
        <f>E487*(SQRT($C$2/C487))</f>
        <v>163.49279932253233</v>
      </c>
      <c r="E487">
        <v>100</v>
      </c>
      <c r="F487">
        <v>1215</v>
      </c>
      <c r="G487">
        <v>250</v>
      </c>
      <c r="H487">
        <f>CONVERT(G487,"HP","kW")</f>
        <v>186.42496789556756</v>
      </c>
      <c r="I487">
        <v>0.61370000000000002</v>
      </c>
      <c r="J487">
        <v>1.0482</v>
      </c>
      <c r="K487">
        <v>0.64470000000000005</v>
      </c>
      <c r="L487">
        <v>5.0099999999999999E-2</v>
      </c>
      <c r="M487">
        <v>2.9399999999999999E-2</v>
      </c>
      <c r="N487">
        <f>CONVERT(O487,"lbf","N")</f>
        <v>1360.266169946661</v>
      </c>
      <c r="O487">
        <v>305.8</v>
      </c>
      <c r="P487">
        <f t="shared" si="7"/>
        <v>0.58682634730538918</v>
      </c>
    </row>
    <row r="488" spans="1:16" hidden="1" x14ac:dyDescent="0.25">
      <c r="A488">
        <v>0</v>
      </c>
      <c r="B488">
        <v>30000</v>
      </c>
      <c r="C488">
        <f>1.225 * (1 - 0.00000687559 * B488) ^ 4.2561</f>
        <v>0.45828836225470948</v>
      </c>
      <c r="D488">
        <f>E488*(SQRT($C$2/C488))</f>
        <v>196.19135918703881</v>
      </c>
      <c r="E488">
        <v>120</v>
      </c>
      <c r="F488">
        <v>1215</v>
      </c>
      <c r="G488">
        <v>250</v>
      </c>
      <c r="H488">
        <f>CONVERT(G488,"HP","kW")</f>
        <v>186.42496789556756</v>
      </c>
      <c r="I488">
        <v>0.55410000000000004</v>
      </c>
      <c r="J488">
        <v>1.2578</v>
      </c>
      <c r="K488">
        <v>0.67049999999999998</v>
      </c>
      <c r="L488">
        <v>5.0099999999999999E-2</v>
      </c>
      <c r="M488">
        <v>2.2100000000000002E-2</v>
      </c>
      <c r="N488">
        <f>CONVERT(O488,"lbf","N")</f>
        <v>1023.5357936714411</v>
      </c>
      <c r="O488">
        <v>230.1</v>
      </c>
      <c r="P488">
        <f t="shared" si="7"/>
        <v>0.44111776447105794</v>
      </c>
    </row>
    <row r="489" spans="1:16" hidden="1" x14ac:dyDescent="0.25">
      <c r="A489">
        <v>0</v>
      </c>
      <c r="B489">
        <v>30000</v>
      </c>
      <c r="C489">
        <f>1.225 * (1 - 0.00000687559 * B489) ^ 4.2561</f>
        <v>0.45828836225470948</v>
      </c>
      <c r="D489">
        <f>E489*(SQRT($C$2/C489))</f>
        <v>261.58847891605171</v>
      </c>
      <c r="E489">
        <v>160</v>
      </c>
      <c r="F489">
        <v>1215</v>
      </c>
      <c r="G489">
        <v>250</v>
      </c>
      <c r="H489">
        <f>CONVERT(G489,"HP","kW")</f>
        <v>186.42496789556756</v>
      </c>
      <c r="I489">
        <v>0.26879999999999998</v>
      </c>
      <c r="J489">
        <v>1.6771</v>
      </c>
      <c r="K489">
        <v>0.73199999999999998</v>
      </c>
      <c r="L489">
        <v>5.0099999999999999E-2</v>
      </c>
      <c r="M489">
        <v>8.0000000000000002E-3</v>
      </c>
      <c r="N489">
        <f>CONVERT(O489,"lbf","N")</f>
        <v>372.3161491973039</v>
      </c>
      <c r="O489">
        <v>83.7</v>
      </c>
      <c r="P489">
        <f t="shared" si="7"/>
        <v>0.15968063872255489</v>
      </c>
    </row>
    <row r="490" spans="1:16" hidden="1" x14ac:dyDescent="0.25">
      <c r="A490">
        <v>0</v>
      </c>
      <c r="B490">
        <v>30000</v>
      </c>
      <c r="C490">
        <f>1.225 * (1 - 0.00000687559 * B490) ^ 4.2561</f>
        <v>0.45828836225470948</v>
      </c>
      <c r="D490">
        <f>E490*(SQRT($C$2/C490))</f>
        <v>294.28703878055819</v>
      </c>
      <c r="E490">
        <v>180</v>
      </c>
      <c r="F490">
        <v>1215</v>
      </c>
      <c r="G490">
        <v>250</v>
      </c>
      <c r="H490">
        <f>CONVERT(G490,"HP","kW")</f>
        <v>186.42496789556756</v>
      </c>
      <c r="I490">
        <v>3.0599999999999999E-2</v>
      </c>
      <c r="J490">
        <v>1.8867</v>
      </c>
      <c r="K490">
        <v>0.76690000000000003</v>
      </c>
      <c r="L490">
        <v>5.0099999999999999E-2</v>
      </c>
      <c r="M490">
        <v>8.0000000000000004E-4</v>
      </c>
      <c r="N490">
        <f>CONVERT(O490,"lbf","N")</f>
        <v>37.809883729714251</v>
      </c>
      <c r="O490">
        <v>8.5</v>
      </c>
      <c r="P490">
        <f t="shared" si="7"/>
        <v>1.5968063872255491E-2</v>
      </c>
    </row>
    <row r="491" spans="1:16" hidden="1" x14ac:dyDescent="0.25">
      <c r="A491">
        <v>0</v>
      </c>
      <c r="B491">
        <v>30000</v>
      </c>
      <c r="C491">
        <f>1.225 * (1 - 0.00000687559 * B491) ^ 4.2561</f>
        <v>0.45828836225470948</v>
      </c>
      <c r="D491">
        <f>E491*(SQRT($C$2/C491))</f>
        <v>326.98559864506467</v>
      </c>
      <c r="E491">
        <v>200</v>
      </c>
      <c r="F491">
        <v>1215</v>
      </c>
      <c r="G491">
        <v>250</v>
      </c>
      <c r="H491">
        <f>CONVERT(G491,"HP","kW")</f>
        <v>186.42496789556756</v>
      </c>
      <c r="I491">
        <v>-0.31109999999999999</v>
      </c>
      <c r="J491">
        <v>2.0964</v>
      </c>
      <c r="K491">
        <v>0.80410000000000004</v>
      </c>
      <c r="L491">
        <v>5.0099999999999999E-2</v>
      </c>
      <c r="M491">
        <v>-7.4000000000000003E-3</v>
      </c>
      <c r="N491">
        <f>CONVERT(O491,"lbf","N")</f>
        <v>-344.73717518268876</v>
      </c>
      <c r="O491">
        <v>-77.5</v>
      </c>
      <c r="P491">
        <f t="shared" si="7"/>
        <v>-0.14770459081836329</v>
      </c>
    </row>
    <row r="492" spans="1:16" hidden="1" x14ac:dyDescent="0.25">
      <c r="A492">
        <v>0</v>
      </c>
      <c r="B492">
        <v>30000</v>
      </c>
      <c r="C492">
        <f>1.225 * (1 - 0.00000687559 * B492) ^ 4.2561</f>
        <v>0.45828836225470948</v>
      </c>
      <c r="D492">
        <f>E492*(SQRT($C$2/C492))</f>
        <v>359.68415850957115</v>
      </c>
      <c r="E492">
        <v>220</v>
      </c>
      <c r="F492">
        <v>1215</v>
      </c>
      <c r="G492">
        <v>250</v>
      </c>
      <c r="H492">
        <f>CONVERT(G492,"HP","kW")</f>
        <v>186.42496789556756</v>
      </c>
      <c r="I492">
        <v>-0.85680000000000001</v>
      </c>
      <c r="J492">
        <v>2.306</v>
      </c>
      <c r="K492">
        <v>0.84330000000000005</v>
      </c>
      <c r="L492">
        <v>5.0099999999999999E-2</v>
      </c>
      <c r="M492">
        <v>-1.8599999999999998E-2</v>
      </c>
      <c r="N492">
        <f>CONVERT(O492,"lbf","N")</f>
        <v>-863.39981552206302</v>
      </c>
      <c r="O492">
        <v>-194.1</v>
      </c>
      <c r="P492">
        <f t="shared" si="7"/>
        <v>-0.3712574850299401</v>
      </c>
    </row>
    <row r="493" spans="1:16" hidden="1" x14ac:dyDescent="0.25">
      <c r="A493">
        <v>0</v>
      </c>
      <c r="B493">
        <v>30000</v>
      </c>
      <c r="C493">
        <f>1.225 * (1 - 0.00000687559 * B493) ^ 4.2561</f>
        <v>0.45828836225470948</v>
      </c>
      <c r="D493">
        <f>E493*(SQRT($C$2/C493))</f>
        <v>425.08127823858405</v>
      </c>
      <c r="E493">
        <v>260</v>
      </c>
      <c r="F493">
        <v>1215</v>
      </c>
      <c r="G493">
        <v>250</v>
      </c>
      <c r="H493">
        <f>CONVERT(G493,"HP","kW")</f>
        <v>186.42496789556756</v>
      </c>
      <c r="I493">
        <v>0</v>
      </c>
      <c r="J493">
        <v>2.7252999999999998</v>
      </c>
      <c r="K493">
        <v>0.92679999999999996</v>
      </c>
      <c r="L493">
        <v>5.0099999999999999E-2</v>
      </c>
      <c r="M493">
        <v>-6.08E-2</v>
      </c>
      <c r="N493">
        <f>CONVERT(O493,"lbf","N")</f>
        <v>-2818.3932154290528</v>
      </c>
      <c r="O493">
        <v>-633.6</v>
      </c>
      <c r="P493">
        <f t="shared" si="7"/>
        <v>-1.2135728542914173</v>
      </c>
    </row>
    <row r="494" spans="1:16" hidden="1" x14ac:dyDescent="0.25">
      <c r="A494">
        <v>0</v>
      </c>
      <c r="B494">
        <v>30000</v>
      </c>
      <c r="C494">
        <f>1.225 * (1 - 0.00000687559 * B494) ^ 4.2561</f>
        <v>0.45828836225470948</v>
      </c>
      <c r="D494">
        <f>E494*(SQRT($C$2/C494))</f>
        <v>0</v>
      </c>
      <c r="E494">
        <v>0</v>
      </c>
      <c r="F494">
        <v>1215</v>
      </c>
      <c r="G494">
        <v>250</v>
      </c>
      <c r="H494">
        <f>CONVERT(G494,"HP","kW")</f>
        <v>186.42496789556756</v>
      </c>
      <c r="I494">
        <v>0</v>
      </c>
      <c r="J494">
        <v>0</v>
      </c>
      <c r="K494">
        <v>0.57499999999999996</v>
      </c>
      <c r="L494">
        <v>5.0200000000000002E-2</v>
      </c>
      <c r="M494">
        <v>0.12720000000000001</v>
      </c>
      <c r="N494">
        <f>CONVERT(O494,"lbf","N")</f>
        <v>5888.1109521203243</v>
      </c>
      <c r="O494">
        <v>1323.7</v>
      </c>
      <c r="P494">
        <f t="shared" si="7"/>
        <v>2.5338645418326693</v>
      </c>
    </row>
    <row r="495" spans="1:16" hidden="1" x14ac:dyDescent="0.25">
      <c r="A495">
        <v>0</v>
      </c>
      <c r="B495">
        <v>30000</v>
      </c>
      <c r="C495">
        <f>1.225 * (1 - 0.00000687559 * B495) ^ 4.2561</f>
        <v>0.45828836225470948</v>
      </c>
      <c r="D495">
        <f>E495*(SQRT($C$2/C495))</f>
        <v>32.698559864506464</v>
      </c>
      <c r="E495">
        <v>20</v>
      </c>
      <c r="F495">
        <v>1215</v>
      </c>
      <c r="G495">
        <v>250</v>
      </c>
      <c r="H495">
        <f>CONVERT(G495,"HP","kW")</f>
        <v>186.42496789556756</v>
      </c>
      <c r="I495">
        <v>0.41039999999999999</v>
      </c>
      <c r="J495">
        <v>0.20960000000000001</v>
      </c>
      <c r="K495">
        <v>0.58199999999999996</v>
      </c>
      <c r="L495">
        <v>5.0200000000000002E-2</v>
      </c>
      <c r="M495">
        <v>9.8400000000000001E-2</v>
      </c>
      <c r="N495">
        <f>CONVERT(O495,"lbf","N")</f>
        <v>4548.7514237653877</v>
      </c>
      <c r="O495">
        <v>1022.6</v>
      </c>
      <c r="P495">
        <f t="shared" si="7"/>
        <v>1.9601593625498008</v>
      </c>
    </row>
    <row r="496" spans="1:16" hidden="1" x14ac:dyDescent="0.25">
      <c r="A496">
        <v>0</v>
      </c>
      <c r="B496">
        <v>30000</v>
      </c>
      <c r="C496">
        <f>1.225 * (1 - 0.00000687559 * B496) ^ 4.2561</f>
        <v>0.45828836225470948</v>
      </c>
      <c r="D496">
        <f>E496*(SQRT($C$2/C496))</f>
        <v>65.397119729012928</v>
      </c>
      <c r="E496">
        <v>40</v>
      </c>
      <c r="F496">
        <v>1215</v>
      </c>
      <c r="G496">
        <v>250</v>
      </c>
      <c r="H496">
        <f>CONVERT(G496,"HP","kW")</f>
        <v>186.42496789556756</v>
      </c>
      <c r="I496">
        <v>0.57769999999999999</v>
      </c>
      <c r="J496">
        <v>0.41930000000000001</v>
      </c>
      <c r="K496">
        <v>0.5917</v>
      </c>
      <c r="L496">
        <v>5.0200000000000002E-2</v>
      </c>
      <c r="M496">
        <v>6.9099999999999995E-2</v>
      </c>
      <c r="N496">
        <f>CONVERT(O496,"lbf","N")</f>
        <v>3201.3850965029824</v>
      </c>
      <c r="O496">
        <v>719.7</v>
      </c>
      <c r="P496">
        <f t="shared" si="7"/>
        <v>1.3764940239043824</v>
      </c>
    </row>
    <row r="497" spans="1:16" hidden="1" x14ac:dyDescent="0.25">
      <c r="A497">
        <v>0</v>
      </c>
      <c r="B497">
        <v>30000</v>
      </c>
      <c r="C497">
        <f>1.225 * (1 - 0.00000687559 * B497) ^ 4.2561</f>
        <v>0.45828836225470948</v>
      </c>
      <c r="D497">
        <f>E497*(SQRT($C$2/C497))</f>
        <v>98.095679593519407</v>
      </c>
      <c r="E497">
        <v>60</v>
      </c>
      <c r="F497">
        <v>1215</v>
      </c>
      <c r="G497">
        <v>250</v>
      </c>
      <c r="H497">
        <f>CONVERT(G497,"HP","kW")</f>
        <v>186.42496789556756</v>
      </c>
      <c r="I497">
        <v>0.62880000000000003</v>
      </c>
      <c r="J497">
        <v>0.62890000000000001</v>
      </c>
      <c r="K497">
        <v>0.60499999999999998</v>
      </c>
      <c r="L497">
        <v>5.0200000000000002E-2</v>
      </c>
      <c r="M497">
        <v>5.0099999999999999E-2</v>
      </c>
      <c r="N497">
        <f>CONVERT(O497,"lbf","N")</f>
        <v>2322.8613274890336</v>
      </c>
      <c r="O497">
        <v>522.20000000000005</v>
      </c>
      <c r="P497">
        <f t="shared" si="7"/>
        <v>0.99800796812748993</v>
      </c>
    </row>
    <row r="498" spans="1:16" hidden="1" x14ac:dyDescent="0.25">
      <c r="A498">
        <v>0</v>
      </c>
      <c r="B498">
        <v>30000</v>
      </c>
      <c r="C498">
        <f>1.225 * (1 - 0.00000687559 * B498) ^ 4.2561</f>
        <v>0.45828836225470948</v>
      </c>
      <c r="D498">
        <f>E498*(SQRT($C$2/C498))</f>
        <v>228.88991905154526</v>
      </c>
      <c r="E498">
        <v>140</v>
      </c>
      <c r="F498">
        <v>1215</v>
      </c>
      <c r="G498">
        <v>250</v>
      </c>
      <c r="H498">
        <f>CONVERT(G498,"HP","kW")</f>
        <v>186.42496789556756</v>
      </c>
      <c r="I498">
        <v>0.44590000000000002</v>
      </c>
      <c r="J498">
        <v>1.4675</v>
      </c>
      <c r="K498">
        <v>0.69969999999999999</v>
      </c>
      <c r="L498">
        <v>5.0200000000000002E-2</v>
      </c>
      <c r="M498">
        <v>1.5299999999999999E-2</v>
      </c>
      <c r="N498">
        <f>CONVERT(O498,"lbf","N")</f>
        <v>705.93277034184132</v>
      </c>
      <c r="O498">
        <v>158.69999999999999</v>
      </c>
      <c r="P498">
        <f t="shared" si="7"/>
        <v>0.30478087649402386</v>
      </c>
    </row>
    <row r="499" spans="1:16" hidden="1" x14ac:dyDescent="0.25">
      <c r="A499">
        <v>0</v>
      </c>
      <c r="B499">
        <v>30000</v>
      </c>
      <c r="C499">
        <f>1.225 * (1 - 0.00000687559 * B499) ^ 4.2561</f>
        <v>0.45828836225470948</v>
      </c>
      <c r="D499">
        <f>E499*(SQRT($C$2/C499))</f>
        <v>392.38271837407763</v>
      </c>
      <c r="E499">
        <v>240</v>
      </c>
      <c r="F499">
        <v>1215</v>
      </c>
      <c r="G499">
        <v>250</v>
      </c>
      <c r="H499">
        <f>CONVERT(G499,"HP","kW")</f>
        <v>186.42496789556756</v>
      </c>
      <c r="I499">
        <v>0</v>
      </c>
      <c r="J499">
        <v>2.5156999999999998</v>
      </c>
      <c r="K499">
        <v>0.88429999999999997</v>
      </c>
      <c r="L499">
        <v>5.0200000000000002E-2</v>
      </c>
      <c r="M499">
        <v>-3.5999999999999997E-2</v>
      </c>
      <c r="N499">
        <f>CONVERT(O499,"lbf","N")</f>
        <v>-1668.0831057226876</v>
      </c>
      <c r="O499">
        <v>-375</v>
      </c>
      <c r="P499">
        <f t="shared" si="7"/>
        <v>-0.71713147410358558</v>
      </c>
    </row>
    <row r="500" spans="1:16" hidden="1" x14ac:dyDescent="0.25">
      <c r="A500">
        <v>0</v>
      </c>
      <c r="B500">
        <v>10000</v>
      </c>
      <c r="C500">
        <f>1.225 * (1 - 0.00000687559 * B500) ^ 4.2561</f>
        <v>0.90462252368600637</v>
      </c>
      <c r="D500">
        <f>E500*(SQRT($C$2/C500))</f>
        <v>279.28369884784883</v>
      </c>
      <c r="E500">
        <v>240</v>
      </c>
      <c r="F500">
        <v>1215</v>
      </c>
      <c r="G500">
        <v>500</v>
      </c>
      <c r="H500">
        <f>CONVERT(G500,"HP","kW")</f>
        <v>372.84993579113512</v>
      </c>
      <c r="I500">
        <v>0.42799999999999999</v>
      </c>
      <c r="J500">
        <v>1.7906</v>
      </c>
      <c r="K500">
        <v>0.69289999999999996</v>
      </c>
      <c r="L500">
        <v>5.0700000000000002E-2</v>
      </c>
      <c r="M500">
        <v>1.21E-2</v>
      </c>
      <c r="N500">
        <f>CONVERT(O500,"lbf","N")</f>
        <v>1110.7209373305468</v>
      </c>
      <c r="O500">
        <v>249.7</v>
      </c>
      <c r="P500">
        <f t="shared" si="7"/>
        <v>0.23865877712031555</v>
      </c>
    </row>
    <row r="501" spans="1:16" hidden="1" x14ac:dyDescent="0.25">
      <c r="A501">
        <v>0</v>
      </c>
      <c r="B501">
        <v>10000</v>
      </c>
      <c r="C501">
        <f>1.225 * (1 - 0.00000687559 * B501) ^ 4.2561</f>
        <v>0.90462252368600637</v>
      </c>
      <c r="D501">
        <f>E501*(SQRT($C$2/C501))</f>
        <v>0</v>
      </c>
      <c r="E501">
        <v>0</v>
      </c>
      <c r="F501">
        <v>1215</v>
      </c>
      <c r="G501">
        <v>500</v>
      </c>
      <c r="H501">
        <f>CONVERT(G501,"HP","kW")</f>
        <v>372.84993579113512</v>
      </c>
      <c r="I501">
        <v>0</v>
      </c>
      <c r="J501">
        <v>0</v>
      </c>
      <c r="K501">
        <v>0.53080000000000005</v>
      </c>
      <c r="L501">
        <v>5.0799999999999998E-2</v>
      </c>
      <c r="M501">
        <v>0.12909999999999999</v>
      </c>
      <c r="N501">
        <f>CONVERT(O501,"lbf","N")</f>
        <v>11799.352656640003</v>
      </c>
      <c r="O501">
        <v>2652.6</v>
      </c>
      <c r="P501">
        <f t="shared" si="7"/>
        <v>2.5413385826771653</v>
      </c>
    </row>
    <row r="502" spans="1:16" hidden="1" x14ac:dyDescent="0.25">
      <c r="A502">
        <v>0</v>
      </c>
      <c r="B502">
        <v>10000</v>
      </c>
      <c r="C502">
        <f>1.225 * (1 - 0.00000687559 * B502) ^ 4.2561</f>
        <v>0.90462252368600637</v>
      </c>
      <c r="D502">
        <f>E502*(SQRT($C$2/C502))</f>
        <v>69.820924711962206</v>
      </c>
      <c r="E502">
        <v>60</v>
      </c>
      <c r="F502">
        <v>1215</v>
      </c>
      <c r="G502">
        <v>500</v>
      </c>
      <c r="H502">
        <f>CONVERT(G502,"HP","kW")</f>
        <v>372.84993579113512</v>
      </c>
      <c r="I502">
        <v>0.61599999999999999</v>
      </c>
      <c r="J502">
        <v>0.4476</v>
      </c>
      <c r="K502">
        <v>0.54759999999999998</v>
      </c>
      <c r="L502">
        <v>5.0799999999999998E-2</v>
      </c>
      <c r="M502">
        <v>7.0000000000000007E-2</v>
      </c>
      <c r="N502">
        <f>CONVERT(O502,"lbf","N")</f>
        <v>6394.7633940984942</v>
      </c>
      <c r="O502">
        <v>1437.6</v>
      </c>
      <c r="P502">
        <f t="shared" si="7"/>
        <v>1.377952755905512</v>
      </c>
    </row>
    <row r="503" spans="1:16" hidden="1" x14ac:dyDescent="0.25">
      <c r="A503">
        <v>0</v>
      </c>
      <c r="B503">
        <v>10000</v>
      </c>
      <c r="C503">
        <f>1.225 * (1 - 0.00000687559 * B503) ^ 4.2561</f>
        <v>0.90462252368600637</v>
      </c>
      <c r="D503">
        <f>E503*(SQRT($C$2/C503))</f>
        <v>93.09456628261627</v>
      </c>
      <c r="E503">
        <v>80</v>
      </c>
      <c r="F503">
        <v>1215</v>
      </c>
      <c r="G503">
        <v>500</v>
      </c>
      <c r="H503">
        <f>CONVERT(G503,"HP","kW")</f>
        <v>372.84993579113512</v>
      </c>
      <c r="I503">
        <v>0.65749999999999997</v>
      </c>
      <c r="J503">
        <v>0.59689999999999999</v>
      </c>
      <c r="K503">
        <v>0.55640000000000001</v>
      </c>
      <c r="L503">
        <v>5.0799999999999998E-2</v>
      </c>
      <c r="M503">
        <v>5.6000000000000001E-2</v>
      </c>
      <c r="N503">
        <f>CONVERT(O503,"lbf","N")</f>
        <v>5119.0134348417832</v>
      </c>
      <c r="O503">
        <v>1150.8</v>
      </c>
      <c r="P503">
        <f t="shared" si="7"/>
        <v>1.1023622047244095</v>
      </c>
    </row>
    <row r="504" spans="1:16" hidden="1" x14ac:dyDescent="0.25">
      <c r="A504">
        <v>0</v>
      </c>
      <c r="B504">
        <v>10000</v>
      </c>
      <c r="C504">
        <f>1.225 * (1 - 0.00000687559 * B504) ^ 4.2561</f>
        <v>0.90462252368600637</v>
      </c>
      <c r="D504">
        <f>E504*(SQRT($C$2/C504))</f>
        <v>116.36820785327033</v>
      </c>
      <c r="E504">
        <v>100</v>
      </c>
      <c r="F504">
        <v>1215</v>
      </c>
      <c r="G504">
        <v>500</v>
      </c>
      <c r="H504">
        <f>CONVERT(G504,"HP","kW")</f>
        <v>372.84993579113512</v>
      </c>
      <c r="I504">
        <v>0.67689999999999995</v>
      </c>
      <c r="J504">
        <v>0.74609999999999999</v>
      </c>
      <c r="K504">
        <v>0.56720000000000004</v>
      </c>
      <c r="L504">
        <v>5.0799999999999998E-2</v>
      </c>
      <c r="M504">
        <v>4.6100000000000002E-2</v>
      </c>
      <c r="N504">
        <f>CONVERT(O504,"lbf","N")</f>
        <v>4216.0244469439021</v>
      </c>
      <c r="O504">
        <v>947.8</v>
      </c>
      <c r="P504">
        <f t="shared" si="7"/>
        <v>0.90748031496062997</v>
      </c>
    </row>
    <row r="505" spans="1:16" hidden="1" x14ac:dyDescent="0.25">
      <c r="A505">
        <v>0</v>
      </c>
      <c r="B505">
        <v>10000</v>
      </c>
      <c r="C505">
        <f>1.225 * (1 - 0.00000687559 * B505) ^ 4.2561</f>
        <v>0.90462252368600637</v>
      </c>
      <c r="D505">
        <f>E505*(SQRT($C$2/C505))</f>
        <v>139.64184942392441</v>
      </c>
      <c r="E505">
        <v>120</v>
      </c>
      <c r="F505">
        <v>1215</v>
      </c>
      <c r="G505">
        <v>500</v>
      </c>
      <c r="H505">
        <f>CONVERT(G505,"HP","kW")</f>
        <v>372.84993579113512</v>
      </c>
      <c r="I505">
        <v>0.68410000000000004</v>
      </c>
      <c r="J505">
        <v>0.89529999999999998</v>
      </c>
      <c r="K505">
        <v>0.57999999999999996</v>
      </c>
      <c r="L505">
        <v>5.0799999999999998E-2</v>
      </c>
      <c r="M505">
        <v>3.8800000000000001E-2</v>
      </c>
      <c r="N505">
        <f>CONVERT(O505,"lbf","N")</f>
        <v>3550.5704933009315</v>
      </c>
      <c r="O505">
        <v>798.2</v>
      </c>
      <c r="P505">
        <f t="shared" si="7"/>
        <v>0.7637795275590552</v>
      </c>
    </row>
    <row r="506" spans="1:16" hidden="1" x14ac:dyDescent="0.25">
      <c r="A506">
        <v>0</v>
      </c>
      <c r="B506">
        <v>10000</v>
      </c>
      <c r="C506">
        <f>1.225 * (1 - 0.00000687559 * B506) ^ 4.2561</f>
        <v>0.90462252368600637</v>
      </c>
      <c r="D506">
        <f>E506*(SQRT($C$2/C506))</f>
        <v>162.91549099457848</v>
      </c>
      <c r="E506">
        <v>140</v>
      </c>
      <c r="F506">
        <v>1215</v>
      </c>
      <c r="G506">
        <v>500</v>
      </c>
      <c r="H506">
        <f>CONVERT(G506,"HP","kW")</f>
        <v>372.84993579113512</v>
      </c>
      <c r="I506">
        <v>0.68100000000000005</v>
      </c>
      <c r="J506">
        <v>1.0445</v>
      </c>
      <c r="K506">
        <v>0.5948</v>
      </c>
      <c r="L506">
        <v>5.0799999999999998E-2</v>
      </c>
      <c r="M506">
        <v>3.3099999999999997E-2</v>
      </c>
      <c r="N506">
        <f>CONVERT(O506,"lbf","N")</f>
        <v>3029.6837421539267</v>
      </c>
      <c r="O506">
        <v>681.1</v>
      </c>
      <c r="P506">
        <f t="shared" si="7"/>
        <v>0.65157480314960625</v>
      </c>
    </row>
    <row r="507" spans="1:16" hidden="1" x14ac:dyDescent="0.25">
      <c r="A507">
        <v>0</v>
      </c>
      <c r="B507">
        <v>10000</v>
      </c>
      <c r="C507">
        <f>1.225 * (1 - 0.00000687559 * B507) ^ 4.2561</f>
        <v>0.90462252368600637</v>
      </c>
      <c r="D507">
        <f>E507*(SQRT($C$2/C507))</f>
        <v>186.18913256523254</v>
      </c>
      <c r="E507">
        <v>160</v>
      </c>
      <c r="F507">
        <v>1215</v>
      </c>
      <c r="G507">
        <v>500</v>
      </c>
      <c r="H507">
        <f>CONVERT(G507,"HP","kW")</f>
        <v>372.84993579113512</v>
      </c>
      <c r="I507">
        <v>0.66959999999999997</v>
      </c>
      <c r="J507">
        <v>1.1937</v>
      </c>
      <c r="K507">
        <v>0.61129999999999995</v>
      </c>
      <c r="L507">
        <v>5.0799999999999998E-2</v>
      </c>
      <c r="M507">
        <v>2.8500000000000001E-2</v>
      </c>
      <c r="N507">
        <f>CONVERT(O507,"lbf","N")</f>
        <v>2606.213044381127</v>
      </c>
      <c r="O507">
        <v>585.9</v>
      </c>
      <c r="P507">
        <f t="shared" si="7"/>
        <v>0.5610236220472441</v>
      </c>
    </row>
    <row r="508" spans="1:16" hidden="1" x14ac:dyDescent="0.25">
      <c r="A508">
        <v>0</v>
      </c>
      <c r="B508">
        <v>10000</v>
      </c>
      <c r="C508">
        <f>1.225 * (1 - 0.00000687559 * B508) ^ 4.2561</f>
        <v>0.90462252368600637</v>
      </c>
      <c r="D508">
        <f>E508*(SQRT($C$2/C508))</f>
        <v>209.4627741358866</v>
      </c>
      <c r="E508">
        <v>180</v>
      </c>
      <c r="F508">
        <v>1215</v>
      </c>
      <c r="G508">
        <v>500</v>
      </c>
      <c r="H508">
        <f>CONVERT(G508,"HP","kW")</f>
        <v>372.84993579113512</v>
      </c>
      <c r="I508">
        <v>0.64680000000000004</v>
      </c>
      <c r="J508">
        <v>1.3429</v>
      </c>
      <c r="K508">
        <v>0.62960000000000005</v>
      </c>
      <c r="L508">
        <v>5.0799999999999998E-2</v>
      </c>
      <c r="M508">
        <v>2.4500000000000001E-2</v>
      </c>
      <c r="N508">
        <f>CONVERT(O508,"lbf","N")</f>
        <v>2237.9002946375576</v>
      </c>
      <c r="O508">
        <v>503.1</v>
      </c>
      <c r="P508">
        <f t="shared" si="7"/>
        <v>0.48228346456692917</v>
      </c>
    </row>
    <row r="509" spans="1:16" hidden="1" x14ac:dyDescent="0.25">
      <c r="A509">
        <v>0</v>
      </c>
      <c r="B509">
        <v>10000</v>
      </c>
      <c r="C509">
        <f>1.225 * (1 - 0.00000687559 * B509) ^ 4.2561</f>
        <v>0.90462252368600637</v>
      </c>
      <c r="D509">
        <f>E509*(SQRT($C$2/C509))</f>
        <v>232.73641570654067</v>
      </c>
      <c r="E509">
        <v>200</v>
      </c>
      <c r="F509">
        <v>1215</v>
      </c>
      <c r="G509">
        <v>500</v>
      </c>
      <c r="H509">
        <f>CONVERT(G509,"HP","kW")</f>
        <v>372.84993579113512</v>
      </c>
      <c r="I509">
        <v>0.60819999999999996</v>
      </c>
      <c r="J509">
        <v>1.4922</v>
      </c>
      <c r="K509">
        <v>0.64929999999999999</v>
      </c>
      <c r="L509">
        <v>5.0799999999999998E-2</v>
      </c>
      <c r="M509">
        <v>2.07E-2</v>
      </c>
      <c r="N509">
        <f>CONVERT(O509,"lbf","N")</f>
        <v>1894.052763777921</v>
      </c>
      <c r="O509">
        <v>425.8</v>
      </c>
      <c r="P509">
        <f t="shared" si="7"/>
        <v>0.40748031496062992</v>
      </c>
    </row>
    <row r="510" spans="1:16" hidden="1" x14ac:dyDescent="0.25">
      <c r="A510">
        <v>0</v>
      </c>
      <c r="B510">
        <v>10000</v>
      </c>
      <c r="C510">
        <f>1.225 * (1 - 0.00000687559 * B510) ^ 4.2561</f>
        <v>0.90462252368600637</v>
      </c>
      <c r="D510">
        <f>E510*(SQRT($C$2/C510))</f>
        <v>256.01005727719473</v>
      </c>
      <c r="E510">
        <v>220</v>
      </c>
      <c r="F510">
        <v>1215</v>
      </c>
      <c r="G510">
        <v>500</v>
      </c>
      <c r="H510">
        <f>CONVERT(G510,"HP","kW")</f>
        <v>372.84993579113512</v>
      </c>
      <c r="I510">
        <v>0.53690000000000004</v>
      </c>
      <c r="J510">
        <v>1.6414</v>
      </c>
      <c r="K510">
        <v>0.67049999999999998</v>
      </c>
      <c r="L510">
        <v>5.0799999999999998E-2</v>
      </c>
      <c r="M510">
        <v>1.66E-2</v>
      </c>
      <c r="N510">
        <f>CONVERT(O510,"lbf","N")</f>
        <v>1519.9573259345129</v>
      </c>
      <c r="O510">
        <v>341.7</v>
      </c>
      <c r="P510">
        <f t="shared" si="7"/>
        <v>0.32677165354330712</v>
      </c>
    </row>
    <row r="511" spans="1:16" hidden="1" x14ac:dyDescent="0.25">
      <c r="A511">
        <v>0</v>
      </c>
      <c r="B511">
        <v>10000</v>
      </c>
      <c r="C511">
        <f>1.225 * (1 - 0.00000687559 * B511) ^ 4.2561</f>
        <v>0.90462252368600637</v>
      </c>
      <c r="D511">
        <f>E511*(SQRT($C$2/C511))</f>
        <v>302.55734041850286</v>
      </c>
      <c r="E511">
        <v>260</v>
      </c>
      <c r="F511">
        <v>1215</v>
      </c>
      <c r="G511">
        <v>500</v>
      </c>
      <c r="H511">
        <f>CONVERT(G511,"HP","kW")</f>
        <v>372.84993579113512</v>
      </c>
      <c r="I511">
        <v>0.25829999999999997</v>
      </c>
      <c r="J511">
        <v>1.9398</v>
      </c>
      <c r="K511">
        <v>0.71650000000000003</v>
      </c>
      <c r="L511">
        <v>5.0799999999999998E-2</v>
      </c>
      <c r="M511">
        <v>6.7999999999999996E-3</v>
      </c>
      <c r="N511">
        <f>CONVERT(O511,"lbf","N")</f>
        <v>618.74762668273559</v>
      </c>
      <c r="O511">
        <v>139.1</v>
      </c>
      <c r="P511">
        <f t="shared" si="7"/>
        <v>0.13385826771653542</v>
      </c>
    </row>
    <row r="512" spans="1:16" hidden="1" x14ac:dyDescent="0.25">
      <c r="A512">
        <v>0</v>
      </c>
      <c r="B512">
        <v>10000</v>
      </c>
      <c r="C512">
        <f>1.225 * (1 - 0.00000687559 * B512) ^ 4.2561</f>
        <v>0.90462252368600637</v>
      </c>
      <c r="D512">
        <f>E512*(SQRT($C$2/C512))</f>
        <v>23.273641570654068</v>
      </c>
      <c r="E512">
        <v>20</v>
      </c>
      <c r="F512">
        <v>1215</v>
      </c>
      <c r="G512">
        <v>500</v>
      </c>
      <c r="H512">
        <f>CONVERT(G512,"HP","kW")</f>
        <v>372.84993579113512</v>
      </c>
      <c r="I512">
        <v>0.3211</v>
      </c>
      <c r="J512">
        <v>0.1492</v>
      </c>
      <c r="K512">
        <v>0.53520000000000001</v>
      </c>
      <c r="L512">
        <v>5.0900000000000001E-2</v>
      </c>
      <c r="M512">
        <v>0.1095</v>
      </c>
      <c r="N512">
        <f>CONVERT(O512,"lbf","N")</f>
        <v>10000.491835428655</v>
      </c>
      <c r="O512">
        <v>2248.1999999999998</v>
      </c>
      <c r="P512">
        <f t="shared" si="7"/>
        <v>2.1512770137524559</v>
      </c>
    </row>
    <row r="513" spans="1:16" hidden="1" x14ac:dyDescent="0.25">
      <c r="A513">
        <v>0</v>
      </c>
      <c r="B513">
        <v>10000</v>
      </c>
      <c r="C513">
        <f>1.225 * (1 - 0.00000687559 * B513) ^ 4.2561</f>
        <v>0.90462252368600637</v>
      </c>
      <c r="D513">
        <f>E513*(SQRT($C$2/C513))</f>
        <v>46.547283141308135</v>
      </c>
      <c r="E513">
        <v>40</v>
      </c>
      <c r="F513">
        <v>1215</v>
      </c>
      <c r="G513">
        <v>500</v>
      </c>
      <c r="H513">
        <f>CONVERT(G513,"HP","kW")</f>
        <v>372.84993579113512</v>
      </c>
      <c r="I513">
        <v>0.51849999999999996</v>
      </c>
      <c r="J513">
        <v>0.2984</v>
      </c>
      <c r="K513">
        <v>0.54069999999999996</v>
      </c>
      <c r="L513">
        <v>5.0900000000000001E-2</v>
      </c>
      <c r="M513">
        <v>8.8400000000000006E-2</v>
      </c>
      <c r="N513">
        <f>CONVERT(O513,"lbf","N")</f>
        <v>8073.9670538593327</v>
      </c>
      <c r="O513">
        <v>1815.1</v>
      </c>
      <c r="P513">
        <f t="shared" si="7"/>
        <v>1.7367387033398822</v>
      </c>
    </row>
    <row r="514" spans="1:16" hidden="1" x14ac:dyDescent="0.25">
      <c r="A514">
        <v>0</v>
      </c>
      <c r="B514">
        <v>5000</v>
      </c>
      <c r="C514">
        <f>1.225 * (1 - 0.00000687559 * B514) ^ 4.2561</f>
        <v>1.0555380742846066</v>
      </c>
      <c r="D514">
        <f>E514*(SQRT($C$2/C514))</f>
        <v>0</v>
      </c>
      <c r="E514">
        <v>0</v>
      </c>
      <c r="F514">
        <v>1150</v>
      </c>
      <c r="G514">
        <v>500</v>
      </c>
      <c r="H514">
        <f>CONVERT(G514,"HP","kW")</f>
        <v>372.84993579113512</v>
      </c>
      <c r="I514">
        <v>0</v>
      </c>
      <c r="J514">
        <v>0</v>
      </c>
      <c r="K514">
        <v>0.49330000000000002</v>
      </c>
      <c r="L514">
        <v>5.1400000000000001E-2</v>
      </c>
      <c r="M514">
        <v>0.13059999999999999</v>
      </c>
      <c r="N514">
        <f>CONVERT(O514,"lbf","N")</f>
        <v>12480.820208097912</v>
      </c>
      <c r="O514">
        <v>2805.8</v>
      </c>
      <c r="P514">
        <f t="shared" si="7"/>
        <v>2.5408560311284045</v>
      </c>
    </row>
    <row r="515" spans="1:16" hidden="1" x14ac:dyDescent="0.25">
      <c r="A515">
        <v>0</v>
      </c>
      <c r="B515">
        <v>5000</v>
      </c>
      <c r="C515">
        <f>1.225 * (1 - 0.00000687559 * B515) ^ 4.2561</f>
        <v>1.0555380742846066</v>
      </c>
      <c r="D515">
        <f>E515*(SQRT($C$2/C515))</f>
        <v>21.545723806091175</v>
      </c>
      <c r="E515">
        <v>20</v>
      </c>
      <c r="F515">
        <v>1150</v>
      </c>
      <c r="G515">
        <v>500</v>
      </c>
      <c r="H515">
        <f>CONVERT(G515,"HP","kW")</f>
        <v>372.84993579113512</v>
      </c>
      <c r="I515">
        <v>0.3175</v>
      </c>
      <c r="J515">
        <v>0.1459</v>
      </c>
      <c r="K515">
        <v>0.49730000000000002</v>
      </c>
      <c r="L515">
        <v>5.1400000000000001E-2</v>
      </c>
      <c r="M515">
        <v>0.1118</v>
      </c>
      <c r="N515">
        <f>CONVERT(O515,"lbf","N")</f>
        <v>10680.624920401986</v>
      </c>
      <c r="O515">
        <v>2401.1</v>
      </c>
      <c r="P515">
        <f t="shared" ref="P515:P578" si="8">M515/L515</f>
        <v>2.1750972762645913</v>
      </c>
    </row>
    <row r="516" spans="1:16" hidden="1" x14ac:dyDescent="0.25">
      <c r="A516">
        <v>0</v>
      </c>
      <c r="B516">
        <v>5000</v>
      </c>
      <c r="C516">
        <f>1.225 * (1 - 0.00000687559 * B516) ^ 4.2561</f>
        <v>1.0555380742846066</v>
      </c>
      <c r="D516">
        <f>E516*(SQRT($C$2/C516))</f>
        <v>43.09144761218235</v>
      </c>
      <c r="E516">
        <v>40</v>
      </c>
      <c r="F516">
        <v>1150</v>
      </c>
      <c r="G516">
        <v>500</v>
      </c>
      <c r="H516">
        <f>CONVERT(G516,"HP","kW")</f>
        <v>372.84993579113512</v>
      </c>
      <c r="I516">
        <v>0.52090000000000003</v>
      </c>
      <c r="J516">
        <v>0.29189999999999999</v>
      </c>
      <c r="K516">
        <v>0.50229999999999997</v>
      </c>
      <c r="L516">
        <v>5.1400000000000001E-2</v>
      </c>
      <c r="M516">
        <v>9.1700000000000004E-2</v>
      </c>
      <c r="N516">
        <f>CONVERT(O516,"lbf","N")</f>
        <v>8760.7724712555555</v>
      </c>
      <c r="O516">
        <v>1969.5</v>
      </c>
      <c r="P516">
        <f t="shared" si="8"/>
        <v>1.784046692607004</v>
      </c>
    </row>
    <row r="517" spans="1:16" hidden="1" x14ac:dyDescent="0.25">
      <c r="A517">
        <v>0</v>
      </c>
      <c r="B517">
        <v>5000</v>
      </c>
      <c r="C517">
        <f>1.225 * (1 - 0.00000687559 * B517) ^ 4.2561</f>
        <v>1.0555380742846066</v>
      </c>
      <c r="D517">
        <f>E517*(SQRT($C$2/C517))</f>
        <v>64.637171418273525</v>
      </c>
      <c r="E517">
        <v>60</v>
      </c>
      <c r="F517">
        <v>1150</v>
      </c>
      <c r="G517">
        <v>500</v>
      </c>
      <c r="H517">
        <f>CONVERT(G517,"HP","kW")</f>
        <v>372.84993579113512</v>
      </c>
      <c r="I517">
        <v>0.628</v>
      </c>
      <c r="J517">
        <v>0.43780000000000002</v>
      </c>
      <c r="K517">
        <v>0.50849999999999995</v>
      </c>
      <c r="L517">
        <v>5.1400000000000001E-2</v>
      </c>
      <c r="M517">
        <v>7.3700000000000002E-2</v>
      </c>
      <c r="N517">
        <f>CONVERT(O517,"lbf","N")</f>
        <v>7041.5348169573708</v>
      </c>
      <c r="O517">
        <v>1583</v>
      </c>
      <c r="P517">
        <f t="shared" si="8"/>
        <v>1.433852140077821</v>
      </c>
    </row>
    <row r="518" spans="1:16" hidden="1" x14ac:dyDescent="0.25">
      <c r="A518">
        <v>0</v>
      </c>
      <c r="B518">
        <v>5000</v>
      </c>
      <c r="C518">
        <f>1.225 * (1 - 0.00000687559 * B518) ^ 4.2561</f>
        <v>1.0555380742846066</v>
      </c>
      <c r="D518">
        <f>E518*(SQRT($C$2/C518))</f>
        <v>86.1828952243647</v>
      </c>
      <c r="E518">
        <v>80</v>
      </c>
      <c r="F518">
        <v>1150</v>
      </c>
      <c r="G518">
        <v>500</v>
      </c>
      <c r="H518">
        <f>CONVERT(G518,"HP","kW")</f>
        <v>372.84993579113512</v>
      </c>
      <c r="I518">
        <v>0.68130000000000002</v>
      </c>
      <c r="J518">
        <v>0.58379999999999999</v>
      </c>
      <c r="K518">
        <v>0.51639999999999997</v>
      </c>
      <c r="L518">
        <v>5.1400000000000001E-2</v>
      </c>
      <c r="M518">
        <v>5.9900000000000002E-2</v>
      </c>
      <c r="N518">
        <f>CONVERT(O518,"lbf","N")</f>
        <v>5729.7542626170489</v>
      </c>
      <c r="O518">
        <v>1288.0999999999999</v>
      </c>
      <c r="P518">
        <f t="shared" si="8"/>
        <v>1.1653696498054475</v>
      </c>
    </row>
    <row r="519" spans="1:16" hidden="1" x14ac:dyDescent="0.25">
      <c r="A519">
        <v>0</v>
      </c>
      <c r="B519">
        <v>5000</v>
      </c>
      <c r="C519">
        <f>1.225 * (1 - 0.00000687559 * B519) ^ 4.2561</f>
        <v>1.0555380742846066</v>
      </c>
      <c r="D519">
        <f>E519*(SQRT($C$2/C519))</f>
        <v>107.72861903045587</v>
      </c>
      <c r="E519">
        <v>100</v>
      </c>
      <c r="F519">
        <v>1150</v>
      </c>
      <c r="G519">
        <v>500</v>
      </c>
      <c r="H519">
        <f>CONVERT(G519,"HP","kW")</f>
        <v>372.84993579113512</v>
      </c>
      <c r="I519">
        <v>0.70830000000000004</v>
      </c>
      <c r="J519">
        <v>0.72970000000000002</v>
      </c>
      <c r="K519">
        <v>0.52600000000000002</v>
      </c>
      <c r="L519">
        <v>5.1400000000000001E-2</v>
      </c>
      <c r="M519">
        <v>4.99E-2</v>
      </c>
      <c r="N519">
        <f>CONVERT(O519,"lbf","N")</f>
        <v>4765.3798164285736</v>
      </c>
      <c r="O519">
        <v>1071.3</v>
      </c>
      <c r="P519">
        <f t="shared" si="8"/>
        <v>0.97081712062256809</v>
      </c>
    </row>
    <row r="520" spans="1:16" hidden="1" x14ac:dyDescent="0.25">
      <c r="A520">
        <v>0</v>
      </c>
      <c r="B520">
        <v>5000</v>
      </c>
      <c r="C520">
        <f>1.225 * (1 - 0.00000687559 * B520) ^ 4.2561</f>
        <v>1.0555380742846066</v>
      </c>
      <c r="D520">
        <f>E520*(SQRT($C$2/C520))</f>
        <v>129.27434283654705</v>
      </c>
      <c r="E520">
        <v>120</v>
      </c>
      <c r="F520">
        <v>1150</v>
      </c>
      <c r="G520">
        <v>500</v>
      </c>
      <c r="H520">
        <f>CONVERT(G520,"HP","kW")</f>
        <v>372.84993579113512</v>
      </c>
      <c r="I520">
        <v>0.71870000000000001</v>
      </c>
      <c r="J520">
        <v>0.87570000000000003</v>
      </c>
      <c r="K520">
        <v>0.53749999999999998</v>
      </c>
      <c r="L520">
        <v>5.1400000000000001E-2</v>
      </c>
      <c r="M520">
        <v>4.2200000000000001E-2</v>
      </c>
      <c r="N520">
        <f>CONVERT(O520,"lbf","N")</f>
        <v>4029.6439612644867</v>
      </c>
      <c r="O520">
        <v>905.9</v>
      </c>
      <c r="P520">
        <f t="shared" si="8"/>
        <v>0.82101167315175094</v>
      </c>
    </row>
    <row r="521" spans="1:16" hidden="1" x14ac:dyDescent="0.25">
      <c r="A521">
        <v>0</v>
      </c>
      <c r="B521">
        <v>5000</v>
      </c>
      <c r="C521">
        <f>1.225 * (1 - 0.00000687559 * B521) ^ 4.2561</f>
        <v>1.0555380742846066</v>
      </c>
      <c r="D521">
        <f>E521*(SQRT($C$2/C521))</f>
        <v>150.82006664263821</v>
      </c>
      <c r="E521">
        <v>140</v>
      </c>
      <c r="F521">
        <v>1150</v>
      </c>
      <c r="G521">
        <v>500</v>
      </c>
      <c r="H521">
        <f>CONVERT(G521,"HP","kW")</f>
        <v>372.84993579113512</v>
      </c>
      <c r="I521">
        <v>0.7167</v>
      </c>
      <c r="J521">
        <v>1.0216000000000001</v>
      </c>
      <c r="K521">
        <v>0.55059999999999998</v>
      </c>
      <c r="L521">
        <v>5.1400000000000001E-2</v>
      </c>
      <c r="M521">
        <v>3.5999999999999997E-2</v>
      </c>
      <c r="N521">
        <f>CONVERT(O521,"lbf","N")</f>
        <v>3444.2579966962053</v>
      </c>
      <c r="O521">
        <v>774.3</v>
      </c>
      <c r="P521">
        <f t="shared" si="8"/>
        <v>0.70038910505836571</v>
      </c>
    </row>
    <row r="522" spans="1:16" hidden="1" x14ac:dyDescent="0.25">
      <c r="A522">
        <v>0</v>
      </c>
      <c r="B522">
        <v>5000</v>
      </c>
      <c r="C522">
        <f>1.225 * (1 - 0.00000687559 * B522) ^ 4.2561</f>
        <v>1.0555380742846066</v>
      </c>
      <c r="D522">
        <f>E522*(SQRT($C$2/C522))</f>
        <v>172.3657904487294</v>
      </c>
      <c r="E522">
        <v>160</v>
      </c>
      <c r="F522">
        <v>1150</v>
      </c>
      <c r="G522">
        <v>500</v>
      </c>
      <c r="H522">
        <f>CONVERT(G522,"HP","kW")</f>
        <v>372.84993579113512</v>
      </c>
      <c r="I522">
        <v>0.70760000000000001</v>
      </c>
      <c r="J522">
        <v>1.1676</v>
      </c>
      <c r="K522">
        <v>0.56540000000000001</v>
      </c>
      <c r="L522">
        <v>5.1400000000000001E-2</v>
      </c>
      <c r="M522">
        <v>3.1199999999999999E-2</v>
      </c>
      <c r="N522">
        <f>CONVERT(O522,"lbf","N")</f>
        <v>2974.9706162862221</v>
      </c>
      <c r="O522">
        <v>668.8</v>
      </c>
      <c r="P522">
        <f t="shared" si="8"/>
        <v>0.60700389105058361</v>
      </c>
    </row>
    <row r="523" spans="1:16" hidden="1" x14ac:dyDescent="0.25">
      <c r="A523">
        <v>0</v>
      </c>
      <c r="B523">
        <v>5000</v>
      </c>
      <c r="C523">
        <f>1.225 * (1 - 0.00000687559 * B523) ^ 4.2561</f>
        <v>1.0555380742846066</v>
      </c>
      <c r="D523">
        <f>E523*(SQRT($C$2/C523))</f>
        <v>193.91151425482059</v>
      </c>
      <c r="E523">
        <v>180</v>
      </c>
      <c r="F523">
        <v>1150</v>
      </c>
      <c r="G523">
        <v>500</v>
      </c>
      <c r="H523">
        <f>CONVERT(G523,"HP","kW")</f>
        <v>372.84993579113512</v>
      </c>
      <c r="I523">
        <v>0.68940000000000001</v>
      </c>
      <c r="J523">
        <v>1.3134999999999999</v>
      </c>
      <c r="K523">
        <v>0.58169999999999999</v>
      </c>
      <c r="L523">
        <v>5.1400000000000001E-2</v>
      </c>
      <c r="M523">
        <v>2.7E-2</v>
      </c>
      <c r="N523">
        <f>CONVERT(O523,"lbf","N")</f>
        <v>2576.8547817204076</v>
      </c>
      <c r="O523">
        <v>579.29999999999995</v>
      </c>
      <c r="P523">
        <f t="shared" si="8"/>
        <v>0.52529182879377434</v>
      </c>
    </row>
    <row r="524" spans="1:16" hidden="1" x14ac:dyDescent="0.25">
      <c r="A524">
        <v>0</v>
      </c>
      <c r="B524">
        <v>5000</v>
      </c>
      <c r="C524">
        <f>1.225 * (1 - 0.00000687559 * B524) ^ 4.2561</f>
        <v>1.0555380742846066</v>
      </c>
      <c r="D524">
        <f>E524*(SQRT($C$2/C524))</f>
        <v>215.45723806091175</v>
      </c>
      <c r="E524">
        <v>200</v>
      </c>
      <c r="F524">
        <v>1150</v>
      </c>
      <c r="G524">
        <v>500</v>
      </c>
      <c r="H524">
        <f>CONVERT(G524,"HP","kW")</f>
        <v>372.84993579113512</v>
      </c>
      <c r="I524">
        <v>0.66259999999999997</v>
      </c>
      <c r="J524">
        <v>1.4595</v>
      </c>
      <c r="K524">
        <v>0.59940000000000004</v>
      </c>
      <c r="L524">
        <v>5.1400000000000001E-2</v>
      </c>
      <c r="M524">
        <v>2.3300000000000001E-2</v>
      </c>
      <c r="N524">
        <f>CONVERT(O524,"lbf","N")</f>
        <v>2229.0038514070366</v>
      </c>
      <c r="O524">
        <v>501.1</v>
      </c>
      <c r="P524">
        <f t="shared" si="8"/>
        <v>0.45330739299610895</v>
      </c>
    </row>
    <row r="525" spans="1:16" hidden="1" x14ac:dyDescent="0.25">
      <c r="A525">
        <v>0</v>
      </c>
      <c r="B525">
        <v>5000</v>
      </c>
      <c r="C525">
        <f>1.225 * (1 - 0.00000687559 * B525) ^ 4.2561</f>
        <v>1.0555380742846066</v>
      </c>
      <c r="D525">
        <f>E525*(SQRT($C$2/C525))</f>
        <v>237.00296186700291</v>
      </c>
      <c r="E525">
        <v>220</v>
      </c>
      <c r="F525">
        <v>1150</v>
      </c>
      <c r="G525">
        <v>500</v>
      </c>
      <c r="H525">
        <f>CONVERT(G525,"HP","kW")</f>
        <v>372.84993579113512</v>
      </c>
      <c r="I525">
        <v>0.62050000000000005</v>
      </c>
      <c r="J525">
        <v>1.6053999999999999</v>
      </c>
      <c r="K525">
        <v>0.61839999999999995</v>
      </c>
      <c r="L525">
        <v>5.1400000000000001E-2</v>
      </c>
      <c r="M525">
        <v>1.9900000000000001E-2</v>
      </c>
      <c r="N525">
        <f>CONVERT(O525,"lbf","N")</f>
        <v>1897.6113410701296</v>
      </c>
      <c r="O525">
        <v>426.6</v>
      </c>
      <c r="P525">
        <f t="shared" si="8"/>
        <v>0.38715953307392997</v>
      </c>
    </row>
    <row r="526" spans="1:16" hidden="1" x14ac:dyDescent="0.25">
      <c r="A526">
        <v>0</v>
      </c>
      <c r="B526">
        <v>5000</v>
      </c>
      <c r="C526">
        <f>1.225 * (1 - 0.00000687559 * B526) ^ 4.2561</f>
        <v>1.0555380742846066</v>
      </c>
      <c r="D526">
        <f>E526*(SQRT($C$2/C526))</f>
        <v>258.5486856730941</v>
      </c>
      <c r="E526">
        <v>240</v>
      </c>
      <c r="F526">
        <v>1150</v>
      </c>
      <c r="G526">
        <v>500</v>
      </c>
      <c r="H526">
        <f>CONVERT(G526,"HP","kW")</f>
        <v>372.84993579113512</v>
      </c>
      <c r="I526">
        <v>0.56299999999999994</v>
      </c>
      <c r="J526">
        <v>1.7513000000000001</v>
      </c>
      <c r="K526">
        <v>0.63849999999999996</v>
      </c>
      <c r="L526">
        <v>5.1400000000000001E-2</v>
      </c>
      <c r="M526">
        <v>1.6500000000000001E-2</v>
      </c>
      <c r="N526">
        <f>CONVERT(O526,"lbf","N")</f>
        <v>1578.2290290944254</v>
      </c>
      <c r="O526">
        <v>354.8</v>
      </c>
      <c r="P526">
        <f t="shared" si="8"/>
        <v>0.321011673151751</v>
      </c>
    </row>
    <row r="527" spans="1:16" hidden="1" x14ac:dyDescent="0.25">
      <c r="A527">
        <v>0</v>
      </c>
      <c r="B527">
        <v>5000</v>
      </c>
      <c r="C527">
        <f>1.225 * (1 - 0.00000687559 * B527) ^ 4.2561</f>
        <v>1.0555380742846066</v>
      </c>
      <c r="D527">
        <f>E527*(SQRT($C$2/C527))</f>
        <v>280.09440947918529</v>
      </c>
      <c r="E527">
        <v>260</v>
      </c>
      <c r="F527">
        <v>1150</v>
      </c>
      <c r="G527">
        <v>500</v>
      </c>
      <c r="H527">
        <f>CONVERT(G527,"HP","kW")</f>
        <v>372.84993579113512</v>
      </c>
      <c r="I527">
        <v>0.4869</v>
      </c>
      <c r="J527">
        <v>1.8973</v>
      </c>
      <c r="K527">
        <v>0.65959999999999996</v>
      </c>
      <c r="L527">
        <v>5.1400000000000001E-2</v>
      </c>
      <c r="M527">
        <v>1.32E-2</v>
      </c>
      <c r="N527">
        <f>CONVERT(O527,"lbf","N")</f>
        <v>1260.1811836032998</v>
      </c>
      <c r="O527">
        <v>283.3</v>
      </c>
      <c r="P527">
        <f t="shared" si="8"/>
        <v>0.25680933852140075</v>
      </c>
    </row>
    <row r="528" spans="1:16" hidden="1" x14ac:dyDescent="0.25">
      <c r="A528">
        <v>0</v>
      </c>
      <c r="B528">
        <v>20000</v>
      </c>
      <c r="C528">
        <f>1.225 * (1 - 0.00000687559 * B528) ^ 4.2561</f>
        <v>0.65267221054298263</v>
      </c>
      <c r="D528">
        <f>E528*(SQRT($C$2/C528))</f>
        <v>246.59995249497723</v>
      </c>
      <c r="E528">
        <v>180</v>
      </c>
      <c r="F528">
        <v>987</v>
      </c>
      <c r="G528">
        <v>200</v>
      </c>
      <c r="H528">
        <f>CONVERT(G528,"HP","kW")</f>
        <v>149.13997431645407</v>
      </c>
      <c r="I528">
        <v>0.54139999999999999</v>
      </c>
      <c r="J528">
        <v>1.9461999999999999</v>
      </c>
      <c r="K528">
        <v>0.60570000000000002</v>
      </c>
      <c r="L528">
        <v>5.2499999999999998E-2</v>
      </c>
      <c r="M528">
        <v>1.46E-2</v>
      </c>
      <c r="N528">
        <f>CONVERT(O528,"lbf","N")</f>
        <v>636.5405131437775</v>
      </c>
      <c r="O528">
        <v>143.1</v>
      </c>
      <c r="P528">
        <f t="shared" si="8"/>
        <v>0.27809523809523812</v>
      </c>
    </row>
    <row r="529" spans="1:16" hidden="1" x14ac:dyDescent="0.25">
      <c r="A529">
        <v>0</v>
      </c>
      <c r="B529">
        <v>20000</v>
      </c>
      <c r="C529">
        <f>1.225 * (1 - 0.00000687559 * B529) ^ 4.2561</f>
        <v>0.65267221054298263</v>
      </c>
      <c r="D529">
        <f>E529*(SQRT($C$2/C529))</f>
        <v>273.99994721664137</v>
      </c>
      <c r="E529">
        <v>200</v>
      </c>
      <c r="F529">
        <v>987</v>
      </c>
      <c r="G529">
        <v>200</v>
      </c>
      <c r="H529">
        <f>CONVERT(G529,"HP","kW")</f>
        <v>149.13997431645407</v>
      </c>
      <c r="I529">
        <v>0.40460000000000002</v>
      </c>
      <c r="J529">
        <v>2.1625000000000001</v>
      </c>
      <c r="K529">
        <v>0.6361</v>
      </c>
      <c r="L529">
        <v>5.2499999999999998E-2</v>
      </c>
      <c r="M529">
        <v>9.7999999999999997E-3</v>
      </c>
      <c r="N529">
        <f>CONVERT(O529,"lbf","N")</f>
        <v>427.91891938806015</v>
      </c>
      <c r="O529">
        <v>96.2</v>
      </c>
      <c r="P529">
        <f t="shared" si="8"/>
        <v>0.18666666666666668</v>
      </c>
    </row>
    <row r="530" spans="1:16" hidden="1" x14ac:dyDescent="0.25">
      <c r="A530">
        <v>0</v>
      </c>
      <c r="B530">
        <v>20000</v>
      </c>
      <c r="C530">
        <f>1.225 * (1 - 0.00000687559 * B530) ^ 4.2561</f>
        <v>0.65267221054298263</v>
      </c>
      <c r="D530">
        <f>E530*(SQRT($C$2/C530))</f>
        <v>328.7999366599696</v>
      </c>
      <c r="E530">
        <v>240</v>
      </c>
      <c r="F530">
        <v>987</v>
      </c>
      <c r="G530">
        <v>200</v>
      </c>
      <c r="H530">
        <f>CONVERT(G530,"HP","kW")</f>
        <v>149.13997431645407</v>
      </c>
      <c r="I530">
        <v>-9.2999999999999999E-2</v>
      </c>
      <c r="J530">
        <v>2.5950000000000002</v>
      </c>
      <c r="K530">
        <v>0.7016</v>
      </c>
      <c r="L530">
        <v>5.2499999999999998E-2</v>
      </c>
      <c r="M530">
        <v>-1.9E-3</v>
      </c>
      <c r="N530">
        <f>CONVERT(O530,"lbf","N")</f>
        <v>-81.847277720793201</v>
      </c>
      <c r="O530">
        <v>-18.399999999999999</v>
      </c>
      <c r="P530">
        <f t="shared" si="8"/>
        <v>-3.619047619047619E-2</v>
      </c>
    </row>
    <row r="531" spans="1:16" hidden="1" x14ac:dyDescent="0.25">
      <c r="A531">
        <v>0</v>
      </c>
      <c r="B531">
        <v>20000</v>
      </c>
      <c r="C531">
        <f>1.225 * (1 - 0.00000687559 * B531) ^ 4.2561</f>
        <v>0.65267221054298263</v>
      </c>
      <c r="D531">
        <f>E531*(SQRT($C$2/C531))</f>
        <v>0</v>
      </c>
      <c r="E531">
        <v>0</v>
      </c>
      <c r="F531">
        <v>987</v>
      </c>
      <c r="G531">
        <v>200</v>
      </c>
      <c r="H531">
        <f>CONVERT(G531,"HP","kW")</f>
        <v>149.13997431645407</v>
      </c>
      <c r="I531">
        <v>0</v>
      </c>
      <c r="J531">
        <v>0</v>
      </c>
      <c r="K531">
        <v>0.44790000000000002</v>
      </c>
      <c r="L531">
        <v>5.2600000000000001E-2</v>
      </c>
      <c r="M531">
        <v>0.1333</v>
      </c>
      <c r="N531">
        <f>CONVERT(O531,"lbf","N")</f>
        <v>5803.5947414303746</v>
      </c>
      <c r="O531">
        <v>1304.7</v>
      </c>
      <c r="P531">
        <f t="shared" si="8"/>
        <v>2.5342205323193916</v>
      </c>
    </row>
    <row r="532" spans="1:16" hidden="1" x14ac:dyDescent="0.25">
      <c r="A532">
        <v>0</v>
      </c>
      <c r="B532">
        <v>20000</v>
      </c>
      <c r="C532">
        <f>1.225 * (1 - 0.00000687559 * B532) ^ 4.2561</f>
        <v>0.65267221054298263</v>
      </c>
      <c r="D532">
        <f>E532*(SQRT($C$2/C532))</f>
        <v>27.399994721664136</v>
      </c>
      <c r="E532">
        <v>20</v>
      </c>
      <c r="F532">
        <v>987</v>
      </c>
      <c r="G532">
        <v>200</v>
      </c>
      <c r="H532">
        <f>CONVERT(G532,"HP","kW")</f>
        <v>149.13997431645407</v>
      </c>
      <c r="I532">
        <v>0.43369999999999997</v>
      </c>
      <c r="J532">
        <v>0.2162</v>
      </c>
      <c r="K532">
        <v>0.4536</v>
      </c>
      <c r="L532">
        <v>5.2600000000000001E-2</v>
      </c>
      <c r="M532">
        <v>0.10539999999999999</v>
      </c>
      <c r="N532">
        <f>CONVERT(O532,"lbf","N")</f>
        <v>4589.2302404642578</v>
      </c>
      <c r="O532">
        <v>1031.7</v>
      </c>
      <c r="P532">
        <f t="shared" si="8"/>
        <v>2.003802281368821</v>
      </c>
    </row>
    <row r="533" spans="1:16" hidden="1" x14ac:dyDescent="0.25">
      <c r="A533">
        <v>0</v>
      </c>
      <c r="B533">
        <v>20000</v>
      </c>
      <c r="C533">
        <f>1.225 * (1 - 0.00000687559 * B533) ^ 4.2561</f>
        <v>0.65267221054298263</v>
      </c>
      <c r="D533">
        <f>E533*(SQRT($C$2/C533))</f>
        <v>54.799989443328272</v>
      </c>
      <c r="E533">
        <v>40</v>
      </c>
      <c r="F533">
        <v>987</v>
      </c>
      <c r="G533">
        <v>200</v>
      </c>
      <c r="H533">
        <f>CONVERT(G533,"HP","kW")</f>
        <v>149.13997431645407</v>
      </c>
      <c r="I533">
        <v>0.64539999999999997</v>
      </c>
      <c r="J533">
        <v>0.4325</v>
      </c>
      <c r="K533">
        <v>0.46150000000000002</v>
      </c>
      <c r="L533">
        <v>5.2600000000000001E-2</v>
      </c>
      <c r="M533">
        <v>7.8399999999999997E-2</v>
      </c>
      <c r="N533">
        <f>CONVERT(O533,"lbf","N")</f>
        <v>3414.4549118739601</v>
      </c>
      <c r="O533">
        <v>767.6</v>
      </c>
      <c r="P533">
        <f t="shared" si="8"/>
        <v>1.4904942965779466</v>
      </c>
    </row>
    <row r="534" spans="1:16" hidden="1" x14ac:dyDescent="0.25">
      <c r="A534">
        <v>0</v>
      </c>
      <c r="B534">
        <v>20000</v>
      </c>
      <c r="C534">
        <f>1.225 * (1 - 0.00000687559 * B534) ^ 4.2561</f>
        <v>0.65267221054298263</v>
      </c>
      <c r="D534">
        <f>E534*(SQRT($C$2/C534))</f>
        <v>82.199984164992401</v>
      </c>
      <c r="E534">
        <v>60</v>
      </c>
      <c r="F534">
        <v>987</v>
      </c>
      <c r="G534">
        <v>200</v>
      </c>
      <c r="H534">
        <f>CONVERT(G534,"HP","kW")</f>
        <v>149.13997431645407</v>
      </c>
      <c r="I534">
        <v>0.72629999999999995</v>
      </c>
      <c r="J534">
        <v>0.64870000000000005</v>
      </c>
      <c r="K534">
        <v>0.47260000000000002</v>
      </c>
      <c r="L534">
        <v>5.2600000000000001E-2</v>
      </c>
      <c r="M534">
        <v>5.8799999999999998E-2</v>
      </c>
      <c r="N534">
        <f>CONVERT(O534,"lbf","N")</f>
        <v>2561.7308282285221</v>
      </c>
      <c r="O534">
        <v>575.9</v>
      </c>
      <c r="P534">
        <f t="shared" si="8"/>
        <v>1.1178707224334601</v>
      </c>
    </row>
    <row r="535" spans="1:16" hidden="1" x14ac:dyDescent="0.25">
      <c r="A535">
        <v>0</v>
      </c>
      <c r="B535">
        <v>20000</v>
      </c>
      <c r="C535">
        <f>1.225 * (1 - 0.00000687559 * B535) ^ 4.2561</f>
        <v>0.65267221054298263</v>
      </c>
      <c r="D535">
        <f>E535*(SQRT($C$2/C535))</f>
        <v>109.59997888665654</v>
      </c>
      <c r="E535">
        <v>80</v>
      </c>
      <c r="F535">
        <v>987</v>
      </c>
      <c r="G535">
        <v>200</v>
      </c>
      <c r="H535">
        <f>CONVERT(G535,"HP","kW")</f>
        <v>149.13997431645407</v>
      </c>
      <c r="I535">
        <v>0.75429999999999997</v>
      </c>
      <c r="J535">
        <v>0.86499999999999999</v>
      </c>
      <c r="K535">
        <v>0.48730000000000001</v>
      </c>
      <c r="L535">
        <v>5.2600000000000001E-2</v>
      </c>
      <c r="M535">
        <v>4.58E-2</v>
      </c>
      <c r="N535">
        <f>CONVERT(O535,"lbf","N")</f>
        <v>1995.0273944443343</v>
      </c>
      <c r="O535">
        <v>448.5</v>
      </c>
      <c r="P535">
        <f t="shared" si="8"/>
        <v>0.87072243346007605</v>
      </c>
    </row>
    <row r="536" spans="1:16" hidden="1" x14ac:dyDescent="0.25">
      <c r="A536">
        <v>0</v>
      </c>
      <c r="B536">
        <v>20000</v>
      </c>
      <c r="C536">
        <f>1.225 * (1 - 0.00000687559 * B536) ^ 4.2561</f>
        <v>0.65267221054298263</v>
      </c>
      <c r="D536">
        <f>E536*(SQRT($C$2/C536))</f>
        <v>136.99997360832069</v>
      </c>
      <c r="E536">
        <v>100</v>
      </c>
      <c r="F536">
        <v>987</v>
      </c>
      <c r="G536">
        <v>200</v>
      </c>
      <c r="H536">
        <f>CONVERT(G536,"HP","kW")</f>
        <v>149.13997431645407</v>
      </c>
      <c r="I536">
        <v>0.75580000000000003</v>
      </c>
      <c r="J536">
        <v>1.0811999999999999</v>
      </c>
      <c r="K536">
        <v>0.50539999999999996</v>
      </c>
      <c r="L536">
        <v>5.2600000000000001E-2</v>
      </c>
      <c r="M536">
        <v>3.6700000000000003E-2</v>
      </c>
      <c r="N536">
        <f>CONVERT(O536,"lbf","N")</f>
        <v>1599.5804928476759</v>
      </c>
      <c r="O536">
        <v>359.6</v>
      </c>
      <c r="P536">
        <f t="shared" si="8"/>
        <v>0.69771863117870725</v>
      </c>
    </row>
    <row r="537" spans="1:16" hidden="1" x14ac:dyDescent="0.25">
      <c r="A537">
        <v>0</v>
      </c>
      <c r="B537">
        <v>20000</v>
      </c>
      <c r="C537">
        <f>1.225 * (1 - 0.00000687559 * B537) ^ 4.2561</f>
        <v>0.65267221054298263</v>
      </c>
      <c r="D537">
        <f>E537*(SQRT($C$2/C537))</f>
        <v>164.3999683299848</v>
      </c>
      <c r="E537">
        <v>120</v>
      </c>
      <c r="F537">
        <v>987</v>
      </c>
      <c r="G537">
        <v>200</v>
      </c>
      <c r="H537">
        <f>CONVERT(G537,"HP","kW")</f>
        <v>149.13997431645407</v>
      </c>
      <c r="I537">
        <v>0.73880000000000001</v>
      </c>
      <c r="J537">
        <v>1.2975000000000001</v>
      </c>
      <c r="K537">
        <v>0.52659999999999996</v>
      </c>
      <c r="L537">
        <v>5.2600000000000001E-2</v>
      </c>
      <c r="M537">
        <v>2.9899999999999999E-2</v>
      </c>
      <c r="N537">
        <f>CONVERT(O537,"lbf","N")</f>
        <v>1302.8841111098004</v>
      </c>
      <c r="O537">
        <v>292.89999999999998</v>
      </c>
      <c r="P537">
        <f t="shared" si="8"/>
        <v>0.5684410646387833</v>
      </c>
    </row>
    <row r="538" spans="1:16" hidden="1" x14ac:dyDescent="0.25">
      <c r="A538">
        <v>0</v>
      </c>
      <c r="B538">
        <v>20000</v>
      </c>
      <c r="C538">
        <f>1.225 * (1 - 0.00000687559 * B538) ^ 4.2561</f>
        <v>0.65267221054298263</v>
      </c>
      <c r="D538">
        <f>E538*(SQRT($C$2/C538))</f>
        <v>191.79996305164894</v>
      </c>
      <c r="E538">
        <v>140</v>
      </c>
      <c r="F538">
        <v>987</v>
      </c>
      <c r="G538">
        <v>200</v>
      </c>
      <c r="H538">
        <f>CONVERT(G538,"HP","kW")</f>
        <v>149.13997431645407</v>
      </c>
      <c r="I538">
        <v>0.70420000000000005</v>
      </c>
      <c r="J538">
        <v>1.5137</v>
      </c>
      <c r="K538">
        <v>0.55059999999999998</v>
      </c>
      <c r="L538">
        <v>5.2600000000000001E-2</v>
      </c>
      <c r="M538">
        <v>2.4400000000000002E-2</v>
      </c>
      <c r="N538">
        <f>CONVERT(O538,"lbf","N")</f>
        <v>1064.4594325318376</v>
      </c>
      <c r="O538">
        <v>239.3</v>
      </c>
      <c r="P538">
        <f t="shared" si="8"/>
        <v>0.46387832699619774</v>
      </c>
    </row>
    <row r="539" spans="1:16" hidden="1" x14ac:dyDescent="0.25">
      <c r="A539">
        <v>0</v>
      </c>
      <c r="B539">
        <v>20000</v>
      </c>
      <c r="C539">
        <f>1.225 * (1 - 0.00000687559 * B539) ^ 4.2561</f>
        <v>0.65267221054298263</v>
      </c>
      <c r="D539">
        <f>E539*(SQRT($C$2/C539))</f>
        <v>219.19995777331309</v>
      </c>
      <c r="E539">
        <v>160</v>
      </c>
      <c r="F539">
        <v>987</v>
      </c>
      <c r="G539">
        <v>200</v>
      </c>
      <c r="H539">
        <f>CONVERT(G539,"HP","kW")</f>
        <v>149.13997431645407</v>
      </c>
      <c r="I539">
        <v>0.64070000000000005</v>
      </c>
      <c r="J539">
        <v>1.73</v>
      </c>
      <c r="K539">
        <v>0.57709999999999995</v>
      </c>
      <c r="L539">
        <v>5.2600000000000001E-2</v>
      </c>
      <c r="M539">
        <v>1.95E-2</v>
      </c>
      <c r="N539">
        <f>CONVERT(O539,"lbf","N")</f>
        <v>847.3862177071253</v>
      </c>
      <c r="O539">
        <v>190.5</v>
      </c>
      <c r="P539">
        <f t="shared" si="8"/>
        <v>0.37072243346007605</v>
      </c>
    </row>
    <row r="540" spans="1:16" hidden="1" x14ac:dyDescent="0.25">
      <c r="A540">
        <v>0</v>
      </c>
      <c r="B540">
        <v>20000</v>
      </c>
      <c r="C540">
        <f>1.225 * (1 - 0.00000687559 * B540) ^ 4.2561</f>
        <v>0.65267221054298263</v>
      </c>
      <c r="D540">
        <f>E540*(SQRT($C$2/C540))</f>
        <v>301.39994193830552</v>
      </c>
      <c r="E540">
        <v>220</v>
      </c>
      <c r="F540">
        <v>987</v>
      </c>
      <c r="G540">
        <v>200</v>
      </c>
      <c r="H540">
        <f>CONVERT(G540,"HP","kW")</f>
        <v>149.13997431645407</v>
      </c>
      <c r="I540">
        <v>0.20749999999999999</v>
      </c>
      <c r="J540">
        <v>2.3786999999999998</v>
      </c>
      <c r="K540">
        <v>0.66820000000000002</v>
      </c>
      <c r="L540">
        <v>5.2600000000000001E-2</v>
      </c>
      <c r="M540">
        <v>4.5999999999999999E-3</v>
      </c>
      <c r="N540">
        <f>CONVERT(O540,"lbf","N")</f>
        <v>199.72515052519645</v>
      </c>
      <c r="O540">
        <v>44.9</v>
      </c>
      <c r="P540">
        <f t="shared" si="8"/>
        <v>8.7452471482889732E-2</v>
      </c>
    </row>
    <row r="541" spans="1:16" hidden="1" x14ac:dyDescent="0.25">
      <c r="A541">
        <v>0</v>
      </c>
      <c r="B541">
        <v>20000</v>
      </c>
      <c r="C541">
        <f>1.225 * (1 - 0.00000687559 * B541) ^ 4.2561</f>
        <v>0.65267221054298263</v>
      </c>
      <c r="D541">
        <f>E541*(SQRT($C$2/C541))</f>
        <v>356.19993138163375</v>
      </c>
      <c r="E541">
        <v>260</v>
      </c>
      <c r="F541">
        <v>987</v>
      </c>
      <c r="G541">
        <v>200</v>
      </c>
      <c r="H541">
        <f>CONVERT(G541,"HP","kW")</f>
        <v>149.13997431645407</v>
      </c>
      <c r="I541">
        <v>-0.5867</v>
      </c>
      <c r="J541">
        <v>2.8111999999999999</v>
      </c>
      <c r="K541">
        <v>0.73609999999999998</v>
      </c>
      <c r="L541">
        <v>5.2600000000000001E-2</v>
      </c>
      <c r="M541">
        <v>-1.0999999999999999E-2</v>
      </c>
      <c r="N541">
        <f>CONVERT(O541,"lbf","N")</f>
        <v>-477.73900147897774</v>
      </c>
      <c r="O541">
        <v>-107.4</v>
      </c>
      <c r="P541">
        <f t="shared" si="8"/>
        <v>-0.20912547528517109</v>
      </c>
    </row>
    <row r="542" spans="1:16" hidden="1" x14ac:dyDescent="0.25">
      <c r="A542">
        <v>0</v>
      </c>
      <c r="B542">
        <v>15000</v>
      </c>
      <c r="C542">
        <f>1.225 * (1 - 0.00000687559 * B542) ^ 4.2561</f>
        <v>0.77079726910167001</v>
      </c>
      <c r="D542">
        <f>E542*(SQRT($C$2/C542))</f>
        <v>201.70559422026446</v>
      </c>
      <c r="E542">
        <v>160</v>
      </c>
      <c r="F542">
        <v>987</v>
      </c>
      <c r="G542">
        <v>250</v>
      </c>
      <c r="H542">
        <f>CONVERT(G542,"HP","kW")</f>
        <v>186.42496789556756</v>
      </c>
      <c r="I542">
        <v>0.7127</v>
      </c>
      <c r="J542">
        <v>1.5919000000000001</v>
      </c>
      <c r="K542">
        <v>0.54910000000000003</v>
      </c>
      <c r="L542">
        <v>5.5500000000000001E-2</v>
      </c>
      <c r="M542">
        <v>2.4899999999999999E-2</v>
      </c>
      <c r="N542">
        <f>CONVERT(O542,"lbf","N")</f>
        <v>1280.198180871972</v>
      </c>
      <c r="O542">
        <v>287.8</v>
      </c>
      <c r="P542">
        <f t="shared" si="8"/>
        <v>0.44864864864864862</v>
      </c>
    </row>
    <row r="543" spans="1:16" hidden="1" x14ac:dyDescent="0.25">
      <c r="A543" s="4">
        <v>0</v>
      </c>
      <c r="B543" s="4">
        <v>15000</v>
      </c>
      <c r="C543" s="4">
        <f>1.225 * (1 - 0.00000687559 * B543) ^ 4.2561</f>
        <v>0.77079726910167001</v>
      </c>
      <c r="D543" s="4">
        <f>E543*(SQRT($C$2/C543))</f>
        <v>252.13199277533059</v>
      </c>
      <c r="E543" s="4">
        <v>200</v>
      </c>
      <c r="F543" s="4">
        <v>987</v>
      </c>
      <c r="G543" s="4">
        <v>250</v>
      </c>
      <c r="H543" s="4">
        <f>CONVERT(G543,"HP","kW")</f>
        <v>186.42496789556756</v>
      </c>
      <c r="I543" s="4">
        <v>0.56530000000000002</v>
      </c>
      <c r="J543" s="4">
        <v>1.9899</v>
      </c>
      <c r="K543" s="4">
        <v>0.5998</v>
      </c>
      <c r="L543" s="4">
        <v>5.5500000000000001E-2</v>
      </c>
      <c r="M543" s="4">
        <v>1.5800000000000002E-2</v>
      </c>
      <c r="N543" s="4">
        <f>CONVERT(O543,"lbf","N")</f>
        <v>812.69008910809339</v>
      </c>
      <c r="O543" s="4">
        <v>182.7</v>
      </c>
      <c r="P543">
        <f t="shared" si="8"/>
        <v>0.28468468468468472</v>
      </c>
    </row>
    <row r="544" spans="1:16" hidden="1" x14ac:dyDescent="0.25">
      <c r="A544">
        <v>0</v>
      </c>
      <c r="B544">
        <v>15000</v>
      </c>
      <c r="C544">
        <f>1.225 * (1 - 0.00000687559 * B544) ^ 4.2561</f>
        <v>0.77079726910167001</v>
      </c>
      <c r="D544">
        <f>E544*(SQRT($C$2/C544))</f>
        <v>0</v>
      </c>
      <c r="E544">
        <v>0</v>
      </c>
      <c r="F544">
        <v>987</v>
      </c>
      <c r="G544">
        <v>250</v>
      </c>
      <c r="H544">
        <f>CONVERT(G544,"HP","kW")</f>
        <v>186.42496789556756</v>
      </c>
      <c r="I544">
        <v>0</v>
      </c>
      <c r="J544">
        <v>0</v>
      </c>
      <c r="K544">
        <v>0.43890000000000001</v>
      </c>
      <c r="L544">
        <v>5.5599999999999997E-2</v>
      </c>
      <c r="M544">
        <v>0.1394</v>
      </c>
      <c r="N544">
        <f>CONVERT(O544,"lbf","N")</f>
        <v>7166.9746665077182</v>
      </c>
      <c r="O544">
        <v>1611.2</v>
      </c>
      <c r="P544">
        <f t="shared" si="8"/>
        <v>2.5071942446043165</v>
      </c>
    </row>
    <row r="545" spans="1:16" hidden="1" x14ac:dyDescent="0.25">
      <c r="A545">
        <v>0</v>
      </c>
      <c r="B545">
        <v>15000</v>
      </c>
      <c r="C545">
        <f>1.225 * (1 - 0.00000687559 * B545) ^ 4.2561</f>
        <v>0.77079726910167001</v>
      </c>
      <c r="D545">
        <f>E545*(SQRT($C$2/C545))</f>
        <v>25.213199277533057</v>
      </c>
      <c r="E545">
        <v>20</v>
      </c>
      <c r="F545">
        <v>987</v>
      </c>
      <c r="G545">
        <v>250</v>
      </c>
      <c r="H545">
        <f>CONVERT(G545,"HP","kW")</f>
        <v>186.42496789556756</v>
      </c>
      <c r="I545">
        <v>0.40670000000000001</v>
      </c>
      <c r="J545">
        <v>0.19900000000000001</v>
      </c>
      <c r="K545">
        <v>0.44409999999999999</v>
      </c>
      <c r="L545">
        <v>5.5599999999999997E-2</v>
      </c>
      <c r="M545">
        <v>0.1137</v>
      </c>
      <c r="N545">
        <f>CONVERT(O545,"lbf","N")</f>
        <v>5844.9632024522971</v>
      </c>
      <c r="O545">
        <v>1314</v>
      </c>
      <c r="P545">
        <f t="shared" si="8"/>
        <v>2.0449640287769784</v>
      </c>
    </row>
    <row r="546" spans="1:16" hidden="1" x14ac:dyDescent="0.25">
      <c r="A546">
        <v>0</v>
      </c>
      <c r="B546">
        <v>15000</v>
      </c>
      <c r="C546">
        <f>1.225 * (1 - 0.00000687559 * B546) ^ 4.2561</f>
        <v>0.77079726910167001</v>
      </c>
      <c r="D546">
        <f>E546*(SQRT($C$2/C546))</f>
        <v>50.426398555066115</v>
      </c>
      <c r="E546">
        <v>40</v>
      </c>
      <c r="F546">
        <v>987</v>
      </c>
      <c r="G546">
        <v>250</v>
      </c>
      <c r="H546">
        <f>CONVERT(G546,"HP","kW")</f>
        <v>186.42496789556756</v>
      </c>
      <c r="I546">
        <v>0.62919999999999998</v>
      </c>
      <c r="J546">
        <v>0.39800000000000002</v>
      </c>
      <c r="K546">
        <v>0.45100000000000001</v>
      </c>
      <c r="L546">
        <v>5.5599999999999997E-2</v>
      </c>
      <c r="M546">
        <v>8.7999999999999995E-2</v>
      </c>
      <c r="N546">
        <f>CONVERT(O546,"lbf","N")</f>
        <v>4522.0620940738245</v>
      </c>
      <c r="O546">
        <v>1016.6</v>
      </c>
      <c r="P546">
        <f t="shared" si="8"/>
        <v>1.5827338129496402</v>
      </c>
    </row>
    <row r="547" spans="1:16" hidden="1" x14ac:dyDescent="0.25">
      <c r="A547">
        <v>0</v>
      </c>
      <c r="B547">
        <v>15000</v>
      </c>
      <c r="C547">
        <f>1.225 * (1 - 0.00000687559 * B547) ^ 4.2561</f>
        <v>0.77079726910167001</v>
      </c>
      <c r="D547">
        <f>E547*(SQRT($C$2/C547))</f>
        <v>75.639597832599179</v>
      </c>
      <c r="E547">
        <v>60</v>
      </c>
      <c r="F547">
        <v>987</v>
      </c>
      <c r="G547">
        <v>250</v>
      </c>
      <c r="H547">
        <f>CONVERT(G547,"HP","kW")</f>
        <v>186.42496789556756</v>
      </c>
      <c r="I547">
        <v>0.72789999999999999</v>
      </c>
      <c r="J547">
        <v>0.59699999999999998</v>
      </c>
      <c r="K547">
        <v>0.46050000000000002</v>
      </c>
      <c r="L547">
        <v>5.5599999999999997E-2</v>
      </c>
      <c r="M547">
        <v>6.7799999999999999E-2</v>
      </c>
      <c r="N547">
        <f>CONVERT(O547,"lbf","N")</f>
        <v>3487.4057463642325</v>
      </c>
      <c r="O547">
        <v>784</v>
      </c>
      <c r="P547">
        <f t="shared" si="8"/>
        <v>1.2194244604316546</v>
      </c>
    </row>
    <row r="548" spans="1:16" hidden="1" x14ac:dyDescent="0.25">
      <c r="A548">
        <v>0</v>
      </c>
      <c r="B548">
        <v>15000</v>
      </c>
      <c r="C548">
        <f>1.225 * (1 - 0.00000687559 * B548) ^ 4.2561</f>
        <v>0.77079726910167001</v>
      </c>
      <c r="D548">
        <f>E548*(SQRT($C$2/C548))</f>
        <v>126.06599638766529</v>
      </c>
      <c r="E548">
        <v>100</v>
      </c>
      <c r="F548">
        <v>987</v>
      </c>
      <c r="G548">
        <v>250</v>
      </c>
      <c r="H548">
        <f>CONVERT(G548,"HP","kW")</f>
        <v>186.42496789556756</v>
      </c>
      <c r="I548">
        <v>0.77900000000000003</v>
      </c>
      <c r="J548">
        <v>0.995</v>
      </c>
      <c r="K548">
        <v>0.48809999999999998</v>
      </c>
      <c r="L548">
        <v>5.5599999999999997E-2</v>
      </c>
      <c r="M548">
        <v>4.36E-2</v>
      </c>
      <c r="N548">
        <f>CONVERT(O548,"lbf","N")</f>
        <v>2239.2347611221353</v>
      </c>
      <c r="O548">
        <v>503.4</v>
      </c>
      <c r="P548">
        <f t="shared" si="8"/>
        <v>0.78417266187050361</v>
      </c>
    </row>
    <row r="549" spans="1:16" hidden="1" x14ac:dyDescent="0.25">
      <c r="A549">
        <v>0</v>
      </c>
      <c r="B549">
        <v>15000</v>
      </c>
      <c r="C549">
        <f>1.225 * (1 - 0.00000687559 * B549) ^ 4.2561</f>
        <v>0.77079726910167001</v>
      </c>
      <c r="D549">
        <f>E549*(SQRT($C$2/C549))</f>
        <v>151.27919566519836</v>
      </c>
      <c r="E549">
        <v>120</v>
      </c>
      <c r="F549">
        <v>987</v>
      </c>
      <c r="G549">
        <v>250</v>
      </c>
      <c r="H549">
        <f>CONVERT(G549,"HP","kW")</f>
        <v>186.42496789556756</v>
      </c>
      <c r="I549">
        <v>0.77229999999999999</v>
      </c>
      <c r="J549">
        <v>1.1939</v>
      </c>
      <c r="K549">
        <v>0.50609999999999999</v>
      </c>
      <c r="L549">
        <v>5.5599999999999997E-2</v>
      </c>
      <c r="M549">
        <v>3.5999999999999997E-2</v>
      </c>
      <c r="N549">
        <f>CONVERT(O549,"lbf","N")</f>
        <v>1850.0153697868418</v>
      </c>
      <c r="O549">
        <v>415.9</v>
      </c>
      <c r="P549">
        <f t="shared" si="8"/>
        <v>0.64748201438848918</v>
      </c>
    </row>
    <row r="550" spans="1:16" hidden="1" x14ac:dyDescent="0.25">
      <c r="A550">
        <v>0</v>
      </c>
      <c r="B550">
        <v>15000</v>
      </c>
      <c r="C550">
        <f>1.225 * (1 - 0.00000687559 * B550) ^ 4.2561</f>
        <v>0.77079726910167001</v>
      </c>
      <c r="D550">
        <f>E550*(SQRT($C$2/C550))</f>
        <v>176.49239494273141</v>
      </c>
      <c r="E550">
        <v>140</v>
      </c>
      <c r="F550">
        <v>987</v>
      </c>
      <c r="G550">
        <v>250</v>
      </c>
      <c r="H550">
        <f>CONVERT(G550,"HP","kW")</f>
        <v>186.42496789556756</v>
      </c>
      <c r="I550">
        <v>0.75119999999999998</v>
      </c>
      <c r="J550">
        <v>1.3929</v>
      </c>
      <c r="K550">
        <v>0.52649999999999997</v>
      </c>
      <c r="L550">
        <v>5.5599999999999997E-2</v>
      </c>
      <c r="M550">
        <v>0.03</v>
      </c>
      <c r="N550">
        <f>CONVERT(O550,"lbf","N")</f>
        <v>1542.1984340108154</v>
      </c>
      <c r="O550">
        <v>346.7</v>
      </c>
      <c r="P550">
        <f t="shared" si="8"/>
        <v>0.53956834532374098</v>
      </c>
    </row>
    <row r="551" spans="1:16" hidden="1" x14ac:dyDescent="0.25">
      <c r="A551">
        <v>0</v>
      </c>
      <c r="B551">
        <v>15000</v>
      </c>
      <c r="C551">
        <f>1.225 * (1 - 0.00000687559 * B551) ^ 4.2561</f>
        <v>0.77079726910167001</v>
      </c>
      <c r="D551">
        <f>E551*(SQRT($C$2/C551))</f>
        <v>226.91879349779754</v>
      </c>
      <c r="E551">
        <v>180</v>
      </c>
      <c r="F551">
        <v>987</v>
      </c>
      <c r="G551">
        <v>250</v>
      </c>
      <c r="H551">
        <f>CONVERT(G551,"HP","kW")</f>
        <v>186.42496789556756</v>
      </c>
      <c r="I551">
        <v>0.65300000000000002</v>
      </c>
      <c r="J551">
        <v>1.7908999999999999</v>
      </c>
      <c r="K551">
        <v>0.5736</v>
      </c>
      <c r="L551">
        <v>5.5599999999999997E-2</v>
      </c>
      <c r="M551">
        <v>2.0299999999999999E-2</v>
      </c>
      <c r="N551">
        <f>CONVERT(O551,"lbf","N")</f>
        <v>1042.6631466170611</v>
      </c>
      <c r="O551">
        <v>234.4</v>
      </c>
      <c r="P551">
        <f t="shared" si="8"/>
        <v>0.36510791366906475</v>
      </c>
    </row>
    <row r="552" spans="1:16" hidden="1" x14ac:dyDescent="0.25">
      <c r="A552">
        <v>0</v>
      </c>
      <c r="B552">
        <v>15000</v>
      </c>
      <c r="C552">
        <f>1.225 * (1 - 0.00000687559 * B552) ^ 4.2561</f>
        <v>0.77079726910167001</v>
      </c>
      <c r="D552">
        <f>E552*(SQRT($C$2/C552))</f>
        <v>277.34519205286364</v>
      </c>
      <c r="E552">
        <v>220</v>
      </c>
      <c r="F552">
        <v>987</v>
      </c>
      <c r="G552">
        <v>250</v>
      </c>
      <c r="H552">
        <f>CONVERT(G552,"HP","kW")</f>
        <v>186.42496789556756</v>
      </c>
      <c r="I552">
        <v>0.44290000000000002</v>
      </c>
      <c r="J552">
        <v>2.1888999999999998</v>
      </c>
      <c r="K552">
        <v>0.62760000000000005</v>
      </c>
      <c r="L552">
        <v>5.5599999999999997E-2</v>
      </c>
      <c r="M552">
        <v>1.1299999999999999E-2</v>
      </c>
      <c r="N552">
        <f>CONVERT(O552,"lbf","N")</f>
        <v>578.71363214539099</v>
      </c>
      <c r="O552">
        <v>130.1</v>
      </c>
      <c r="P552">
        <f t="shared" si="8"/>
        <v>0.20323741007194246</v>
      </c>
    </row>
    <row r="553" spans="1:16" hidden="1" x14ac:dyDescent="0.25">
      <c r="A553">
        <v>0</v>
      </c>
      <c r="B553">
        <v>15000</v>
      </c>
      <c r="C553">
        <f>1.225 * (1 - 0.00000687559 * B553) ^ 4.2561</f>
        <v>0.77079726910167001</v>
      </c>
      <c r="D553">
        <f>E553*(SQRT($C$2/C553))</f>
        <v>302.55839133039672</v>
      </c>
      <c r="E553">
        <v>240</v>
      </c>
      <c r="F553">
        <v>987</v>
      </c>
      <c r="G553">
        <v>250</v>
      </c>
      <c r="H553">
        <f>CONVERT(G553,"HP","kW")</f>
        <v>186.42496789556756</v>
      </c>
      <c r="I553">
        <v>0.27650000000000002</v>
      </c>
      <c r="J553">
        <v>2.3879000000000001</v>
      </c>
      <c r="K553">
        <v>0.65659999999999996</v>
      </c>
      <c r="L553">
        <v>5.5599999999999997E-2</v>
      </c>
      <c r="M553">
        <v>6.4000000000000003E-3</v>
      </c>
      <c r="N553">
        <f>CONVERT(O553,"lbf","N")</f>
        <v>331.39251033690726</v>
      </c>
      <c r="O553">
        <v>74.5</v>
      </c>
      <c r="P553">
        <f t="shared" si="8"/>
        <v>0.11510791366906475</v>
      </c>
    </row>
    <row r="554" spans="1:16" hidden="1" x14ac:dyDescent="0.25">
      <c r="A554">
        <v>0</v>
      </c>
      <c r="B554">
        <v>15000</v>
      </c>
      <c r="C554">
        <f>1.225 * (1 - 0.00000687559 * B554) ^ 4.2561</f>
        <v>0.77079726910167001</v>
      </c>
      <c r="D554">
        <f>E554*(SQRT($C$2/C554))</f>
        <v>327.77159060792974</v>
      </c>
      <c r="E554">
        <v>260</v>
      </c>
      <c r="F554">
        <v>987</v>
      </c>
      <c r="G554">
        <v>250</v>
      </c>
      <c r="H554">
        <f>CONVERT(G554,"HP","kW")</f>
        <v>186.42496789556756</v>
      </c>
      <c r="I554">
        <v>3.6900000000000002E-2</v>
      </c>
      <c r="J554">
        <v>2.5869</v>
      </c>
      <c r="K554">
        <v>0.68669999999999998</v>
      </c>
      <c r="L554">
        <v>5.5599999999999997E-2</v>
      </c>
      <c r="M554">
        <v>8.0000000000000004E-4</v>
      </c>
      <c r="N554">
        <f>CONVERT(O554,"lbf","N")</f>
        <v>40.923638860396601</v>
      </c>
      <c r="O554">
        <v>9.1999999999999993</v>
      </c>
      <c r="P554">
        <f t="shared" si="8"/>
        <v>1.4388489208633094E-2</v>
      </c>
    </row>
    <row r="555" spans="1:16" hidden="1" x14ac:dyDescent="0.25">
      <c r="A555">
        <v>0</v>
      </c>
      <c r="B555">
        <v>15000</v>
      </c>
      <c r="C555">
        <f>1.225 * (1 - 0.00000687559 * B555) ^ 4.2561</f>
        <v>0.77079726910167001</v>
      </c>
      <c r="D555">
        <f>E555*(SQRT($C$2/C555))</f>
        <v>100.85279711013223</v>
      </c>
      <c r="E555">
        <v>80</v>
      </c>
      <c r="F555">
        <v>987</v>
      </c>
      <c r="G555">
        <v>250</v>
      </c>
      <c r="H555">
        <f>CONVERT(G555,"HP","kW")</f>
        <v>186.42496789556756</v>
      </c>
      <c r="I555">
        <v>0.76780000000000004</v>
      </c>
      <c r="J555">
        <v>0.79600000000000004</v>
      </c>
      <c r="K555">
        <v>0.4728</v>
      </c>
      <c r="L555">
        <v>5.57E-2</v>
      </c>
      <c r="M555">
        <v>5.3699999999999998E-2</v>
      </c>
      <c r="N555">
        <f>CONVERT(O555,"lbf","N")</f>
        <v>2758.7870457845625</v>
      </c>
      <c r="O555">
        <v>620.20000000000005</v>
      </c>
      <c r="P555">
        <f t="shared" si="8"/>
        <v>0.96409335727109513</v>
      </c>
    </row>
    <row r="556" spans="1:16" hidden="1" x14ac:dyDescent="0.25">
      <c r="A556">
        <v>0</v>
      </c>
      <c r="B556">
        <v>0</v>
      </c>
      <c r="C556">
        <f>1.225 * (1 - 0.00000687559 * B556) ^ 4.2561</f>
        <v>1.2250000000000001</v>
      </c>
      <c r="D556">
        <f>E556*(SQRT($C$2/C556))</f>
        <v>0</v>
      </c>
      <c r="E556">
        <v>0</v>
      </c>
      <c r="F556">
        <v>1215</v>
      </c>
      <c r="G556">
        <v>750</v>
      </c>
      <c r="H556">
        <f>CONVERT(G556,"HP","kW")</f>
        <v>559.27490368670271</v>
      </c>
      <c r="I556">
        <v>0</v>
      </c>
      <c r="J556">
        <v>0</v>
      </c>
      <c r="K556">
        <v>0.51160000000000005</v>
      </c>
      <c r="L556">
        <v>5.6300000000000003E-2</v>
      </c>
      <c r="M556">
        <v>0.1404</v>
      </c>
      <c r="N556">
        <f>CONVERT(O556,"lbf","N")</f>
        <v>17385.874183245665</v>
      </c>
      <c r="O556">
        <v>3908.5</v>
      </c>
      <c r="P556">
        <f t="shared" si="8"/>
        <v>2.4937833037300177</v>
      </c>
    </row>
    <row r="557" spans="1:16" hidden="1" x14ac:dyDescent="0.25">
      <c r="A557">
        <v>0</v>
      </c>
      <c r="B557">
        <v>0</v>
      </c>
      <c r="C557">
        <f>1.225 * (1 - 0.00000687559 * B557) ^ 4.2561</f>
        <v>1.2250000000000001</v>
      </c>
      <c r="D557">
        <f>E557*(SQRT($C$2/C557))</f>
        <v>20</v>
      </c>
      <c r="E557">
        <v>20</v>
      </c>
      <c r="F557">
        <v>1215</v>
      </c>
      <c r="G557">
        <v>750</v>
      </c>
      <c r="H557">
        <f>CONVERT(G557,"HP","kW")</f>
        <v>559.27490368670271</v>
      </c>
      <c r="I557">
        <v>0.28199999999999997</v>
      </c>
      <c r="J557">
        <v>0.12820000000000001</v>
      </c>
      <c r="K557">
        <v>0.51529999999999998</v>
      </c>
      <c r="L557">
        <v>5.6300000000000003E-2</v>
      </c>
      <c r="M557">
        <v>0.12379999999999999</v>
      </c>
      <c r="N557">
        <f>CONVERT(O557,"lbf","N")</f>
        <v>15329.461330510736</v>
      </c>
      <c r="O557">
        <v>3446.2</v>
      </c>
      <c r="P557">
        <f t="shared" si="8"/>
        <v>2.1989342806394312</v>
      </c>
    </row>
    <row r="558" spans="1:16" hidden="1" x14ac:dyDescent="0.25">
      <c r="A558">
        <v>0</v>
      </c>
      <c r="B558">
        <v>0</v>
      </c>
      <c r="C558">
        <f>1.225 * (1 - 0.00000687559 * B558) ^ 4.2561</f>
        <v>1.2250000000000001</v>
      </c>
      <c r="D558">
        <f>E558*(SQRT($C$2/C558))</f>
        <v>40</v>
      </c>
      <c r="E558">
        <v>40</v>
      </c>
      <c r="F558">
        <v>1215</v>
      </c>
      <c r="G558">
        <v>750</v>
      </c>
      <c r="H558">
        <f>CONVERT(G558,"HP","kW")</f>
        <v>559.27490368670271</v>
      </c>
      <c r="I558">
        <v>0.48299999999999998</v>
      </c>
      <c r="J558">
        <v>0.25650000000000001</v>
      </c>
      <c r="K558">
        <v>0.51980000000000004</v>
      </c>
      <c r="L558">
        <v>5.6300000000000003E-2</v>
      </c>
      <c r="M558">
        <v>0.106</v>
      </c>
      <c r="N558">
        <f>CONVERT(O558,"lbf","N")</f>
        <v>13127.591630956787</v>
      </c>
      <c r="O558">
        <v>2951.2</v>
      </c>
      <c r="P558">
        <f t="shared" si="8"/>
        <v>1.8827708703374777</v>
      </c>
    </row>
    <row r="559" spans="1:16" hidden="1" x14ac:dyDescent="0.25">
      <c r="A559">
        <v>0</v>
      </c>
      <c r="B559">
        <v>0</v>
      </c>
      <c r="C559">
        <f>1.225 * (1 - 0.00000687559 * B559) ^ 4.2561</f>
        <v>1.2250000000000001</v>
      </c>
      <c r="D559">
        <f>E559*(SQRT($C$2/C559))</f>
        <v>60</v>
      </c>
      <c r="E559">
        <v>60</v>
      </c>
      <c r="F559">
        <v>1215</v>
      </c>
      <c r="G559">
        <v>750</v>
      </c>
      <c r="H559">
        <f>CONVERT(G559,"HP","kW")</f>
        <v>559.27490368670271</v>
      </c>
      <c r="I559">
        <v>0.60550000000000004</v>
      </c>
      <c r="J559">
        <v>0.38469999999999999</v>
      </c>
      <c r="K559">
        <v>0.5252</v>
      </c>
      <c r="L559">
        <v>5.6300000000000003E-2</v>
      </c>
      <c r="M559">
        <v>8.8599999999999998E-2</v>
      </c>
      <c r="N559">
        <f>CONVERT(O559,"lbf","N")</f>
        <v>10971.983436201548</v>
      </c>
      <c r="O559">
        <v>2466.6</v>
      </c>
      <c r="P559">
        <f t="shared" si="8"/>
        <v>1.5737122557726464</v>
      </c>
    </row>
    <row r="560" spans="1:16" hidden="1" x14ac:dyDescent="0.25">
      <c r="A560">
        <v>0</v>
      </c>
      <c r="B560">
        <v>0</v>
      </c>
      <c r="C560">
        <f>1.225 * (1 - 0.00000687559 * B560) ^ 4.2561</f>
        <v>1.2250000000000001</v>
      </c>
      <c r="D560">
        <f>E560*(SQRT($C$2/C560))</f>
        <v>80</v>
      </c>
      <c r="E560">
        <v>80</v>
      </c>
      <c r="F560">
        <v>1215</v>
      </c>
      <c r="G560">
        <v>750</v>
      </c>
      <c r="H560">
        <f>CONVERT(G560,"HP","kW")</f>
        <v>559.27490368670271</v>
      </c>
      <c r="I560">
        <v>0.67449999999999999</v>
      </c>
      <c r="J560">
        <v>0.51290000000000002</v>
      </c>
      <c r="K560">
        <v>0.53180000000000005</v>
      </c>
      <c r="L560">
        <v>5.6300000000000003E-2</v>
      </c>
      <c r="M560">
        <v>7.3999999999999996E-2</v>
      </c>
      <c r="N560">
        <f>CONVERT(O560,"lbf","N")</f>
        <v>9166.0054604057859</v>
      </c>
      <c r="O560">
        <v>2060.6</v>
      </c>
      <c r="P560">
        <f t="shared" si="8"/>
        <v>1.3143872113676731</v>
      </c>
    </row>
    <row r="561" spans="1:16" hidden="1" x14ac:dyDescent="0.25">
      <c r="A561">
        <v>0</v>
      </c>
      <c r="B561">
        <v>0</v>
      </c>
      <c r="C561">
        <f>1.225 * (1 - 0.00000687559 * B561) ^ 4.2561</f>
        <v>1.2250000000000001</v>
      </c>
      <c r="D561">
        <f>E561*(SQRT($C$2/C561))</f>
        <v>100</v>
      </c>
      <c r="E561">
        <v>100</v>
      </c>
      <c r="F561">
        <v>1215</v>
      </c>
      <c r="G561">
        <v>750</v>
      </c>
      <c r="H561">
        <f>CONVERT(G561,"HP","kW")</f>
        <v>559.27490368670271</v>
      </c>
      <c r="I561">
        <v>0.71220000000000006</v>
      </c>
      <c r="J561">
        <v>0.6411</v>
      </c>
      <c r="K561">
        <v>0.53969999999999996</v>
      </c>
      <c r="L561">
        <v>5.6300000000000003E-2</v>
      </c>
      <c r="M561">
        <v>6.25E-2</v>
      </c>
      <c r="N561">
        <f>CONVERT(O561,"lbf","N")</f>
        <v>7742.5745435224262</v>
      </c>
      <c r="O561">
        <v>1740.6</v>
      </c>
      <c r="P561">
        <f t="shared" si="8"/>
        <v>1.1101243339253997</v>
      </c>
    </row>
    <row r="562" spans="1:16" hidden="1" x14ac:dyDescent="0.25">
      <c r="A562">
        <v>0</v>
      </c>
      <c r="B562">
        <v>0</v>
      </c>
      <c r="C562">
        <f>1.225 * (1 - 0.00000687559 * B562) ^ 4.2561</f>
        <v>1.2250000000000001</v>
      </c>
      <c r="D562">
        <f>E562*(SQRT($C$2/C562))</f>
        <v>120</v>
      </c>
      <c r="E562">
        <v>120</v>
      </c>
      <c r="F562">
        <v>1215</v>
      </c>
      <c r="G562">
        <v>750</v>
      </c>
      <c r="H562">
        <f>CONVERT(G562,"HP","kW")</f>
        <v>559.27490368670271</v>
      </c>
      <c r="I562">
        <v>0.73060000000000003</v>
      </c>
      <c r="J562">
        <v>0.76939999999999997</v>
      </c>
      <c r="K562">
        <v>0.54910000000000003</v>
      </c>
      <c r="L562">
        <v>5.6300000000000003E-2</v>
      </c>
      <c r="M562">
        <v>5.3499999999999999E-2</v>
      </c>
      <c r="N562">
        <f>CONVERT(O562,"lbf","N")</f>
        <v>6619.3985856691506</v>
      </c>
      <c r="O562">
        <v>1488.1</v>
      </c>
      <c r="P562">
        <f t="shared" si="8"/>
        <v>0.95026642984014198</v>
      </c>
    </row>
    <row r="563" spans="1:16" hidden="1" x14ac:dyDescent="0.25">
      <c r="A563">
        <v>0</v>
      </c>
      <c r="B563">
        <v>0</v>
      </c>
      <c r="C563">
        <f>1.225 * (1 - 0.00000687559 * B563) ^ 4.2561</f>
        <v>1.2250000000000001</v>
      </c>
      <c r="D563">
        <f>E563*(SQRT($C$2/C563))</f>
        <v>140</v>
      </c>
      <c r="E563">
        <v>140</v>
      </c>
      <c r="F563">
        <v>1215</v>
      </c>
      <c r="G563">
        <v>750</v>
      </c>
      <c r="H563">
        <f>CONVERT(G563,"HP","kW")</f>
        <v>559.27490368670271</v>
      </c>
      <c r="I563">
        <v>0.73780000000000001</v>
      </c>
      <c r="J563">
        <v>0.89759999999999995</v>
      </c>
      <c r="K563">
        <v>0.55989999999999995</v>
      </c>
      <c r="L563">
        <v>5.6300000000000003E-2</v>
      </c>
      <c r="M563">
        <v>4.6300000000000001E-2</v>
      </c>
      <c r="N563">
        <f>CONVERT(O563,"lbf","N")</f>
        <v>5728.8646182939983</v>
      </c>
      <c r="O563">
        <v>1287.9000000000001</v>
      </c>
      <c r="P563">
        <f t="shared" si="8"/>
        <v>0.82238010657193605</v>
      </c>
    </row>
    <row r="564" spans="1:16" hidden="1" x14ac:dyDescent="0.25">
      <c r="A564">
        <v>0</v>
      </c>
      <c r="B564">
        <v>0</v>
      </c>
      <c r="C564">
        <f>1.225 * (1 - 0.00000687559 * B564) ^ 4.2561</f>
        <v>1.2250000000000001</v>
      </c>
      <c r="D564">
        <f>E564*(SQRT($C$2/C564))</f>
        <v>160</v>
      </c>
      <c r="E564">
        <v>160</v>
      </c>
      <c r="F564">
        <v>1215</v>
      </c>
      <c r="G564">
        <v>750</v>
      </c>
      <c r="H564">
        <f>CONVERT(G564,"HP","kW")</f>
        <v>559.27490368670271</v>
      </c>
      <c r="I564">
        <v>0.7369</v>
      </c>
      <c r="J564">
        <v>1.0258</v>
      </c>
      <c r="K564">
        <v>0.57210000000000005</v>
      </c>
      <c r="L564">
        <v>5.6300000000000003E-2</v>
      </c>
      <c r="M564">
        <v>4.0399999999999998E-2</v>
      </c>
      <c r="N564">
        <f>CONVERT(O564,"lbf","N")</f>
        <v>5006.9182501372179</v>
      </c>
      <c r="O564">
        <v>1125.5999999999999</v>
      </c>
      <c r="P564">
        <f t="shared" si="8"/>
        <v>0.71758436944937831</v>
      </c>
    </row>
    <row r="565" spans="1:16" hidden="1" x14ac:dyDescent="0.25">
      <c r="A565">
        <v>0</v>
      </c>
      <c r="B565">
        <v>0</v>
      </c>
      <c r="C565">
        <f>1.225 * (1 - 0.00000687559 * B565) ^ 4.2561</f>
        <v>1.2250000000000001</v>
      </c>
      <c r="D565">
        <f>E565*(SQRT($C$2/C565))</f>
        <v>180</v>
      </c>
      <c r="E565">
        <v>180</v>
      </c>
      <c r="F565">
        <v>1215</v>
      </c>
      <c r="G565">
        <v>750</v>
      </c>
      <c r="H565">
        <f>CONVERT(G565,"HP","kW")</f>
        <v>559.27490368670271</v>
      </c>
      <c r="I565">
        <v>0.72919999999999996</v>
      </c>
      <c r="J565">
        <v>1.1540999999999999</v>
      </c>
      <c r="K565">
        <v>0.58550000000000002</v>
      </c>
      <c r="L565">
        <v>5.6300000000000003E-2</v>
      </c>
      <c r="M565">
        <v>3.56E-2</v>
      </c>
      <c r="N565">
        <f>CONVERT(O565,"lbf","N")</f>
        <v>4404.184221269421</v>
      </c>
      <c r="O565">
        <v>990.1</v>
      </c>
      <c r="P565">
        <f t="shared" si="8"/>
        <v>0.63232682060390755</v>
      </c>
    </row>
    <row r="566" spans="1:16" hidden="1" x14ac:dyDescent="0.25">
      <c r="A566">
        <v>0</v>
      </c>
      <c r="B566">
        <v>0</v>
      </c>
      <c r="C566">
        <f>1.225 * (1 - 0.00000687559 * B566) ^ 4.2561</f>
        <v>1.2250000000000001</v>
      </c>
      <c r="D566">
        <f>E566*(SQRT($C$2/C566))</f>
        <v>200</v>
      </c>
      <c r="E566">
        <v>200</v>
      </c>
      <c r="F566">
        <v>1215</v>
      </c>
      <c r="G566">
        <v>750</v>
      </c>
      <c r="H566">
        <f>CONVERT(G566,"HP","kW")</f>
        <v>559.27490368670271</v>
      </c>
      <c r="I566">
        <v>0.71589999999999998</v>
      </c>
      <c r="J566">
        <v>1.2823</v>
      </c>
      <c r="K566">
        <v>0.60019999999999996</v>
      </c>
      <c r="L566">
        <v>5.6300000000000003E-2</v>
      </c>
      <c r="M566">
        <v>3.1399999999999997E-2</v>
      </c>
      <c r="N566">
        <f>CONVERT(O566,"lbf","N")</f>
        <v>3891.3042690298857</v>
      </c>
      <c r="O566">
        <v>874.8</v>
      </c>
      <c r="P566">
        <f t="shared" si="8"/>
        <v>0.55772646536412074</v>
      </c>
    </row>
    <row r="567" spans="1:16" hidden="1" x14ac:dyDescent="0.25">
      <c r="A567">
        <v>0</v>
      </c>
      <c r="B567">
        <v>0</v>
      </c>
      <c r="C567">
        <f>1.225 * (1 - 0.00000687559 * B567) ^ 4.2561</f>
        <v>1.2250000000000001</v>
      </c>
      <c r="D567">
        <f>E567*(SQRT($C$2/C567))</f>
        <v>220</v>
      </c>
      <c r="E567">
        <v>220</v>
      </c>
      <c r="F567">
        <v>1215</v>
      </c>
      <c r="G567">
        <v>750</v>
      </c>
      <c r="H567">
        <f>CONVERT(G567,"HP","kW")</f>
        <v>559.27490368670271</v>
      </c>
      <c r="I567">
        <v>0.69689999999999996</v>
      </c>
      <c r="J567">
        <v>1.4105000000000001</v>
      </c>
      <c r="K567">
        <v>0.61599999999999999</v>
      </c>
      <c r="L567">
        <v>5.6300000000000003E-2</v>
      </c>
      <c r="M567">
        <v>2.7799999999999998E-2</v>
      </c>
      <c r="N567">
        <f>CONVERT(O567,"lbf","N")</f>
        <v>3443.8131745346795</v>
      </c>
      <c r="O567">
        <v>774.2</v>
      </c>
      <c r="P567">
        <f t="shared" si="8"/>
        <v>0.49378330373001772</v>
      </c>
    </row>
    <row r="568" spans="1:16" hidden="1" x14ac:dyDescent="0.25">
      <c r="A568">
        <v>0</v>
      </c>
      <c r="B568">
        <v>0</v>
      </c>
      <c r="C568">
        <f>1.225 * (1 - 0.00000687559 * B568) ^ 4.2561</f>
        <v>1.2250000000000001</v>
      </c>
      <c r="D568">
        <f>E568*(SQRT($C$2/C568))</f>
        <v>260</v>
      </c>
      <c r="E568">
        <v>260</v>
      </c>
      <c r="F568">
        <v>1215</v>
      </c>
      <c r="G568">
        <v>750</v>
      </c>
      <c r="H568">
        <f>CONVERT(G568,"HP","kW")</f>
        <v>559.27490368670271</v>
      </c>
      <c r="I568">
        <v>0.62529999999999997</v>
      </c>
      <c r="J568">
        <v>1.667</v>
      </c>
      <c r="K568">
        <v>0.65059999999999996</v>
      </c>
      <c r="L568">
        <v>5.6300000000000003E-2</v>
      </c>
      <c r="M568">
        <v>2.1100000000000001E-2</v>
      </c>
      <c r="N568">
        <f>CONVERT(O568,"lbf","N")</f>
        <v>2614.6646654501219</v>
      </c>
      <c r="O568">
        <v>587.79999999999995</v>
      </c>
      <c r="P568">
        <f t="shared" si="8"/>
        <v>0.37477797513321492</v>
      </c>
    </row>
    <row r="569" spans="1:16" hidden="1" x14ac:dyDescent="0.25">
      <c r="A569">
        <v>0</v>
      </c>
      <c r="B569">
        <v>0</v>
      </c>
      <c r="C569">
        <f>1.225 * (1 - 0.00000687559 * B569) ^ 4.2561</f>
        <v>1.2250000000000001</v>
      </c>
      <c r="D569">
        <f>E569*(SQRT($C$2/C569))</f>
        <v>240</v>
      </c>
      <c r="E569">
        <v>240</v>
      </c>
      <c r="F569">
        <v>1215</v>
      </c>
      <c r="G569">
        <v>750</v>
      </c>
      <c r="H569">
        <f>CONVERT(G569,"HP","kW")</f>
        <v>559.27490368670271</v>
      </c>
      <c r="I569">
        <v>0.66969999999999996</v>
      </c>
      <c r="J569">
        <v>1.5387</v>
      </c>
      <c r="K569">
        <v>0.63280000000000003</v>
      </c>
      <c r="L569">
        <v>5.6399999999999999E-2</v>
      </c>
      <c r="M569">
        <v>2.4500000000000001E-2</v>
      </c>
      <c r="N569">
        <f>CONVERT(O569,"lbf","N")</f>
        <v>3033.687141607661</v>
      </c>
      <c r="O569">
        <v>682</v>
      </c>
      <c r="P569">
        <f t="shared" si="8"/>
        <v>0.43439716312056742</v>
      </c>
    </row>
    <row r="570" spans="1:16" hidden="1" x14ac:dyDescent="0.25">
      <c r="A570">
        <v>0</v>
      </c>
      <c r="B570">
        <v>30000</v>
      </c>
      <c r="C570">
        <f>1.225 * (1 - 0.00000687559 * B570) ^ 4.2561</f>
        <v>0.45828836225470948</v>
      </c>
      <c r="D570">
        <f>E570*(SQRT($C$2/C570))</f>
        <v>261.58847891605171</v>
      </c>
      <c r="E570">
        <v>160</v>
      </c>
      <c r="F570">
        <v>1150</v>
      </c>
      <c r="G570">
        <v>250</v>
      </c>
      <c r="H570">
        <f>CONVERT(G570,"HP","kW")</f>
        <v>186.42496789556756</v>
      </c>
      <c r="I570">
        <v>0.4819</v>
      </c>
      <c r="J570">
        <v>1.7719</v>
      </c>
      <c r="K570">
        <v>0.70740000000000003</v>
      </c>
      <c r="L570">
        <v>5.8999999999999997E-2</v>
      </c>
      <c r="M570">
        <v>1.61E-2</v>
      </c>
      <c r="N570">
        <f>CONVERT(O570,"lbf","N")</f>
        <v>667.67806445060103</v>
      </c>
      <c r="O570">
        <v>150.1</v>
      </c>
      <c r="P570">
        <f t="shared" si="8"/>
        <v>0.27288135593220342</v>
      </c>
    </row>
    <row r="571" spans="1:16" hidden="1" x14ac:dyDescent="0.25">
      <c r="A571">
        <v>0</v>
      </c>
      <c r="B571">
        <v>30000</v>
      </c>
      <c r="C571">
        <f>1.225 * (1 - 0.00000687559 * B571) ^ 4.2561</f>
        <v>0.45828836225470948</v>
      </c>
      <c r="D571">
        <f>E571*(SQRT($C$2/C571))</f>
        <v>98.095679593519407</v>
      </c>
      <c r="E571">
        <v>60</v>
      </c>
      <c r="F571">
        <v>1150</v>
      </c>
      <c r="G571">
        <v>250</v>
      </c>
      <c r="H571">
        <f>CONVERT(G571,"HP","kW")</f>
        <v>186.42496789556756</v>
      </c>
      <c r="I571">
        <v>0.71589999999999998</v>
      </c>
      <c r="J571">
        <v>0.66449999999999998</v>
      </c>
      <c r="K571">
        <v>0.57509999999999994</v>
      </c>
      <c r="L571">
        <v>5.91E-2</v>
      </c>
      <c r="M571">
        <v>6.3700000000000007E-2</v>
      </c>
      <c r="N571">
        <f>CONVERT(O571,"lbf","N")</f>
        <v>2644.4677502723671</v>
      </c>
      <c r="O571">
        <v>594.5</v>
      </c>
      <c r="P571">
        <f t="shared" si="8"/>
        <v>1.0778341793570221</v>
      </c>
    </row>
    <row r="572" spans="1:16" hidden="1" x14ac:dyDescent="0.25">
      <c r="A572">
        <v>0</v>
      </c>
      <c r="B572">
        <v>30000</v>
      </c>
      <c r="C572">
        <f>1.225 * (1 - 0.00000687559 * B572) ^ 4.2561</f>
        <v>0.45828836225470948</v>
      </c>
      <c r="D572">
        <f>E572*(SQRT($C$2/C572))</f>
        <v>163.49279932253233</v>
      </c>
      <c r="E572">
        <v>100</v>
      </c>
      <c r="F572">
        <v>1150</v>
      </c>
      <c r="G572">
        <v>250</v>
      </c>
      <c r="H572">
        <f>CONVERT(G572,"HP","kW")</f>
        <v>186.42496789556756</v>
      </c>
      <c r="I572">
        <v>0.73150000000000004</v>
      </c>
      <c r="J572">
        <v>1.1073999999999999</v>
      </c>
      <c r="K572">
        <v>0.61670000000000003</v>
      </c>
      <c r="L572">
        <v>5.91E-2</v>
      </c>
      <c r="M572">
        <v>3.9100000000000003E-2</v>
      </c>
      <c r="N572">
        <f>CONVERT(O572,"lbf","N")</f>
        <v>1621.3767787624522</v>
      </c>
      <c r="O572">
        <v>364.5</v>
      </c>
      <c r="P572">
        <f t="shared" si="8"/>
        <v>0.66159052453468703</v>
      </c>
    </row>
    <row r="573" spans="1:16" hidden="1" x14ac:dyDescent="0.25">
      <c r="A573">
        <v>0</v>
      </c>
      <c r="B573">
        <v>30000</v>
      </c>
      <c r="C573">
        <f>1.225 * (1 - 0.00000687559 * B573) ^ 4.2561</f>
        <v>0.45828836225470948</v>
      </c>
      <c r="D573">
        <f>E573*(SQRT($C$2/C573))</f>
        <v>196.19135918703881</v>
      </c>
      <c r="E573">
        <v>120</v>
      </c>
      <c r="F573">
        <v>1150</v>
      </c>
      <c r="G573">
        <v>250</v>
      </c>
      <c r="H573">
        <f>CONVERT(G573,"HP","kW")</f>
        <v>186.42496789556756</v>
      </c>
      <c r="I573">
        <v>0.70050000000000001</v>
      </c>
      <c r="J573">
        <v>1.3289</v>
      </c>
      <c r="K573">
        <v>0.64359999999999995</v>
      </c>
      <c r="L573">
        <v>5.91E-2</v>
      </c>
      <c r="M573">
        <v>3.1199999999999999E-2</v>
      </c>
      <c r="N573">
        <f>CONVERT(O573,"lbf","N")</f>
        <v>1293.9876678792793</v>
      </c>
      <c r="O573">
        <v>290.89999999999998</v>
      </c>
      <c r="P573">
        <f t="shared" si="8"/>
        <v>0.52791878172588835</v>
      </c>
    </row>
    <row r="574" spans="1:16" hidden="1" x14ac:dyDescent="0.25">
      <c r="A574">
        <v>0</v>
      </c>
      <c r="B574">
        <v>30000</v>
      </c>
      <c r="C574">
        <f>1.225 * (1 - 0.00000687559 * B574) ^ 4.2561</f>
        <v>0.45828836225470948</v>
      </c>
      <c r="D574">
        <f>E574*(SQRT($C$2/C574))</f>
        <v>228.88991905154526</v>
      </c>
      <c r="E574">
        <v>140</v>
      </c>
      <c r="F574">
        <v>1150</v>
      </c>
      <c r="G574">
        <v>250</v>
      </c>
      <c r="H574">
        <f>CONVERT(G574,"HP","kW")</f>
        <v>186.42496789556756</v>
      </c>
      <c r="I574">
        <v>0.63519999999999999</v>
      </c>
      <c r="J574">
        <v>1.5504</v>
      </c>
      <c r="K574">
        <v>0.67400000000000004</v>
      </c>
      <c r="L574">
        <v>5.91E-2</v>
      </c>
      <c r="M574">
        <v>2.4199999999999999E-2</v>
      </c>
      <c r="N574">
        <f>CONVERT(O574,"lbf","N")</f>
        <v>1005.742907210399</v>
      </c>
      <c r="O574">
        <v>226.1</v>
      </c>
      <c r="P574">
        <f t="shared" si="8"/>
        <v>0.40947546531302875</v>
      </c>
    </row>
    <row r="575" spans="1:16" hidden="1" x14ac:dyDescent="0.25">
      <c r="A575">
        <v>0</v>
      </c>
      <c r="B575">
        <v>30000</v>
      </c>
      <c r="C575">
        <f>1.225 * (1 - 0.00000687559 * B575) ^ 4.2561</f>
        <v>0.45828836225470948</v>
      </c>
      <c r="D575">
        <f>E575*(SQRT($C$2/C575))</f>
        <v>294.28703878055819</v>
      </c>
      <c r="E575">
        <v>180</v>
      </c>
      <c r="F575">
        <v>1150</v>
      </c>
      <c r="G575">
        <v>250</v>
      </c>
      <c r="H575">
        <f>CONVERT(G575,"HP","kW")</f>
        <v>186.42496789556756</v>
      </c>
      <c r="I575">
        <v>0.25259999999999999</v>
      </c>
      <c r="J575">
        <v>1.9934000000000001</v>
      </c>
      <c r="K575">
        <v>0.74350000000000005</v>
      </c>
      <c r="L575">
        <v>5.91E-2</v>
      </c>
      <c r="M575">
        <v>7.4999999999999997E-3</v>
      </c>
      <c r="N575">
        <f>CONVERT(O575,"lbf","N")</f>
        <v>310.930690906709</v>
      </c>
      <c r="O575">
        <v>69.900000000000006</v>
      </c>
      <c r="P575">
        <f t="shared" si="8"/>
        <v>0.12690355329949238</v>
      </c>
    </row>
    <row r="576" spans="1:16" hidden="1" x14ac:dyDescent="0.25">
      <c r="A576">
        <v>0</v>
      </c>
      <c r="B576">
        <v>30000</v>
      </c>
      <c r="C576">
        <f>1.225 * (1 - 0.00000687559 * B576) ^ 4.2561</f>
        <v>0.45828836225470948</v>
      </c>
      <c r="D576">
        <f>E576*(SQRT($C$2/C576))</f>
        <v>359.68415850957115</v>
      </c>
      <c r="E576">
        <v>220</v>
      </c>
      <c r="F576">
        <v>1150</v>
      </c>
      <c r="G576">
        <v>250</v>
      </c>
      <c r="H576">
        <f>CONVERT(G576,"HP","kW")</f>
        <v>186.42496789556756</v>
      </c>
      <c r="I576">
        <v>-0.58420000000000005</v>
      </c>
      <c r="J576">
        <v>2.4363999999999999</v>
      </c>
      <c r="K576">
        <v>0.82220000000000004</v>
      </c>
      <c r="L576">
        <v>5.91E-2</v>
      </c>
      <c r="M576">
        <v>-1.4200000000000001E-2</v>
      </c>
      <c r="N576">
        <f>CONVERT(O576,"lbf","N")</f>
        <v>-588.49971969896421</v>
      </c>
      <c r="O576">
        <v>-132.30000000000001</v>
      </c>
      <c r="P576">
        <f t="shared" si="8"/>
        <v>-0.24027072758037227</v>
      </c>
    </row>
    <row r="577" spans="1:16" hidden="1" x14ac:dyDescent="0.25">
      <c r="A577">
        <v>0</v>
      </c>
      <c r="B577">
        <v>30000</v>
      </c>
      <c r="C577">
        <f>1.225 * (1 - 0.00000687559 * B577) ^ 4.2561</f>
        <v>0.45828836225470948</v>
      </c>
      <c r="D577">
        <f>E577*(SQRT($C$2/C577))</f>
        <v>392.38271837407763</v>
      </c>
      <c r="E577">
        <v>240</v>
      </c>
      <c r="F577">
        <v>1150</v>
      </c>
      <c r="G577">
        <v>250</v>
      </c>
      <c r="H577">
        <f>CONVERT(G577,"HP","kW")</f>
        <v>186.42496789556756</v>
      </c>
      <c r="I577">
        <v>0</v>
      </c>
      <c r="J577">
        <v>2.6577999999999999</v>
      </c>
      <c r="K577">
        <v>0.86419999999999997</v>
      </c>
      <c r="L577">
        <v>5.91E-2</v>
      </c>
      <c r="M577">
        <v>-3.3599999999999998E-2</v>
      </c>
      <c r="N577">
        <f>CONVERT(O577,"lbf","N")</f>
        <v>-1394.0726542226407</v>
      </c>
      <c r="O577">
        <v>-313.39999999999998</v>
      </c>
      <c r="P577">
        <f t="shared" si="8"/>
        <v>-0.56852791878172582</v>
      </c>
    </row>
    <row r="578" spans="1:16" hidden="1" x14ac:dyDescent="0.25">
      <c r="A578">
        <v>0</v>
      </c>
      <c r="B578">
        <v>30000</v>
      </c>
      <c r="C578">
        <f>1.225 * (1 - 0.00000687559 * B578) ^ 4.2561</f>
        <v>0.45828836225470948</v>
      </c>
      <c r="D578">
        <f>E578*(SQRT($C$2/C578))</f>
        <v>0</v>
      </c>
      <c r="E578">
        <v>0</v>
      </c>
      <c r="F578">
        <v>1150</v>
      </c>
      <c r="G578">
        <v>250</v>
      </c>
      <c r="H578">
        <f>CONVERT(G578,"HP","kW")</f>
        <v>186.42496789556756</v>
      </c>
      <c r="I578">
        <v>0</v>
      </c>
      <c r="J578">
        <v>0</v>
      </c>
      <c r="K578">
        <v>0.54310000000000003</v>
      </c>
      <c r="L578">
        <v>5.9200000000000003E-2</v>
      </c>
      <c r="M578">
        <v>0.14560000000000001</v>
      </c>
      <c r="N578">
        <f>CONVERT(O578,"lbf","N")</f>
        <v>6043.7987086544417</v>
      </c>
      <c r="O578">
        <v>1358.7</v>
      </c>
      <c r="P578">
        <f t="shared" si="8"/>
        <v>2.4594594594594597</v>
      </c>
    </row>
    <row r="579" spans="1:16" hidden="1" x14ac:dyDescent="0.25">
      <c r="A579">
        <v>0</v>
      </c>
      <c r="B579">
        <v>30000</v>
      </c>
      <c r="C579">
        <f>1.225 * (1 - 0.00000687559 * B579) ^ 4.2561</f>
        <v>0.45828836225470948</v>
      </c>
      <c r="D579">
        <f>E579*(SQRT($C$2/C579))</f>
        <v>32.698559864506464</v>
      </c>
      <c r="E579">
        <v>20</v>
      </c>
      <c r="F579">
        <v>1150</v>
      </c>
      <c r="G579">
        <v>250</v>
      </c>
      <c r="H579">
        <f>CONVERT(G579,"HP","kW")</f>
        <v>186.42496789556756</v>
      </c>
      <c r="I579">
        <v>0.43409999999999999</v>
      </c>
      <c r="J579">
        <v>0.2215</v>
      </c>
      <c r="K579">
        <v>0.55059999999999998</v>
      </c>
      <c r="L579">
        <v>5.9200000000000003E-2</v>
      </c>
      <c r="M579">
        <v>0.1159</v>
      </c>
      <c r="N579">
        <f>CONVERT(O579,"lbf","N")</f>
        <v>4810.7516769042304</v>
      </c>
      <c r="O579">
        <v>1081.5</v>
      </c>
      <c r="P579">
        <f t="shared" ref="P579:P642" si="9">M579/L579</f>
        <v>1.9577702702702702</v>
      </c>
    </row>
    <row r="580" spans="1:16" hidden="1" x14ac:dyDescent="0.25">
      <c r="A580">
        <v>0</v>
      </c>
      <c r="B580">
        <v>30000</v>
      </c>
      <c r="C580">
        <f>1.225 * (1 - 0.00000687559 * B580) ^ 4.2561</f>
        <v>0.45828836225470948</v>
      </c>
      <c r="D580">
        <f>E580*(SQRT($C$2/C580))</f>
        <v>65.397119729012928</v>
      </c>
      <c r="E580">
        <v>40</v>
      </c>
      <c r="F580">
        <v>1150</v>
      </c>
      <c r="G580">
        <v>250</v>
      </c>
      <c r="H580">
        <f>CONVERT(G580,"HP","kW")</f>
        <v>186.42496789556756</v>
      </c>
      <c r="I580">
        <v>0.6431</v>
      </c>
      <c r="J580">
        <v>0.443</v>
      </c>
      <c r="K580">
        <v>0.56089999999999995</v>
      </c>
      <c r="L580">
        <v>5.9200000000000003E-2</v>
      </c>
      <c r="M580">
        <v>8.5900000000000004E-2</v>
      </c>
      <c r="N580">
        <f>CONVERT(O580,"lbf","N")</f>
        <v>3563.9151581467127</v>
      </c>
      <c r="O580">
        <v>801.2</v>
      </c>
      <c r="P580">
        <f t="shared" si="9"/>
        <v>1.4510135135135136</v>
      </c>
    </row>
    <row r="581" spans="1:16" hidden="1" x14ac:dyDescent="0.25">
      <c r="A581">
        <v>0</v>
      </c>
      <c r="B581">
        <v>30000</v>
      </c>
      <c r="C581">
        <f>1.225 * (1 - 0.00000687559 * B581) ^ 4.2561</f>
        <v>0.45828836225470948</v>
      </c>
      <c r="D581">
        <f>E581*(SQRT($C$2/C581))</f>
        <v>130.79423945802586</v>
      </c>
      <c r="E581">
        <v>80</v>
      </c>
      <c r="F581">
        <v>1150</v>
      </c>
      <c r="G581">
        <v>250</v>
      </c>
      <c r="H581">
        <f>CONVERT(G581,"HP","kW")</f>
        <v>186.42496789556756</v>
      </c>
      <c r="I581">
        <v>0.7369</v>
      </c>
      <c r="J581">
        <v>0.88590000000000002</v>
      </c>
      <c r="K581">
        <v>0.59370000000000001</v>
      </c>
      <c r="L581">
        <v>5.9200000000000003E-2</v>
      </c>
      <c r="M581">
        <v>4.9200000000000001E-2</v>
      </c>
      <c r="N581">
        <f>CONVERT(O581,"lbf","N")</f>
        <v>2041.7337214045695</v>
      </c>
      <c r="O581">
        <v>459</v>
      </c>
      <c r="P581">
        <f t="shared" si="9"/>
        <v>0.83108108108108103</v>
      </c>
    </row>
    <row r="582" spans="1:16" hidden="1" x14ac:dyDescent="0.25">
      <c r="A582">
        <v>0</v>
      </c>
      <c r="B582">
        <v>30000</v>
      </c>
      <c r="C582">
        <f>1.225 * (1 - 0.00000687559 * B582) ^ 4.2561</f>
        <v>0.45828836225470948</v>
      </c>
      <c r="D582">
        <f>E582*(SQRT($C$2/C582))</f>
        <v>326.98559864506467</v>
      </c>
      <c r="E582">
        <v>200</v>
      </c>
      <c r="F582">
        <v>1150</v>
      </c>
      <c r="G582">
        <v>250</v>
      </c>
      <c r="H582">
        <f>CONVERT(G582,"HP","kW")</f>
        <v>186.42496789556756</v>
      </c>
      <c r="I582">
        <v>-9.1999999999999998E-2</v>
      </c>
      <c r="J582">
        <v>2.2149000000000001</v>
      </c>
      <c r="K582">
        <v>0.78190000000000004</v>
      </c>
      <c r="L582">
        <v>5.9200000000000003E-2</v>
      </c>
      <c r="M582">
        <v>-2.5000000000000001E-3</v>
      </c>
      <c r="N582">
        <f>CONVERT(O582,"lbf","N")</f>
        <v>-101.86427498946544</v>
      </c>
      <c r="O582">
        <v>-22.9</v>
      </c>
      <c r="P582">
        <f t="shared" si="9"/>
        <v>-4.2229729729729729E-2</v>
      </c>
    </row>
    <row r="583" spans="1:16" hidden="1" x14ac:dyDescent="0.25">
      <c r="A583">
        <v>0</v>
      </c>
      <c r="B583">
        <v>30000</v>
      </c>
      <c r="C583">
        <f>1.225 * (1 - 0.00000687559 * B583) ^ 4.2561</f>
        <v>0.45828836225470948</v>
      </c>
      <c r="D583">
        <f>E583*(SQRT($C$2/C583))</f>
        <v>425.08127823858405</v>
      </c>
      <c r="E583">
        <v>260</v>
      </c>
      <c r="F583">
        <v>1150</v>
      </c>
      <c r="G583">
        <v>250</v>
      </c>
      <c r="H583">
        <f>CONVERT(G583,"HP","kW")</f>
        <v>186.42496789556756</v>
      </c>
      <c r="I583">
        <v>0</v>
      </c>
      <c r="J583">
        <v>2.8793000000000002</v>
      </c>
      <c r="K583">
        <v>0.90759999999999996</v>
      </c>
      <c r="L583">
        <v>5.9200000000000003E-2</v>
      </c>
      <c r="M583">
        <v>-6.1199999999999997E-2</v>
      </c>
      <c r="N583">
        <f>CONVERT(O583,"lbf","N")</f>
        <v>-2539.0448979906932</v>
      </c>
      <c r="O583">
        <v>-570.79999999999995</v>
      </c>
      <c r="P583">
        <f t="shared" si="9"/>
        <v>-1.0337837837837838</v>
      </c>
    </row>
    <row r="584" spans="1:16" hidden="1" x14ac:dyDescent="0.25">
      <c r="A584">
        <v>0</v>
      </c>
      <c r="B584">
        <v>15000</v>
      </c>
      <c r="C584">
        <f>1.225 * (1 - 0.00000687559 * B584) ^ 4.2561</f>
        <v>0.77079726910167001</v>
      </c>
      <c r="D584">
        <f>E584*(SQRT($C$2/C584))</f>
        <v>0</v>
      </c>
      <c r="E584">
        <v>0</v>
      </c>
      <c r="F584">
        <v>1215</v>
      </c>
      <c r="G584">
        <v>500</v>
      </c>
      <c r="H584">
        <f>CONVERT(G584,"HP","kW")</f>
        <v>372.84993579113512</v>
      </c>
      <c r="I584">
        <v>0</v>
      </c>
      <c r="J584">
        <v>0</v>
      </c>
      <c r="K584">
        <v>0.53979999999999995</v>
      </c>
      <c r="L584">
        <v>5.96E-2</v>
      </c>
      <c r="M584">
        <v>0.14660000000000001</v>
      </c>
      <c r="N584">
        <f>CONVERT(O584,"lbf","N")</f>
        <v>11420.364175019808</v>
      </c>
      <c r="O584">
        <v>2567.4</v>
      </c>
      <c r="P584">
        <f t="shared" si="9"/>
        <v>2.4597315436241614</v>
      </c>
    </row>
    <row r="585" spans="1:16" hidden="1" x14ac:dyDescent="0.25">
      <c r="A585">
        <v>0</v>
      </c>
      <c r="B585">
        <v>15000</v>
      </c>
      <c r="C585">
        <f>1.225 * (1 - 0.00000687559 * B585) ^ 4.2561</f>
        <v>0.77079726910167001</v>
      </c>
      <c r="D585">
        <f>E585*(SQRT($C$2/C585))</f>
        <v>25.213199277533057</v>
      </c>
      <c r="E585">
        <v>20</v>
      </c>
      <c r="F585">
        <v>1215</v>
      </c>
      <c r="G585">
        <v>500</v>
      </c>
      <c r="H585">
        <f>CONVERT(G585,"HP","kW")</f>
        <v>372.84993579113512</v>
      </c>
      <c r="I585">
        <v>0.33960000000000001</v>
      </c>
      <c r="J585">
        <v>0.16159999999999999</v>
      </c>
      <c r="K585">
        <v>0.54500000000000004</v>
      </c>
      <c r="L585">
        <v>5.96E-2</v>
      </c>
      <c r="M585">
        <v>0.12529999999999999</v>
      </c>
      <c r="N585">
        <f>CONVERT(O585,"lbf","N")</f>
        <v>9762.9568011737465</v>
      </c>
      <c r="O585">
        <v>2194.8000000000002</v>
      </c>
      <c r="P585">
        <f t="shared" si="9"/>
        <v>2.1023489932885906</v>
      </c>
    </row>
    <row r="586" spans="1:16" hidden="1" x14ac:dyDescent="0.25">
      <c r="A586">
        <v>0</v>
      </c>
      <c r="B586">
        <v>15000</v>
      </c>
      <c r="C586">
        <f>1.225 * (1 - 0.00000687559 * B586) ^ 4.2561</f>
        <v>0.77079726910167001</v>
      </c>
      <c r="D586">
        <f>E586*(SQRT($C$2/C586))</f>
        <v>50.426398555066115</v>
      </c>
      <c r="E586">
        <v>40</v>
      </c>
      <c r="F586">
        <v>1215</v>
      </c>
      <c r="G586">
        <v>500</v>
      </c>
      <c r="H586">
        <f>CONVERT(G586,"HP","kW")</f>
        <v>372.84993579113512</v>
      </c>
      <c r="I586">
        <v>0.55510000000000004</v>
      </c>
      <c r="J586">
        <v>0.32329999999999998</v>
      </c>
      <c r="K586">
        <v>0.55149999999999999</v>
      </c>
      <c r="L586">
        <v>5.96E-2</v>
      </c>
      <c r="M586">
        <v>0.1024</v>
      </c>
      <c r="N586">
        <f>CONVERT(O586,"lbf","N")</f>
        <v>7979.2199334542847</v>
      </c>
      <c r="O586">
        <v>1793.8</v>
      </c>
      <c r="P586">
        <f t="shared" si="9"/>
        <v>1.7181208053691277</v>
      </c>
    </row>
    <row r="587" spans="1:16" hidden="1" x14ac:dyDescent="0.25">
      <c r="A587">
        <v>0</v>
      </c>
      <c r="B587">
        <v>15000</v>
      </c>
      <c r="C587">
        <f>1.225 * (1 - 0.00000687559 * B587) ^ 4.2561</f>
        <v>0.77079726910167001</v>
      </c>
      <c r="D587">
        <f>E587*(SQRT($C$2/C587))</f>
        <v>75.639597832599179</v>
      </c>
      <c r="E587">
        <v>60</v>
      </c>
      <c r="F587">
        <v>1215</v>
      </c>
      <c r="G587">
        <v>500</v>
      </c>
      <c r="H587">
        <f>CONVERT(G587,"HP","kW")</f>
        <v>372.84993579113512</v>
      </c>
      <c r="I587">
        <v>0.66649999999999998</v>
      </c>
      <c r="J587">
        <v>0.4849</v>
      </c>
      <c r="K587">
        <v>0.55979999999999996</v>
      </c>
      <c r="L587">
        <v>5.96E-2</v>
      </c>
      <c r="M587">
        <v>8.2000000000000003E-2</v>
      </c>
      <c r="N587">
        <f>CONVERT(O587,"lbf","N")</f>
        <v>6386.3117730294998</v>
      </c>
      <c r="O587">
        <v>1435.7</v>
      </c>
      <c r="P587">
        <f t="shared" si="9"/>
        <v>1.3758389261744968</v>
      </c>
    </row>
    <row r="588" spans="1:16" hidden="1" x14ac:dyDescent="0.25">
      <c r="A588">
        <v>0</v>
      </c>
      <c r="B588">
        <v>15000</v>
      </c>
      <c r="C588">
        <f>1.225 * (1 - 0.00000687559 * B588) ^ 4.2561</f>
        <v>0.77079726910167001</v>
      </c>
      <c r="D588">
        <f>E588*(SQRT($C$2/C588))</f>
        <v>100.85279711013223</v>
      </c>
      <c r="E588">
        <v>80</v>
      </c>
      <c r="F588">
        <v>1215</v>
      </c>
      <c r="G588">
        <v>500</v>
      </c>
      <c r="H588">
        <f>CONVERT(G588,"HP","kW")</f>
        <v>372.84993579113512</v>
      </c>
      <c r="I588">
        <v>0.71630000000000005</v>
      </c>
      <c r="J588">
        <v>0.64659999999999995</v>
      </c>
      <c r="K588">
        <v>0.57030000000000003</v>
      </c>
      <c r="L588">
        <v>5.96E-2</v>
      </c>
      <c r="M588">
        <v>6.6100000000000006E-2</v>
      </c>
      <c r="N588">
        <f>CONVERT(O588,"lbf","N")</f>
        <v>5147.4820531794512</v>
      </c>
      <c r="O588">
        <v>1157.2</v>
      </c>
      <c r="P588">
        <f t="shared" si="9"/>
        <v>1.1090604026845639</v>
      </c>
    </row>
    <row r="589" spans="1:16" hidden="1" x14ac:dyDescent="0.25">
      <c r="A589">
        <v>0</v>
      </c>
      <c r="B589">
        <v>15000</v>
      </c>
      <c r="C589">
        <f>1.225 * (1 - 0.00000687559 * B589) ^ 4.2561</f>
        <v>0.77079726910167001</v>
      </c>
      <c r="D589">
        <f>E589*(SQRT($C$2/C589))</f>
        <v>151.27919566519836</v>
      </c>
      <c r="E589">
        <v>120</v>
      </c>
      <c r="F589">
        <v>1215</v>
      </c>
      <c r="G589">
        <v>500</v>
      </c>
      <c r="H589">
        <f>CONVERT(G589,"HP","kW")</f>
        <v>372.84993579113512</v>
      </c>
      <c r="I589">
        <v>0.74209999999999998</v>
      </c>
      <c r="J589">
        <v>0.96989999999999998</v>
      </c>
      <c r="K589">
        <v>0.59830000000000005</v>
      </c>
      <c r="L589">
        <v>5.96E-2</v>
      </c>
      <c r="M589">
        <v>4.5600000000000002E-2</v>
      </c>
      <c r="N589">
        <f>CONVERT(O589,"lbf","N")</f>
        <v>3555.4635370777178</v>
      </c>
      <c r="O589">
        <v>799.3</v>
      </c>
      <c r="P589">
        <f t="shared" si="9"/>
        <v>0.7651006711409396</v>
      </c>
    </row>
    <row r="590" spans="1:16" hidden="1" x14ac:dyDescent="0.25">
      <c r="A590">
        <v>0</v>
      </c>
      <c r="B590">
        <v>15000</v>
      </c>
      <c r="C590">
        <f>1.225 * (1 - 0.00000687559 * B590) ^ 4.2561</f>
        <v>0.77079726910167001</v>
      </c>
      <c r="D590">
        <f>E590*(SQRT($C$2/C590))</f>
        <v>201.70559422026446</v>
      </c>
      <c r="E590">
        <v>160</v>
      </c>
      <c r="F590">
        <v>1215</v>
      </c>
      <c r="G590">
        <v>500</v>
      </c>
      <c r="H590">
        <f>CONVERT(G590,"HP","kW")</f>
        <v>372.84993579113512</v>
      </c>
      <c r="I590">
        <v>0.71399999999999997</v>
      </c>
      <c r="J590">
        <v>1.2931999999999999</v>
      </c>
      <c r="K590">
        <v>0.6351</v>
      </c>
      <c r="L590">
        <v>5.96E-2</v>
      </c>
      <c r="M590">
        <v>3.2899999999999999E-2</v>
      </c>
      <c r="N590">
        <f>CONVERT(O590,"lbf","N")</f>
        <v>2565.2894055207307</v>
      </c>
      <c r="O590">
        <v>576.70000000000005</v>
      </c>
      <c r="P590">
        <f t="shared" si="9"/>
        <v>0.55201342281879195</v>
      </c>
    </row>
    <row r="591" spans="1:16" hidden="1" x14ac:dyDescent="0.25">
      <c r="A591">
        <v>0</v>
      </c>
      <c r="B591">
        <v>15000</v>
      </c>
      <c r="C591">
        <f>1.225 * (1 - 0.00000687559 * B591) ^ 4.2561</f>
        <v>0.77079726910167001</v>
      </c>
      <c r="D591">
        <f>E591*(SQRT($C$2/C591))</f>
        <v>226.91879349779754</v>
      </c>
      <c r="E591">
        <v>180</v>
      </c>
      <c r="F591">
        <v>1215</v>
      </c>
      <c r="G591">
        <v>500</v>
      </c>
      <c r="H591">
        <f>CONVERT(G591,"HP","kW")</f>
        <v>372.84993579113512</v>
      </c>
      <c r="I591">
        <v>0.68030000000000002</v>
      </c>
      <c r="J591">
        <v>1.4548000000000001</v>
      </c>
      <c r="K591">
        <v>0.65649999999999997</v>
      </c>
      <c r="L591">
        <v>5.96E-2</v>
      </c>
      <c r="M591">
        <v>2.7900000000000001E-2</v>
      </c>
      <c r="N591">
        <f>CONVERT(O591,"lbf","N")</f>
        <v>2172.9562590547544</v>
      </c>
      <c r="O591">
        <v>488.5</v>
      </c>
      <c r="P591">
        <f t="shared" si="9"/>
        <v>0.46812080536912754</v>
      </c>
    </row>
    <row r="592" spans="1:16" hidden="1" x14ac:dyDescent="0.25">
      <c r="A592">
        <v>0</v>
      </c>
      <c r="B592">
        <v>15000</v>
      </c>
      <c r="C592">
        <f>1.225 * (1 - 0.00000687559 * B592) ^ 4.2561</f>
        <v>0.77079726910167001</v>
      </c>
      <c r="D592">
        <f>E592*(SQRT($C$2/C592))</f>
        <v>252.13199277533059</v>
      </c>
      <c r="E592">
        <v>200</v>
      </c>
      <c r="F592">
        <v>1215</v>
      </c>
      <c r="G592">
        <v>500</v>
      </c>
      <c r="H592">
        <f>CONVERT(G592,"HP","kW")</f>
        <v>372.84993579113512</v>
      </c>
      <c r="I592">
        <v>0.61539999999999995</v>
      </c>
      <c r="J592">
        <v>1.6165</v>
      </c>
      <c r="K592">
        <v>0.67949999999999999</v>
      </c>
      <c r="L592">
        <v>5.96E-2</v>
      </c>
      <c r="M592">
        <v>2.2700000000000001E-2</v>
      </c>
      <c r="N592">
        <f>CONVERT(O592,"lbf","N")</f>
        <v>1769.0577363891009</v>
      </c>
      <c r="O592">
        <v>397.7</v>
      </c>
      <c r="P592">
        <f t="shared" si="9"/>
        <v>0.38087248322147654</v>
      </c>
    </row>
    <row r="593" spans="1:16" hidden="1" x14ac:dyDescent="0.25">
      <c r="A593">
        <v>0</v>
      </c>
      <c r="B593">
        <v>15000</v>
      </c>
      <c r="C593">
        <f>1.225 * (1 - 0.00000687559 * B593) ^ 4.2561</f>
        <v>0.77079726910167001</v>
      </c>
      <c r="D593">
        <f>E593*(SQRT($C$2/C593))</f>
        <v>277.34519205286364</v>
      </c>
      <c r="E593">
        <v>220</v>
      </c>
      <c r="F593">
        <v>1215</v>
      </c>
      <c r="G593">
        <v>500</v>
      </c>
      <c r="H593">
        <f>CONVERT(G593,"HP","kW")</f>
        <v>372.84993579113512</v>
      </c>
      <c r="I593">
        <v>0.50390000000000001</v>
      </c>
      <c r="J593">
        <v>1.7781</v>
      </c>
      <c r="K593">
        <v>0.70409999999999995</v>
      </c>
      <c r="L593">
        <v>5.96E-2</v>
      </c>
      <c r="M593">
        <v>1.6899999999999998E-2</v>
      </c>
      <c r="N593">
        <f>CONVERT(O593,"lbf","N")</f>
        <v>1317.1184202786342</v>
      </c>
      <c r="O593">
        <v>296.10000000000002</v>
      </c>
      <c r="P593">
        <f t="shared" si="9"/>
        <v>0.28355704697986572</v>
      </c>
    </row>
    <row r="594" spans="1:16" hidden="1" x14ac:dyDescent="0.25">
      <c r="A594">
        <v>0</v>
      </c>
      <c r="B594">
        <v>15000</v>
      </c>
      <c r="C594">
        <f>1.225 * (1 - 0.00000687559 * B594) ^ 4.2561</f>
        <v>0.77079726910167001</v>
      </c>
      <c r="D594">
        <f>E594*(SQRT($C$2/C594))</f>
        <v>302.55839133039672</v>
      </c>
      <c r="E594">
        <v>240</v>
      </c>
      <c r="F594">
        <v>1215</v>
      </c>
      <c r="G594">
        <v>500</v>
      </c>
      <c r="H594">
        <f>CONVERT(G594,"HP","kW")</f>
        <v>372.84993579113512</v>
      </c>
      <c r="I594">
        <v>0.3407</v>
      </c>
      <c r="J594">
        <v>1.9398</v>
      </c>
      <c r="K594">
        <v>0.73009999999999997</v>
      </c>
      <c r="L594">
        <v>5.96E-2</v>
      </c>
      <c r="M594">
        <v>1.0500000000000001E-2</v>
      </c>
      <c r="N594">
        <f>CONVERT(O594,"lbf","N")</f>
        <v>816.24866640030177</v>
      </c>
      <c r="O594">
        <v>183.5</v>
      </c>
      <c r="P594">
        <f t="shared" si="9"/>
        <v>0.17617449664429533</v>
      </c>
    </row>
    <row r="595" spans="1:16" hidden="1" x14ac:dyDescent="0.25">
      <c r="A595">
        <v>0</v>
      </c>
      <c r="B595">
        <v>15000</v>
      </c>
      <c r="C595">
        <f>1.225 * (1 - 0.00000687559 * B595) ^ 4.2561</f>
        <v>0.77079726910167001</v>
      </c>
      <c r="D595">
        <f>E595*(SQRT($C$2/C595))</f>
        <v>126.06599638766529</v>
      </c>
      <c r="E595">
        <v>100</v>
      </c>
      <c r="F595">
        <v>1215</v>
      </c>
      <c r="G595">
        <v>500</v>
      </c>
      <c r="H595">
        <f>CONVERT(G595,"HP","kW")</f>
        <v>372.84993579113512</v>
      </c>
      <c r="I595">
        <v>0.73740000000000006</v>
      </c>
      <c r="J595">
        <v>0.80820000000000003</v>
      </c>
      <c r="K595">
        <v>0.58309999999999995</v>
      </c>
      <c r="L595">
        <v>5.9700000000000003E-2</v>
      </c>
      <c r="M595">
        <v>5.45E-2</v>
      </c>
      <c r="N595">
        <f>CONVERT(O595,"lbf","N")</f>
        <v>4239.6000215047834</v>
      </c>
      <c r="O595">
        <v>953.1</v>
      </c>
      <c r="P595">
        <f t="shared" si="9"/>
        <v>0.91289782244556106</v>
      </c>
    </row>
    <row r="596" spans="1:16" hidden="1" x14ac:dyDescent="0.25">
      <c r="A596">
        <v>0</v>
      </c>
      <c r="B596">
        <v>15000</v>
      </c>
      <c r="C596">
        <f>1.225 * (1 - 0.00000687559 * B596) ^ 4.2561</f>
        <v>0.77079726910167001</v>
      </c>
      <c r="D596">
        <f>E596*(SQRT($C$2/C596))</f>
        <v>176.49239494273141</v>
      </c>
      <c r="E596">
        <v>140</v>
      </c>
      <c r="F596">
        <v>1215</v>
      </c>
      <c r="G596">
        <v>500</v>
      </c>
      <c r="H596">
        <f>CONVERT(G596,"HP","kW")</f>
        <v>372.84993579113512</v>
      </c>
      <c r="I596">
        <v>0.73580000000000001</v>
      </c>
      <c r="J596">
        <v>1.1315</v>
      </c>
      <c r="K596">
        <v>0.61570000000000003</v>
      </c>
      <c r="L596">
        <v>5.9700000000000003E-2</v>
      </c>
      <c r="M596">
        <v>3.8800000000000001E-2</v>
      </c>
      <c r="N596">
        <f>CONVERT(O596,"lbf","N")</f>
        <v>3021.6769432464575</v>
      </c>
      <c r="O596">
        <v>679.3</v>
      </c>
      <c r="P596">
        <f t="shared" si="9"/>
        <v>0.64991624790619762</v>
      </c>
    </row>
    <row r="597" spans="1:16" hidden="1" x14ac:dyDescent="0.25">
      <c r="A597">
        <v>0</v>
      </c>
      <c r="B597">
        <v>15000</v>
      </c>
      <c r="C597">
        <f>1.225 * (1 - 0.00000687559 * B597) ^ 4.2561</f>
        <v>0.77079726910167001</v>
      </c>
      <c r="D597">
        <f>E597*(SQRT($C$2/C597))</f>
        <v>327.77159060792974</v>
      </c>
      <c r="E597">
        <v>260</v>
      </c>
      <c r="F597">
        <v>1215</v>
      </c>
      <c r="G597">
        <v>500</v>
      </c>
      <c r="H597">
        <f>CONVERT(G597,"HP","kW")</f>
        <v>372.84993579113512</v>
      </c>
      <c r="I597">
        <v>0.1331</v>
      </c>
      <c r="J597">
        <v>2.1013999999999999</v>
      </c>
      <c r="K597">
        <v>0.75729999999999997</v>
      </c>
      <c r="L597">
        <v>5.9700000000000003E-2</v>
      </c>
      <c r="M597">
        <v>3.8E-3</v>
      </c>
      <c r="N597">
        <f>CONVERT(O597,"lbf","N")</f>
        <v>294.47227093024509</v>
      </c>
      <c r="O597">
        <v>66.2</v>
      </c>
      <c r="P597">
        <f t="shared" si="9"/>
        <v>6.3651591289782247E-2</v>
      </c>
    </row>
    <row r="598" spans="1:16" hidden="1" x14ac:dyDescent="0.25">
      <c r="A598">
        <v>0</v>
      </c>
      <c r="B598">
        <v>10000</v>
      </c>
      <c r="C598">
        <f>1.225 * (1 - 0.00000687559 * B598) ^ 4.2561</f>
        <v>0.90462252368600637</v>
      </c>
      <c r="D598">
        <f>E598*(SQRT($C$2/C598))</f>
        <v>232.73641570654067</v>
      </c>
      <c r="E598">
        <v>200</v>
      </c>
      <c r="F598">
        <v>1150</v>
      </c>
      <c r="G598">
        <v>500</v>
      </c>
      <c r="H598">
        <f>CONVERT(G598,"HP","kW")</f>
        <v>372.84993579113512</v>
      </c>
      <c r="I598">
        <v>0.69269999999999998</v>
      </c>
      <c r="J598">
        <v>1.5765</v>
      </c>
      <c r="K598">
        <v>0.62570000000000003</v>
      </c>
      <c r="L598">
        <v>5.9799999999999999E-2</v>
      </c>
      <c r="M598">
        <v>2.63E-2</v>
      </c>
      <c r="N598">
        <f>CONVERT(O598,"lbf","N")</f>
        <v>2156.9426612398165</v>
      </c>
      <c r="O598">
        <v>484.9</v>
      </c>
      <c r="P598">
        <f t="shared" si="9"/>
        <v>0.43979933110367897</v>
      </c>
    </row>
    <row r="599" spans="1:16" hidden="1" x14ac:dyDescent="0.25">
      <c r="A599">
        <v>0</v>
      </c>
      <c r="B599">
        <v>10000</v>
      </c>
      <c r="C599">
        <f>1.225 * (1 - 0.00000687559 * B599) ^ 4.2561</f>
        <v>0.90462252368600637</v>
      </c>
      <c r="D599">
        <f>E599*(SQRT($C$2/C599))</f>
        <v>279.28369884784883</v>
      </c>
      <c r="E599">
        <v>240</v>
      </c>
      <c r="F599">
        <v>1150</v>
      </c>
      <c r="G599">
        <v>500</v>
      </c>
      <c r="H599">
        <f>CONVERT(G599,"HP","kW")</f>
        <v>372.84993579113512</v>
      </c>
      <c r="I599">
        <v>0.56430000000000002</v>
      </c>
      <c r="J599">
        <v>1.8917999999999999</v>
      </c>
      <c r="K599">
        <v>0.67090000000000005</v>
      </c>
      <c r="L599">
        <v>5.9799999999999999E-2</v>
      </c>
      <c r="M599">
        <v>1.78E-2</v>
      </c>
      <c r="N599">
        <f>CONVERT(O599,"lbf","N")</f>
        <v>1464.3545557437567</v>
      </c>
      <c r="O599">
        <v>329.2</v>
      </c>
      <c r="P599">
        <f t="shared" si="9"/>
        <v>0.2976588628762542</v>
      </c>
    </row>
    <row r="600" spans="1:16" hidden="1" x14ac:dyDescent="0.25">
      <c r="A600">
        <v>0</v>
      </c>
      <c r="B600">
        <v>10000</v>
      </c>
      <c r="C600">
        <f>1.225 * (1 - 0.00000687559 * B600) ^ 4.2561</f>
        <v>0.90462252368600637</v>
      </c>
      <c r="D600">
        <f>E600*(SQRT($C$2/C600))</f>
        <v>0</v>
      </c>
      <c r="E600">
        <v>0</v>
      </c>
      <c r="F600">
        <v>1150</v>
      </c>
      <c r="G600">
        <v>500</v>
      </c>
      <c r="H600">
        <f>CONVERT(G600,"HP","kW")</f>
        <v>372.84993579113512</v>
      </c>
      <c r="I600">
        <v>0</v>
      </c>
      <c r="J600">
        <v>0</v>
      </c>
      <c r="K600">
        <v>0.50139999999999996</v>
      </c>
      <c r="L600">
        <v>5.9900000000000002E-2</v>
      </c>
      <c r="M600">
        <v>0.1474</v>
      </c>
      <c r="N600">
        <f>CONVERT(O600,"lbf","N")</f>
        <v>12075.58721894768</v>
      </c>
      <c r="O600">
        <v>2714.7</v>
      </c>
      <c r="P600">
        <f t="shared" si="9"/>
        <v>2.4607679465776293</v>
      </c>
    </row>
    <row r="601" spans="1:16" hidden="1" x14ac:dyDescent="0.25">
      <c r="A601">
        <v>0</v>
      </c>
      <c r="B601">
        <v>10000</v>
      </c>
      <c r="C601">
        <f>1.225 * (1 - 0.00000687559 * B601) ^ 4.2561</f>
        <v>0.90462252368600637</v>
      </c>
      <c r="D601">
        <f>E601*(SQRT($C$2/C601))</f>
        <v>23.273641570654068</v>
      </c>
      <c r="E601">
        <v>20</v>
      </c>
      <c r="F601">
        <v>1150</v>
      </c>
      <c r="G601">
        <v>500</v>
      </c>
      <c r="H601">
        <f>CONVERT(G601,"HP","kW")</f>
        <v>372.84993579113512</v>
      </c>
      <c r="I601">
        <v>0.33339999999999997</v>
      </c>
      <c r="J601">
        <v>0.15759999999999999</v>
      </c>
      <c r="K601">
        <v>0.50609999999999999</v>
      </c>
      <c r="L601">
        <v>5.9900000000000002E-2</v>
      </c>
      <c r="M601">
        <v>0.12670000000000001</v>
      </c>
      <c r="N601">
        <f>CONVERT(O601,"lbf","N")</f>
        <v>10382.594072179534</v>
      </c>
      <c r="O601">
        <v>2334.1</v>
      </c>
      <c r="P601">
        <f t="shared" si="9"/>
        <v>2.1151919866444073</v>
      </c>
    </row>
    <row r="602" spans="1:16" hidden="1" x14ac:dyDescent="0.25">
      <c r="A602">
        <v>0</v>
      </c>
      <c r="B602">
        <v>10000</v>
      </c>
      <c r="C602">
        <f>1.225 * (1 - 0.00000687559 * B602) ^ 4.2561</f>
        <v>0.90462252368600637</v>
      </c>
      <c r="D602">
        <f>E602*(SQRT($C$2/C602))</f>
        <v>46.547283141308135</v>
      </c>
      <c r="E602">
        <v>40</v>
      </c>
      <c r="F602">
        <v>1150</v>
      </c>
      <c r="G602">
        <v>500</v>
      </c>
      <c r="H602">
        <f>CONVERT(G602,"HP","kW")</f>
        <v>372.84993579113512</v>
      </c>
      <c r="I602">
        <v>0.55149999999999999</v>
      </c>
      <c r="J602">
        <v>0.31530000000000002</v>
      </c>
      <c r="K602">
        <v>0.51190000000000002</v>
      </c>
      <c r="L602">
        <v>5.9900000000000002E-2</v>
      </c>
      <c r="M602">
        <v>0.1048</v>
      </c>
      <c r="N602">
        <f>CONVERT(O602,"lbf","N")</f>
        <v>8587.2918282603951</v>
      </c>
      <c r="O602">
        <v>1930.5</v>
      </c>
      <c r="P602">
        <f t="shared" si="9"/>
        <v>1.7495826377295494</v>
      </c>
    </row>
    <row r="603" spans="1:16" hidden="1" x14ac:dyDescent="0.25">
      <c r="A603">
        <v>0</v>
      </c>
      <c r="B603">
        <v>10000</v>
      </c>
      <c r="C603">
        <f>1.225 * (1 - 0.00000687559 * B603) ^ 4.2561</f>
        <v>0.90462252368600637</v>
      </c>
      <c r="D603">
        <f>E603*(SQRT($C$2/C603))</f>
        <v>69.820924711962206</v>
      </c>
      <c r="E603">
        <v>60</v>
      </c>
      <c r="F603">
        <v>1150</v>
      </c>
      <c r="G603">
        <v>500</v>
      </c>
      <c r="H603">
        <f>CONVERT(G603,"HP","kW")</f>
        <v>372.84993579113512</v>
      </c>
      <c r="I603">
        <v>0.66920000000000002</v>
      </c>
      <c r="J603">
        <v>0.47289999999999999</v>
      </c>
      <c r="K603">
        <v>0.51929999999999998</v>
      </c>
      <c r="L603">
        <v>5.9900000000000002E-2</v>
      </c>
      <c r="M603">
        <v>8.48E-2</v>
      </c>
      <c r="N603">
        <f>CONVERT(O603,"lbf","N")</f>
        <v>6947.2325187138485</v>
      </c>
      <c r="O603">
        <v>1561.8</v>
      </c>
      <c r="P603">
        <f t="shared" si="9"/>
        <v>1.4156928213689481</v>
      </c>
    </row>
    <row r="604" spans="1:16" hidden="1" x14ac:dyDescent="0.25">
      <c r="A604">
        <v>0</v>
      </c>
      <c r="B604">
        <v>10000</v>
      </c>
      <c r="C604">
        <f>1.225 * (1 - 0.00000687559 * B604) ^ 4.2561</f>
        <v>0.90462252368600637</v>
      </c>
      <c r="D604">
        <f>E604*(SQRT($C$2/C604))</f>
        <v>93.09456628261627</v>
      </c>
      <c r="E604">
        <v>80</v>
      </c>
      <c r="F604">
        <v>1150</v>
      </c>
      <c r="G604">
        <v>500</v>
      </c>
      <c r="H604">
        <f>CONVERT(G604,"HP","kW")</f>
        <v>372.84993579113512</v>
      </c>
      <c r="I604">
        <v>0.72740000000000005</v>
      </c>
      <c r="J604">
        <v>0.63060000000000005</v>
      </c>
      <c r="K604">
        <v>0.52859999999999996</v>
      </c>
      <c r="L604">
        <v>5.9900000000000002E-2</v>
      </c>
      <c r="M604">
        <v>6.9099999999999995E-2</v>
      </c>
      <c r="N604">
        <f>CONVERT(O604,"lbf","N")</f>
        <v>5663.4757605496688</v>
      </c>
      <c r="O604">
        <v>1273.2</v>
      </c>
      <c r="P604">
        <f t="shared" si="9"/>
        <v>1.1535893155258763</v>
      </c>
    </row>
    <row r="605" spans="1:16" hidden="1" x14ac:dyDescent="0.25">
      <c r="A605">
        <v>0</v>
      </c>
      <c r="B605">
        <v>10000</v>
      </c>
      <c r="C605">
        <f>1.225 * (1 - 0.00000687559 * B605) ^ 4.2561</f>
        <v>0.90462252368600637</v>
      </c>
      <c r="D605">
        <f>E605*(SQRT($C$2/C605))</f>
        <v>116.36820785327033</v>
      </c>
      <c r="E605">
        <v>100</v>
      </c>
      <c r="F605">
        <v>1150</v>
      </c>
      <c r="G605">
        <v>500</v>
      </c>
      <c r="H605">
        <f>CONVERT(G605,"HP","kW")</f>
        <v>372.84993579113512</v>
      </c>
      <c r="I605">
        <v>0.75529999999999997</v>
      </c>
      <c r="J605">
        <v>0.78820000000000001</v>
      </c>
      <c r="K605">
        <v>0.54</v>
      </c>
      <c r="L605">
        <v>5.9900000000000002E-2</v>
      </c>
      <c r="M605">
        <v>5.74E-2</v>
      </c>
      <c r="N605">
        <f>CONVERT(O605,"lbf","N")</f>
        <v>4704.4391802995042</v>
      </c>
      <c r="O605">
        <v>1057.5999999999999</v>
      </c>
      <c r="P605">
        <f t="shared" si="9"/>
        <v>0.95826377295492482</v>
      </c>
    </row>
    <row r="606" spans="1:16" hidden="1" x14ac:dyDescent="0.25">
      <c r="A606">
        <v>0</v>
      </c>
      <c r="B606">
        <v>10000</v>
      </c>
      <c r="C606">
        <f>1.225 * (1 - 0.00000687559 * B606) ^ 4.2561</f>
        <v>0.90462252368600637</v>
      </c>
      <c r="D606">
        <f>E606*(SQRT($C$2/C606))</f>
        <v>139.64184942392441</v>
      </c>
      <c r="E606">
        <v>120</v>
      </c>
      <c r="F606">
        <v>1150</v>
      </c>
      <c r="G606">
        <v>500</v>
      </c>
      <c r="H606">
        <f>CONVERT(G606,"HP","kW")</f>
        <v>372.84993579113512</v>
      </c>
      <c r="I606">
        <v>0.76490000000000002</v>
      </c>
      <c r="J606">
        <v>0.94589999999999996</v>
      </c>
      <c r="K606">
        <v>0.55349999999999999</v>
      </c>
      <c r="L606">
        <v>5.9900000000000002E-2</v>
      </c>
      <c r="M606">
        <v>4.8500000000000001E-2</v>
      </c>
      <c r="N606">
        <f>CONVERT(O606,"lbf","N")</f>
        <v>3969.5929694584702</v>
      </c>
      <c r="O606">
        <v>892.4</v>
      </c>
      <c r="P606">
        <f t="shared" si="9"/>
        <v>0.80968280467445741</v>
      </c>
    </row>
    <row r="607" spans="1:16" hidden="1" x14ac:dyDescent="0.25">
      <c r="A607">
        <v>0</v>
      </c>
      <c r="B607">
        <v>10000</v>
      </c>
      <c r="C607">
        <f>1.225 * (1 - 0.00000687559 * B607) ^ 4.2561</f>
        <v>0.90462252368600637</v>
      </c>
      <c r="D607">
        <f>E607*(SQRT($C$2/C607))</f>
        <v>186.18913256523254</v>
      </c>
      <c r="E607">
        <v>160</v>
      </c>
      <c r="F607">
        <v>1150</v>
      </c>
      <c r="G607">
        <v>500</v>
      </c>
      <c r="H607">
        <f>CONVERT(G607,"HP","kW")</f>
        <v>372.84993579113512</v>
      </c>
      <c r="I607">
        <v>0.74860000000000004</v>
      </c>
      <c r="J607">
        <v>1.2612000000000001</v>
      </c>
      <c r="K607">
        <v>0.58620000000000005</v>
      </c>
      <c r="L607">
        <v>5.9900000000000002E-2</v>
      </c>
      <c r="M607">
        <v>3.56E-2</v>
      </c>
      <c r="N607">
        <f>CONVERT(O607,"lbf","N")</f>
        <v>2914.0299801571537</v>
      </c>
      <c r="O607">
        <v>655.1</v>
      </c>
      <c r="P607">
        <f t="shared" si="9"/>
        <v>0.59432387312186974</v>
      </c>
    </row>
    <row r="608" spans="1:16" hidden="1" x14ac:dyDescent="0.25">
      <c r="A608">
        <v>0</v>
      </c>
      <c r="B608">
        <v>10000</v>
      </c>
      <c r="C608">
        <f>1.225 * (1 - 0.00000687559 * B608) ^ 4.2561</f>
        <v>0.90462252368600637</v>
      </c>
      <c r="D608">
        <f>E608*(SQRT($C$2/C608))</f>
        <v>209.4627741358866</v>
      </c>
      <c r="E608">
        <v>180</v>
      </c>
      <c r="F608">
        <v>1150</v>
      </c>
      <c r="G608">
        <v>500</v>
      </c>
      <c r="H608">
        <f>CONVERT(G608,"HP","kW")</f>
        <v>372.84993579113512</v>
      </c>
      <c r="I608">
        <v>0.72719999999999996</v>
      </c>
      <c r="J608">
        <v>1.4188000000000001</v>
      </c>
      <c r="K608">
        <v>0.60519999999999996</v>
      </c>
      <c r="L608">
        <v>5.9900000000000002E-2</v>
      </c>
      <c r="M608">
        <v>3.0700000000000002E-2</v>
      </c>
      <c r="N608">
        <f>CONVERT(O608,"lbf","N")</f>
        <v>2515.9141455913391</v>
      </c>
      <c r="O608">
        <v>565.6</v>
      </c>
      <c r="P608">
        <f t="shared" si="9"/>
        <v>0.5125208681135226</v>
      </c>
    </row>
    <row r="609" spans="1:16" hidden="1" x14ac:dyDescent="0.25">
      <c r="A609">
        <v>0</v>
      </c>
      <c r="B609">
        <v>10000</v>
      </c>
      <c r="C609">
        <f>1.225 * (1 - 0.00000687559 * B609) ^ 4.2561</f>
        <v>0.90462252368600637</v>
      </c>
      <c r="D609">
        <f>E609*(SQRT($C$2/C609))</f>
        <v>256.01005727719473</v>
      </c>
      <c r="E609">
        <v>220</v>
      </c>
      <c r="F609">
        <v>1150</v>
      </c>
      <c r="G609">
        <v>500</v>
      </c>
      <c r="H609">
        <f>CONVERT(G609,"HP","kW")</f>
        <v>372.84993579113512</v>
      </c>
      <c r="I609">
        <v>0.64200000000000002</v>
      </c>
      <c r="J609">
        <v>1.7341</v>
      </c>
      <c r="K609">
        <v>0.64770000000000005</v>
      </c>
      <c r="L609">
        <v>5.9900000000000002E-2</v>
      </c>
      <c r="M609">
        <v>2.2200000000000001E-2</v>
      </c>
      <c r="N609">
        <f>CONVERT(O609,"lbf","N")</f>
        <v>1817.5433519954404</v>
      </c>
      <c r="O609">
        <v>408.6</v>
      </c>
      <c r="P609">
        <f t="shared" si="9"/>
        <v>0.37061769616026713</v>
      </c>
    </row>
    <row r="610" spans="1:16" hidden="1" x14ac:dyDescent="0.25">
      <c r="A610">
        <v>0</v>
      </c>
      <c r="B610">
        <v>10000</v>
      </c>
      <c r="C610">
        <f>1.225 * (1 - 0.00000687559 * B610) ^ 4.2561</f>
        <v>0.90462252368600637</v>
      </c>
      <c r="D610">
        <f>E610*(SQRT($C$2/C610))</f>
        <v>302.55734041850286</v>
      </c>
      <c r="E610">
        <v>260</v>
      </c>
      <c r="F610">
        <v>1150</v>
      </c>
      <c r="G610">
        <v>500</v>
      </c>
      <c r="H610">
        <f>CONVERT(G610,"HP","kW")</f>
        <v>372.84993579113512</v>
      </c>
      <c r="I610">
        <v>0.45050000000000001</v>
      </c>
      <c r="J610">
        <v>2.0493999999999999</v>
      </c>
      <c r="K610">
        <v>0.69520000000000004</v>
      </c>
      <c r="L610">
        <v>5.9900000000000002E-2</v>
      </c>
      <c r="M610">
        <v>1.32E-2</v>
      </c>
      <c r="N610">
        <f>CONVERT(O610,"lbf","N")</f>
        <v>1079.1385638621973</v>
      </c>
      <c r="O610">
        <v>242.6</v>
      </c>
      <c r="P610">
        <f t="shared" si="9"/>
        <v>0.22036727879799664</v>
      </c>
    </row>
    <row r="611" spans="1:16" hidden="1" x14ac:dyDescent="0.25">
      <c r="A611">
        <v>0</v>
      </c>
      <c r="B611">
        <v>10000</v>
      </c>
      <c r="C611">
        <f>1.225 * (1 - 0.00000687559 * B611) ^ 4.2561</f>
        <v>0.90462252368600637</v>
      </c>
      <c r="D611">
        <f>E611*(SQRT($C$2/C611))</f>
        <v>162.91549099457848</v>
      </c>
      <c r="E611">
        <v>140</v>
      </c>
      <c r="F611">
        <v>1150</v>
      </c>
      <c r="G611">
        <v>500</v>
      </c>
      <c r="H611">
        <f>CONVERT(G611,"HP","kW")</f>
        <v>372.84993579113512</v>
      </c>
      <c r="I611">
        <v>0.7621</v>
      </c>
      <c r="J611">
        <v>1.1034999999999999</v>
      </c>
      <c r="K611">
        <v>0.56889999999999996</v>
      </c>
      <c r="L611">
        <v>0.06</v>
      </c>
      <c r="M611">
        <v>4.1500000000000002E-2</v>
      </c>
      <c r="N611">
        <f>CONVERT(O611,"lbf","N")</f>
        <v>3390.4345151515531</v>
      </c>
      <c r="O611">
        <v>762.2</v>
      </c>
      <c r="P611">
        <f t="shared" si="9"/>
        <v>0.69166666666666676</v>
      </c>
    </row>
    <row r="612" spans="1:16" hidden="1" x14ac:dyDescent="0.25">
      <c r="A612">
        <v>0</v>
      </c>
      <c r="B612">
        <v>25000</v>
      </c>
      <c r="C612">
        <f>1.225 * (1 - 0.00000687559 * B612) ^ 4.2561</f>
        <v>0.54892259437885793</v>
      </c>
      <c r="D612">
        <f>E612*(SQRT($C$2/C612))</f>
        <v>29.877378321820672</v>
      </c>
      <c r="E612">
        <v>20</v>
      </c>
      <c r="F612">
        <v>987</v>
      </c>
      <c r="G612">
        <v>200</v>
      </c>
      <c r="H612">
        <f>CONVERT(G612,"HP","kW")</f>
        <v>149.13997431645407</v>
      </c>
      <c r="I612">
        <v>0.45610000000000001</v>
      </c>
      <c r="J612">
        <v>0.23580000000000001</v>
      </c>
      <c r="K612">
        <v>0.46300000000000002</v>
      </c>
      <c r="L612">
        <v>6.25E-2</v>
      </c>
      <c r="M612">
        <v>0.12089999999999999</v>
      </c>
      <c r="N612">
        <f>CONVERT(O612,"lbf","N")</f>
        <v>4425.5356850226708</v>
      </c>
      <c r="O612">
        <v>994.9</v>
      </c>
      <c r="P612">
        <f t="shared" si="9"/>
        <v>1.9343999999999999</v>
      </c>
    </row>
    <row r="613" spans="1:16" hidden="1" x14ac:dyDescent="0.25">
      <c r="A613">
        <v>0</v>
      </c>
      <c r="B613">
        <v>25000</v>
      </c>
      <c r="C613">
        <f>1.225 * (1 - 0.00000687559 * B613) ^ 4.2561</f>
        <v>0.54892259437885793</v>
      </c>
      <c r="D613">
        <f>E613*(SQRT($C$2/C613))</f>
        <v>59.754756643641343</v>
      </c>
      <c r="E613">
        <v>40</v>
      </c>
      <c r="F613">
        <v>987</v>
      </c>
      <c r="G613">
        <v>200</v>
      </c>
      <c r="H613">
        <f>CONVERT(G613,"HP","kW")</f>
        <v>149.13997431645407</v>
      </c>
      <c r="I613">
        <v>0.68159999999999998</v>
      </c>
      <c r="J613">
        <v>0.47160000000000002</v>
      </c>
      <c r="K613">
        <v>0.47249999999999998</v>
      </c>
      <c r="L613">
        <v>6.25E-2</v>
      </c>
      <c r="M613">
        <v>9.0300000000000005E-2</v>
      </c>
      <c r="N613">
        <f>CONVERT(O613,"lbf","N")</f>
        <v>3307.252770946182</v>
      </c>
      <c r="O613">
        <v>743.5</v>
      </c>
      <c r="P613">
        <f t="shared" si="9"/>
        <v>1.4448000000000001</v>
      </c>
    </row>
    <row r="614" spans="1:16" hidden="1" x14ac:dyDescent="0.25">
      <c r="A614">
        <v>0</v>
      </c>
      <c r="B614">
        <v>25000</v>
      </c>
      <c r="C614">
        <f>1.225 * (1 - 0.00000687559 * B614) ^ 4.2561</f>
        <v>0.54892259437885793</v>
      </c>
      <c r="D614">
        <f>E614*(SQRT($C$2/C614))</f>
        <v>89.632134965462015</v>
      </c>
      <c r="E614">
        <v>60</v>
      </c>
      <c r="F614">
        <v>987</v>
      </c>
      <c r="G614">
        <v>200</v>
      </c>
      <c r="H614">
        <f>CONVERT(G614,"HP","kW")</f>
        <v>149.13997431645407</v>
      </c>
      <c r="I614">
        <v>0.7681</v>
      </c>
      <c r="J614">
        <v>0.70740000000000003</v>
      </c>
      <c r="K614">
        <v>0.4859</v>
      </c>
      <c r="L614">
        <v>6.25E-2</v>
      </c>
      <c r="M614">
        <v>6.7900000000000002E-2</v>
      </c>
      <c r="N614">
        <f>CONVERT(O614,"lbf","N")</f>
        <v>2484.3317721229892</v>
      </c>
      <c r="O614">
        <v>558.5</v>
      </c>
      <c r="P614">
        <f t="shared" si="9"/>
        <v>1.0864</v>
      </c>
    </row>
    <row r="615" spans="1:16" hidden="1" x14ac:dyDescent="0.25">
      <c r="A615">
        <v>0</v>
      </c>
      <c r="B615">
        <v>25000</v>
      </c>
      <c r="C615">
        <f>1.225 * (1 - 0.00000687559 * B615) ^ 4.2561</f>
        <v>0.54892259437885793</v>
      </c>
      <c r="D615">
        <f>E615*(SQRT($C$2/C615))</f>
        <v>119.50951328728269</v>
      </c>
      <c r="E615">
        <v>80</v>
      </c>
      <c r="F615">
        <v>987</v>
      </c>
      <c r="G615">
        <v>200</v>
      </c>
      <c r="H615">
        <f>CONVERT(G615,"HP","kW")</f>
        <v>149.13997431645407</v>
      </c>
      <c r="I615">
        <v>0.79510000000000003</v>
      </c>
      <c r="J615">
        <v>0.94320000000000004</v>
      </c>
      <c r="K615">
        <v>0.50349999999999995</v>
      </c>
      <c r="L615">
        <v>6.25E-2</v>
      </c>
      <c r="M615">
        <v>5.2699999999999997E-2</v>
      </c>
      <c r="N615">
        <f>CONVERT(O615,"lbf","N")</f>
        <v>1928.7488923769531</v>
      </c>
      <c r="O615">
        <v>433.6</v>
      </c>
      <c r="P615">
        <f t="shared" si="9"/>
        <v>0.84319999999999995</v>
      </c>
    </row>
    <row r="616" spans="1:16" hidden="1" x14ac:dyDescent="0.25">
      <c r="A616">
        <v>0</v>
      </c>
      <c r="B616">
        <v>25000</v>
      </c>
      <c r="C616">
        <f>1.225 * (1 - 0.00000687559 * B616) ^ 4.2561</f>
        <v>0.54892259437885793</v>
      </c>
      <c r="D616">
        <f>E616*(SQRT($C$2/C616))</f>
        <v>149.38689160910337</v>
      </c>
      <c r="E616">
        <v>100</v>
      </c>
      <c r="F616">
        <v>987</v>
      </c>
      <c r="G616">
        <v>200</v>
      </c>
      <c r="H616">
        <f>CONVERT(G616,"HP","kW")</f>
        <v>149.13997431645407</v>
      </c>
      <c r="I616">
        <v>0.79259999999999997</v>
      </c>
      <c r="J616">
        <v>1.179</v>
      </c>
      <c r="K616">
        <v>0.52510000000000001</v>
      </c>
      <c r="L616">
        <v>6.25E-2</v>
      </c>
      <c r="M616">
        <v>4.2000000000000003E-2</v>
      </c>
      <c r="N616">
        <f>CONVERT(O616,"lbf","N")</f>
        <v>1538.1950345570808</v>
      </c>
      <c r="O616">
        <v>345.8</v>
      </c>
      <c r="P616">
        <f t="shared" si="9"/>
        <v>0.67200000000000004</v>
      </c>
    </row>
    <row r="617" spans="1:16" hidden="1" x14ac:dyDescent="0.25">
      <c r="A617">
        <v>0</v>
      </c>
      <c r="B617">
        <v>25000</v>
      </c>
      <c r="C617">
        <f>1.225 * (1 - 0.00000687559 * B617) ^ 4.2561</f>
        <v>0.54892259437885793</v>
      </c>
      <c r="D617">
        <f>E617*(SQRT($C$2/C617))</f>
        <v>179.26426993092403</v>
      </c>
      <c r="E617">
        <v>120</v>
      </c>
      <c r="F617">
        <v>987</v>
      </c>
      <c r="G617">
        <v>200</v>
      </c>
      <c r="H617">
        <f>CONVERT(G617,"HP","kW")</f>
        <v>149.13997431645407</v>
      </c>
      <c r="I617">
        <v>0.77080000000000004</v>
      </c>
      <c r="J617">
        <v>1.4148000000000001</v>
      </c>
      <c r="K617">
        <v>0.5504</v>
      </c>
      <c r="L617">
        <v>6.25E-2</v>
      </c>
      <c r="M617">
        <v>3.4099999999999998E-2</v>
      </c>
      <c r="N617">
        <f>CONVERT(O617,"lbf","N")</f>
        <v>1246.3916965959922</v>
      </c>
      <c r="O617">
        <v>280.2</v>
      </c>
      <c r="P617">
        <f t="shared" si="9"/>
        <v>0.54559999999999997</v>
      </c>
    </row>
    <row r="618" spans="1:16" hidden="1" x14ac:dyDescent="0.25">
      <c r="A618">
        <v>0</v>
      </c>
      <c r="B618">
        <v>25000</v>
      </c>
      <c r="C618">
        <f>1.225 * (1 - 0.00000687559 * B618) ^ 4.2561</f>
        <v>0.54892259437885793</v>
      </c>
      <c r="D618">
        <f>E618*(SQRT($C$2/C618))</f>
        <v>209.14164825274472</v>
      </c>
      <c r="E618">
        <v>140</v>
      </c>
      <c r="F618">
        <v>987</v>
      </c>
      <c r="G618">
        <v>200</v>
      </c>
      <c r="H618">
        <f>CONVERT(G618,"HP","kW")</f>
        <v>149.13997431645407</v>
      </c>
      <c r="I618">
        <v>0.72560000000000002</v>
      </c>
      <c r="J618">
        <v>1.6506000000000001</v>
      </c>
      <c r="K618">
        <v>0.57869999999999999</v>
      </c>
      <c r="L618">
        <v>6.25E-2</v>
      </c>
      <c r="M618">
        <v>2.75E-2</v>
      </c>
      <c r="N618">
        <f>CONVERT(O618,"lbf","N")</f>
        <v>1005.742907210399</v>
      </c>
      <c r="O618">
        <v>226.1</v>
      </c>
      <c r="P618">
        <f t="shared" si="9"/>
        <v>0.44</v>
      </c>
    </row>
    <row r="619" spans="1:16" hidden="1" x14ac:dyDescent="0.25">
      <c r="A619">
        <v>0</v>
      </c>
      <c r="B619">
        <v>25000</v>
      </c>
      <c r="C619">
        <f>1.225 * (1 - 0.00000687559 * B619) ^ 4.2561</f>
        <v>0.54892259437885793</v>
      </c>
      <c r="D619">
        <f>E619*(SQRT($C$2/C619))</f>
        <v>239.01902657456537</v>
      </c>
      <c r="E619">
        <v>160</v>
      </c>
      <c r="F619">
        <v>987</v>
      </c>
      <c r="G619">
        <v>200</v>
      </c>
      <c r="H619">
        <f>CONVERT(G619,"HP","kW")</f>
        <v>149.13997431645407</v>
      </c>
      <c r="I619">
        <v>0.64759999999999995</v>
      </c>
      <c r="J619">
        <v>1.8864000000000001</v>
      </c>
      <c r="K619">
        <v>0.60980000000000001</v>
      </c>
      <c r="L619">
        <v>6.25E-2</v>
      </c>
      <c r="M619">
        <v>2.1499999999999998E-2</v>
      </c>
      <c r="N619">
        <f>CONVERT(O619,"lbf","N")</f>
        <v>785.55593725500432</v>
      </c>
      <c r="O619">
        <v>176.6</v>
      </c>
      <c r="P619">
        <f t="shared" si="9"/>
        <v>0.34399999999999997</v>
      </c>
    </row>
    <row r="620" spans="1:16" hidden="1" x14ac:dyDescent="0.25">
      <c r="A620">
        <v>0</v>
      </c>
      <c r="B620">
        <v>25000</v>
      </c>
      <c r="C620">
        <f>1.225 * (1 - 0.00000687559 * B620) ^ 4.2561</f>
        <v>0.54892259437885793</v>
      </c>
      <c r="D620">
        <f>E620*(SQRT($C$2/C620))</f>
        <v>268.89640489638606</v>
      </c>
      <c r="E620">
        <v>180</v>
      </c>
      <c r="F620">
        <v>987</v>
      </c>
      <c r="G620">
        <v>200</v>
      </c>
      <c r="H620">
        <f>CONVERT(G620,"HP","kW")</f>
        <v>149.13997431645407</v>
      </c>
      <c r="I620">
        <v>0.53120000000000001</v>
      </c>
      <c r="J620">
        <v>2.1221999999999999</v>
      </c>
      <c r="K620">
        <v>0.64329999999999998</v>
      </c>
      <c r="L620">
        <v>6.25E-2</v>
      </c>
      <c r="M620">
        <v>1.5599999999999999E-2</v>
      </c>
      <c r="N620">
        <f>CONVERT(O620,"lbf","N")</f>
        <v>572.93094404555245</v>
      </c>
      <c r="O620">
        <v>128.80000000000001</v>
      </c>
      <c r="P620">
        <f t="shared" si="9"/>
        <v>0.24959999999999999</v>
      </c>
    </row>
    <row r="621" spans="1:16" hidden="1" x14ac:dyDescent="0.25">
      <c r="A621">
        <v>0</v>
      </c>
      <c r="B621">
        <v>25000</v>
      </c>
      <c r="C621">
        <f>1.225 * (1 - 0.00000687559 * B621) ^ 4.2561</f>
        <v>0.54892259437885793</v>
      </c>
      <c r="D621">
        <f>E621*(SQRT($C$2/C621))</f>
        <v>298.77378321820675</v>
      </c>
      <c r="E621">
        <v>200</v>
      </c>
      <c r="F621">
        <v>987</v>
      </c>
      <c r="G621">
        <v>200</v>
      </c>
      <c r="H621">
        <f>CONVERT(G621,"HP","kW")</f>
        <v>149.13997431645407</v>
      </c>
      <c r="I621">
        <v>0.35720000000000002</v>
      </c>
      <c r="J621">
        <v>2.3580000000000001</v>
      </c>
      <c r="K621">
        <v>0.67869999999999997</v>
      </c>
      <c r="L621">
        <v>6.25E-2</v>
      </c>
      <c r="M621">
        <v>9.4999999999999998E-3</v>
      </c>
      <c r="N621">
        <f>CONVERT(O621,"lbf","N")</f>
        <v>346.51646382879301</v>
      </c>
      <c r="O621">
        <v>77.900000000000006</v>
      </c>
      <c r="P621">
        <f t="shared" si="9"/>
        <v>0.152</v>
      </c>
    </row>
    <row r="622" spans="1:16" hidden="1" x14ac:dyDescent="0.25">
      <c r="A622">
        <v>0</v>
      </c>
      <c r="B622">
        <v>25000</v>
      </c>
      <c r="C622">
        <f>1.225 * (1 - 0.00000687559 * B622) ^ 4.2561</f>
        <v>0.54892259437885793</v>
      </c>
      <c r="D622">
        <f>E622*(SQRT($C$2/C622))</f>
        <v>328.65116154002743</v>
      </c>
      <c r="E622">
        <v>220</v>
      </c>
      <c r="F622">
        <v>987</v>
      </c>
      <c r="G622">
        <v>200</v>
      </c>
      <c r="H622">
        <f>CONVERT(G622,"HP","kW")</f>
        <v>149.13997431645407</v>
      </c>
      <c r="I622">
        <v>5.5599999999999997E-2</v>
      </c>
      <c r="J622">
        <v>2.5937999999999999</v>
      </c>
      <c r="K622">
        <v>0.71579999999999999</v>
      </c>
      <c r="L622">
        <v>6.25E-2</v>
      </c>
      <c r="M622">
        <v>1.2999999999999999E-3</v>
      </c>
      <c r="N622">
        <f>CONVERT(O622,"lbf","N")</f>
        <v>48.930437767865499</v>
      </c>
      <c r="O622">
        <v>11</v>
      </c>
      <c r="P622">
        <f t="shared" si="9"/>
        <v>2.0799999999999999E-2</v>
      </c>
    </row>
    <row r="623" spans="1:16" hidden="1" x14ac:dyDescent="0.25">
      <c r="A623">
        <v>0</v>
      </c>
      <c r="B623">
        <v>25000</v>
      </c>
      <c r="C623">
        <f>1.225 * (1 - 0.00000687559 * B623) ^ 4.2561</f>
        <v>0.54892259437885793</v>
      </c>
      <c r="D623">
        <f>E623*(SQRT($C$2/C623))</f>
        <v>358.52853986184806</v>
      </c>
      <c r="E623">
        <v>240</v>
      </c>
      <c r="F623">
        <v>987</v>
      </c>
      <c r="G623">
        <v>200</v>
      </c>
      <c r="H623">
        <f>CONVERT(G623,"HP","kW")</f>
        <v>149.13997431645407</v>
      </c>
      <c r="I623">
        <v>-0.48209999999999997</v>
      </c>
      <c r="J623">
        <v>2.8296000000000001</v>
      </c>
      <c r="K623">
        <v>0.75429999999999997</v>
      </c>
      <c r="L623">
        <v>6.25E-2</v>
      </c>
      <c r="M623">
        <v>-1.06E-2</v>
      </c>
      <c r="N623">
        <f>CONVERT(O623,"lbf","N")</f>
        <v>-389.6642134968198</v>
      </c>
      <c r="O623">
        <v>-87.6</v>
      </c>
      <c r="P623">
        <f t="shared" si="9"/>
        <v>-0.1696</v>
      </c>
    </row>
    <row r="624" spans="1:16" hidden="1" x14ac:dyDescent="0.25">
      <c r="A624">
        <v>0</v>
      </c>
      <c r="B624">
        <v>25000</v>
      </c>
      <c r="C624">
        <f>1.225 * (1 - 0.00000687559 * B624) ^ 4.2561</f>
        <v>0.54892259437885793</v>
      </c>
      <c r="D624">
        <f>E624*(SQRT($C$2/C624))</f>
        <v>388.40591818366875</v>
      </c>
      <c r="E624">
        <v>260</v>
      </c>
      <c r="F624">
        <v>987</v>
      </c>
      <c r="G624">
        <v>200</v>
      </c>
      <c r="H624">
        <f>CONVERT(G624,"HP","kW")</f>
        <v>149.13997431645407</v>
      </c>
      <c r="I624">
        <v>0</v>
      </c>
      <c r="J624">
        <v>3.0653999999999999</v>
      </c>
      <c r="K624">
        <v>0.79410000000000003</v>
      </c>
      <c r="L624">
        <v>6.25E-2</v>
      </c>
      <c r="M624">
        <v>-2.7199999999999998E-2</v>
      </c>
      <c r="N624">
        <f>CONVERT(O624,"lbf","N")</f>
        <v>-995.95681965682593</v>
      </c>
      <c r="O624">
        <v>-223.9</v>
      </c>
      <c r="P624">
        <f t="shared" si="9"/>
        <v>-0.43519999999999998</v>
      </c>
    </row>
    <row r="625" spans="1:16" hidden="1" x14ac:dyDescent="0.25">
      <c r="A625">
        <v>0</v>
      </c>
      <c r="B625">
        <v>25000</v>
      </c>
      <c r="C625">
        <f>1.225 * (1 - 0.00000687559 * B625) ^ 4.2561</f>
        <v>0.54892259437885793</v>
      </c>
      <c r="D625">
        <f>E625*(SQRT($C$2/C625))</f>
        <v>0</v>
      </c>
      <c r="E625">
        <v>0</v>
      </c>
      <c r="F625">
        <v>987</v>
      </c>
      <c r="G625">
        <v>200</v>
      </c>
      <c r="H625">
        <f>CONVERT(G625,"HP","kW")</f>
        <v>149.13997431645407</v>
      </c>
      <c r="I625">
        <v>0</v>
      </c>
      <c r="J625">
        <v>0</v>
      </c>
      <c r="K625">
        <v>0.45610000000000001</v>
      </c>
      <c r="L625">
        <v>6.2600000000000003E-2</v>
      </c>
      <c r="M625">
        <v>0.15229999999999999</v>
      </c>
      <c r="N625">
        <f>CONVERT(O625,"lbf","N")</f>
        <v>5569.6182844676723</v>
      </c>
      <c r="O625">
        <v>1252.0999999999999</v>
      </c>
      <c r="P625">
        <f t="shared" si="9"/>
        <v>2.4329073482428112</v>
      </c>
    </row>
    <row r="626" spans="1:16" s="4" customFormat="1" hidden="1" x14ac:dyDescent="0.25">
      <c r="A626">
        <v>0</v>
      </c>
      <c r="B626">
        <v>5000</v>
      </c>
      <c r="C626">
        <f>1.225 * (1 - 0.00000687559 * B626) ^ 4.2561</f>
        <v>1.0555380742846066</v>
      </c>
      <c r="D626">
        <f>E626*(SQRT($C$2/C626))</f>
        <v>0</v>
      </c>
      <c r="E626">
        <v>0</v>
      </c>
      <c r="F626">
        <v>1215</v>
      </c>
      <c r="G626">
        <v>750</v>
      </c>
      <c r="H626">
        <f>CONVERT(G626,"HP","kW")</f>
        <v>559.27490368670271</v>
      </c>
      <c r="I626">
        <v>0</v>
      </c>
      <c r="J626">
        <v>0</v>
      </c>
      <c r="K626">
        <v>0.51959999999999995</v>
      </c>
      <c r="L626">
        <v>6.5299999999999997E-2</v>
      </c>
      <c r="M626">
        <v>0.157</v>
      </c>
      <c r="N626">
        <f>CONVERT(O626,"lbf","N")</f>
        <v>16750.668136586464</v>
      </c>
      <c r="O626">
        <v>3765.7</v>
      </c>
      <c r="P626" s="4">
        <f t="shared" si="9"/>
        <v>2.4042879019908119</v>
      </c>
    </row>
    <row r="627" spans="1:16" s="4" customFormat="1" hidden="1" x14ac:dyDescent="0.25">
      <c r="A627">
        <v>0</v>
      </c>
      <c r="B627">
        <v>5000</v>
      </c>
      <c r="C627">
        <f>1.225 * (1 - 0.00000687559 * B627) ^ 4.2561</f>
        <v>1.0555380742846066</v>
      </c>
      <c r="D627">
        <f>E627*(SQRT($C$2/C627))</f>
        <v>21.545723806091175</v>
      </c>
      <c r="E627">
        <v>20</v>
      </c>
      <c r="F627">
        <v>1215</v>
      </c>
      <c r="G627">
        <v>750</v>
      </c>
      <c r="H627">
        <f>CONVERT(G627,"HP","kW")</f>
        <v>559.27490368670271</v>
      </c>
      <c r="I627">
        <v>0.29360000000000003</v>
      </c>
      <c r="J627">
        <v>0.1381</v>
      </c>
      <c r="K627">
        <v>0.52400000000000002</v>
      </c>
      <c r="L627">
        <v>6.5299999999999997E-2</v>
      </c>
      <c r="M627">
        <v>0.1389</v>
      </c>
      <c r="N627">
        <f>CONVERT(O627,"lbf","N")</f>
        <v>14816.581378271201</v>
      </c>
      <c r="O627">
        <v>3330.9</v>
      </c>
      <c r="P627" s="4">
        <f t="shared" si="9"/>
        <v>2.127105666156202</v>
      </c>
    </row>
    <row r="628" spans="1:16" s="4" customFormat="1" hidden="1" x14ac:dyDescent="0.25">
      <c r="A628">
        <v>0</v>
      </c>
      <c r="B628">
        <v>5000</v>
      </c>
      <c r="C628">
        <f>1.225 * (1 - 0.00000687559 * B628) ^ 4.2561</f>
        <v>1.0555380742846066</v>
      </c>
      <c r="D628">
        <f>E628*(SQRT($C$2/C628))</f>
        <v>43.09144761218235</v>
      </c>
      <c r="E628">
        <v>40</v>
      </c>
      <c r="F628">
        <v>1215</v>
      </c>
      <c r="G628">
        <v>750</v>
      </c>
      <c r="H628">
        <f>CONVERT(G628,"HP","kW")</f>
        <v>559.27490368670271</v>
      </c>
      <c r="I628">
        <v>0.50560000000000005</v>
      </c>
      <c r="J628">
        <v>0.27629999999999999</v>
      </c>
      <c r="K628">
        <v>0.5292</v>
      </c>
      <c r="L628">
        <v>6.5299999999999997E-2</v>
      </c>
      <c r="M628">
        <v>0.1196</v>
      </c>
      <c r="N628">
        <f>CONVERT(O628,"lbf","N")</f>
        <v>12756.609948244064</v>
      </c>
      <c r="O628">
        <v>2867.8</v>
      </c>
      <c r="P628" s="4">
        <f t="shared" si="9"/>
        <v>1.8315467075038285</v>
      </c>
    </row>
    <row r="629" spans="1:16" s="4" customFormat="1" hidden="1" x14ac:dyDescent="0.25">
      <c r="A629">
        <v>0</v>
      </c>
      <c r="B629">
        <v>5000</v>
      </c>
      <c r="C629">
        <f>1.225 * (1 - 0.00000687559 * B629) ^ 4.2561</f>
        <v>1.0555380742846066</v>
      </c>
      <c r="D629">
        <f>E629*(SQRT($C$2/C629))</f>
        <v>64.637171418273525</v>
      </c>
      <c r="E629">
        <v>60</v>
      </c>
      <c r="F629">
        <v>1215</v>
      </c>
      <c r="G629">
        <v>750</v>
      </c>
      <c r="H629">
        <f>CONVERT(G629,"HP","kW")</f>
        <v>559.27490368670271</v>
      </c>
      <c r="I629">
        <v>0.63780000000000003</v>
      </c>
      <c r="J629">
        <v>0.41439999999999999</v>
      </c>
      <c r="K629">
        <v>0.53559999999999997</v>
      </c>
      <c r="L629">
        <v>6.5299999999999997E-2</v>
      </c>
      <c r="M629">
        <v>0.10050000000000001</v>
      </c>
      <c r="N629">
        <f>CONVERT(O629,"lbf","N")</f>
        <v>10726.441603039171</v>
      </c>
      <c r="O629">
        <v>2411.4</v>
      </c>
      <c r="P629" s="4">
        <f t="shared" si="9"/>
        <v>1.5390505359877491</v>
      </c>
    </row>
    <row r="630" spans="1:16" s="6" customFormat="1" hidden="1" x14ac:dyDescent="0.25">
      <c r="A630">
        <v>0</v>
      </c>
      <c r="B630">
        <v>5000</v>
      </c>
      <c r="C630">
        <f>1.225 * (1 - 0.00000687559 * B630) ^ 4.2561</f>
        <v>1.0555380742846066</v>
      </c>
      <c r="D630">
        <f>E630*(SQRT($C$2/C630))</f>
        <v>86.1828952243647</v>
      </c>
      <c r="E630">
        <v>80</v>
      </c>
      <c r="F630">
        <v>1215</v>
      </c>
      <c r="G630">
        <v>750</v>
      </c>
      <c r="H630">
        <f>CONVERT(G630,"HP","kW")</f>
        <v>559.27490368670271</v>
      </c>
      <c r="I630">
        <v>0.71240000000000003</v>
      </c>
      <c r="J630">
        <v>0.55259999999999998</v>
      </c>
      <c r="K630">
        <v>0.54330000000000001</v>
      </c>
      <c r="L630">
        <v>6.5299999999999997E-2</v>
      </c>
      <c r="M630">
        <v>8.4199999999999997E-2</v>
      </c>
      <c r="N630">
        <f>CONVERT(O630,"lbf","N")</f>
        <v>8986.7421293107873</v>
      </c>
      <c r="O630">
        <v>2020.3</v>
      </c>
      <c r="P630" s="6">
        <f t="shared" si="9"/>
        <v>1.2894333843797856</v>
      </c>
    </row>
    <row r="631" spans="1:16" s="6" customFormat="1" hidden="1" x14ac:dyDescent="0.25">
      <c r="A631">
        <v>0</v>
      </c>
      <c r="B631">
        <v>5000</v>
      </c>
      <c r="C631">
        <f>1.225 * (1 - 0.00000687559 * B631) ^ 4.2561</f>
        <v>1.0555380742846066</v>
      </c>
      <c r="D631">
        <f>E631*(SQRT($C$2/C631))</f>
        <v>129.27434283654705</v>
      </c>
      <c r="E631">
        <v>120</v>
      </c>
      <c r="F631">
        <v>1215</v>
      </c>
      <c r="G631">
        <v>750</v>
      </c>
      <c r="H631">
        <f>CONVERT(G631,"HP","kW")</f>
        <v>559.27490368670271</v>
      </c>
      <c r="I631">
        <v>0.77359999999999995</v>
      </c>
      <c r="J631">
        <v>0.82879999999999998</v>
      </c>
      <c r="K631">
        <v>0.56359999999999999</v>
      </c>
      <c r="L631">
        <v>6.5299999999999997E-2</v>
      </c>
      <c r="M631">
        <v>6.0999999999999999E-2</v>
      </c>
      <c r="N631">
        <f>CONVERT(O631,"lbf","N")</f>
        <v>6505.9689344800063</v>
      </c>
      <c r="O631">
        <v>1462.6</v>
      </c>
      <c r="P631" s="6">
        <f t="shared" si="9"/>
        <v>0.93415007656967841</v>
      </c>
    </row>
    <row r="632" spans="1:16" s="4" customFormat="1" hidden="1" x14ac:dyDescent="0.25">
      <c r="A632">
        <v>0</v>
      </c>
      <c r="B632">
        <v>5000</v>
      </c>
      <c r="C632">
        <f>1.225 * (1 - 0.00000687559 * B632) ^ 4.2561</f>
        <v>1.0555380742846066</v>
      </c>
      <c r="D632">
        <f>E632*(SQRT($C$2/C632))</f>
        <v>150.82006664263821</v>
      </c>
      <c r="E632">
        <v>140</v>
      </c>
      <c r="F632">
        <v>1215</v>
      </c>
      <c r="G632">
        <v>750</v>
      </c>
      <c r="H632">
        <f>CONVERT(G632,"HP","kW")</f>
        <v>559.27490368670271</v>
      </c>
      <c r="I632">
        <v>0.78</v>
      </c>
      <c r="J632">
        <v>0.96699999999999997</v>
      </c>
      <c r="K632">
        <v>0.57630000000000003</v>
      </c>
      <c r="L632">
        <v>6.5299999999999997E-2</v>
      </c>
      <c r="M632">
        <v>5.2699999999999997E-2</v>
      </c>
      <c r="N632">
        <f>CONVERT(O632,"lbf","N")</f>
        <v>5622.5521216892721</v>
      </c>
      <c r="O632">
        <v>1264</v>
      </c>
      <c r="P632" s="4">
        <f t="shared" si="9"/>
        <v>0.8070444104134763</v>
      </c>
    </row>
    <row r="633" spans="1:16" s="4" customFormat="1" hidden="1" x14ac:dyDescent="0.25">
      <c r="A633">
        <v>0</v>
      </c>
      <c r="B633">
        <v>5000</v>
      </c>
      <c r="C633">
        <f>1.225 * (1 - 0.00000687559 * B633) ^ 4.2561</f>
        <v>1.0555380742846066</v>
      </c>
      <c r="D633">
        <f>E633*(SQRT($C$2/C633))</f>
        <v>193.91151425482059</v>
      </c>
      <c r="E633">
        <v>180</v>
      </c>
      <c r="F633">
        <v>1215</v>
      </c>
      <c r="G633">
        <v>750</v>
      </c>
      <c r="H633">
        <f>CONVERT(G633,"HP","kW")</f>
        <v>559.27490368670271</v>
      </c>
      <c r="I633">
        <v>0.76829999999999998</v>
      </c>
      <c r="J633">
        <v>1.2432000000000001</v>
      </c>
      <c r="K633">
        <v>0.60609999999999997</v>
      </c>
      <c r="L633">
        <v>6.5299999999999997E-2</v>
      </c>
      <c r="M633">
        <v>4.0399999999999998E-2</v>
      </c>
      <c r="N633">
        <f>CONVERT(O633,"lbf","N")</f>
        <v>4307.6578122182682</v>
      </c>
      <c r="O633">
        <v>968.4</v>
      </c>
      <c r="P633" s="4">
        <f t="shared" si="9"/>
        <v>0.61868300153139355</v>
      </c>
    </row>
    <row r="634" spans="1:16" s="4" customFormat="1" hidden="1" x14ac:dyDescent="0.25">
      <c r="A634">
        <v>0</v>
      </c>
      <c r="B634">
        <v>5000</v>
      </c>
      <c r="C634">
        <f>1.225 * (1 - 0.00000687559 * B634) ^ 4.2561</f>
        <v>1.0555380742846066</v>
      </c>
      <c r="D634">
        <f>E634*(SQRT($C$2/C634))</f>
        <v>215.45723806091175</v>
      </c>
      <c r="E634">
        <v>200</v>
      </c>
      <c r="F634">
        <v>1215</v>
      </c>
      <c r="G634">
        <v>750</v>
      </c>
      <c r="H634">
        <f>CONVERT(G634,"HP","kW")</f>
        <v>559.27490368670271</v>
      </c>
      <c r="I634">
        <v>0.75249999999999995</v>
      </c>
      <c r="J634">
        <v>1.3814</v>
      </c>
      <c r="K634">
        <v>0.62309999999999999</v>
      </c>
      <c r="L634">
        <v>6.5299999999999997E-2</v>
      </c>
      <c r="M634">
        <v>3.56E-2</v>
      </c>
      <c r="N634">
        <f>CONVERT(O634,"lbf","N")</f>
        <v>3797.001970786363</v>
      </c>
      <c r="O634">
        <v>853.6</v>
      </c>
      <c r="P634" s="4">
        <f t="shared" si="9"/>
        <v>0.54517611026033697</v>
      </c>
    </row>
    <row r="635" spans="1:16" s="4" customFormat="1" hidden="1" x14ac:dyDescent="0.25">
      <c r="A635">
        <v>0</v>
      </c>
      <c r="B635">
        <v>5000</v>
      </c>
      <c r="C635">
        <f>1.225 * (1 - 0.00000687559 * B635) ^ 4.2561</f>
        <v>1.0555380742846066</v>
      </c>
      <c r="D635">
        <f>E635*(SQRT($C$2/C635))</f>
        <v>237.00296186700291</v>
      </c>
      <c r="E635">
        <v>220</v>
      </c>
      <c r="F635">
        <v>1215</v>
      </c>
      <c r="G635">
        <v>750</v>
      </c>
      <c r="H635">
        <f>CONVERT(G635,"HP","kW")</f>
        <v>559.27490368670271</v>
      </c>
      <c r="I635">
        <v>0.72819999999999996</v>
      </c>
      <c r="J635">
        <v>1.5195000000000001</v>
      </c>
      <c r="K635">
        <v>0.64139999999999997</v>
      </c>
      <c r="L635">
        <v>6.5299999999999997E-2</v>
      </c>
      <c r="M635">
        <v>3.1300000000000001E-2</v>
      </c>
      <c r="N635">
        <f>CONVERT(O635,"lbf","N")</f>
        <v>3340.6144330606353</v>
      </c>
      <c r="O635">
        <v>751</v>
      </c>
      <c r="P635" s="4">
        <f t="shared" si="9"/>
        <v>0.47932618683001538</v>
      </c>
    </row>
    <row r="636" spans="1:16" s="4" customFormat="1" hidden="1" x14ac:dyDescent="0.25">
      <c r="A636">
        <v>0</v>
      </c>
      <c r="B636">
        <v>5000</v>
      </c>
      <c r="C636">
        <f>1.225 * (1 - 0.00000687559 * B636) ^ 4.2561</f>
        <v>1.0555380742846066</v>
      </c>
      <c r="D636">
        <f>E636*(SQRT($C$2/C636))</f>
        <v>258.5486856730941</v>
      </c>
      <c r="E636">
        <v>240</v>
      </c>
      <c r="F636">
        <v>1215</v>
      </c>
      <c r="G636">
        <v>750</v>
      </c>
      <c r="H636">
        <f>CONVERT(G636,"HP","kW")</f>
        <v>559.27490368670271</v>
      </c>
      <c r="I636">
        <v>0.68530000000000002</v>
      </c>
      <c r="J636">
        <v>1.6577</v>
      </c>
      <c r="K636">
        <v>0.66080000000000005</v>
      </c>
      <c r="L636">
        <v>6.5299999999999997E-2</v>
      </c>
      <c r="M636">
        <v>2.7E-2</v>
      </c>
      <c r="N636">
        <f>CONVERT(O636,"lbf","N")</f>
        <v>2881.5579623657518</v>
      </c>
      <c r="O636">
        <v>647.79999999999995</v>
      </c>
      <c r="P636" s="4">
        <f t="shared" si="9"/>
        <v>0.41347626339969373</v>
      </c>
    </row>
    <row r="637" spans="1:16" s="4" customFormat="1" hidden="1" x14ac:dyDescent="0.25">
      <c r="A637">
        <v>0</v>
      </c>
      <c r="B637">
        <v>5000</v>
      </c>
      <c r="C637">
        <f>1.225 * (1 - 0.00000687559 * B637) ^ 4.2561</f>
        <v>1.0555380742846066</v>
      </c>
      <c r="D637">
        <f>E637*(SQRT($C$2/C637))</f>
        <v>280.09440947918529</v>
      </c>
      <c r="E637">
        <v>260</v>
      </c>
      <c r="F637">
        <v>1215</v>
      </c>
      <c r="G637">
        <v>750</v>
      </c>
      <c r="H637">
        <f>CONVERT(G637,"HP","kW")</f>
        <v>559.27490368670271</v>
      </c>
      <c r="I637">
        <v>0.62290000000000001</v>
      </c>
      <c r="J637">
        <v>1.7958000000000001</v>
      </c>
      <c r="K637">
        <v>0.68120000000000003</v>
      </c>
      <c r="L637">
        <v>6.5299999999999997E-2</v>
      </c>
      <c r="M637">
        <v>2.2700000000000001E-2</v>
      </c>
      <c r="N637">
        <f>CONVERT(O637,"lbf","N")</f>
        <v>2417.6084478940816</v>
      </c>
      <c r="O637">
        <v>543.5</v>
      </c>
      <c r="P637" s="4">
        <f t="shared" si="9"/>
        <v>0.34762633996937214</v>
      </c>
    </row>
    <row r="638" spans="1:16" hidden="1" x14ac:dyDescent="0.25">
      <c r="A638">
        <v>0</v>
      </c>
      <c r="B638">
        <v>5000</v>
      </c>
      <c r="C638">
        <f>1.225 * (1 - 0.00000687559 * B638) ^ 4.2561</f>
        <v>1.0555380742846066</v>
      </c>
      <c r="D638">
        <f>E638*(SQRT($C$2/C638))</f>
        <v>107.72861903045587</v>
      </c>
      <c r="E638">
        <v>100</v>
      </c>
      <c r="F638">
        <v>1215</v>
      </c>
      <c r="G638">
        <v>750</v>
      </c>
      <c r="H638">
        <f>CONVERT(G638,"HP","kW")</f>
        <v>559.27490368670271</v>
      </c>
      <c r="I638">
        <v>0.75319999999999998</v>
      </c>
      <c r="J638">
        <v>0.69069999999999998</v>
      </c>
      <c r="K638">
        <v>0.55259999999999998</v>
      </c>
      <c r="L638">
        <v>6.54E-2</v>
      </c>
      <c r="M638">
        <v>7.1300000000000002E-2</v>
      </c>
      <c r="N638">
        <f>CONVERT(O638,"lbf","N")</f>
        <v>7600.6762739956166</v>
      </c>
      <c r="O638">
        <v>1708.7</v>
      </c>
      <c r="P638">
        <f t="shared" si="9"/>
        <v>1.0902140672782874</v>
      </c>
    </row>
    <row r="639" spans="1:16" hidden="1" x14ac:dyDescent="0.25">
      <c r="A639">
        <v>0</v>
      </c>
      <c r="B639">
        <v>5000</v>
      </c>
      <c r="C639">
        <f>1.225 * (1 - 0.00000687559 * B639) ^ 4.2561</f>
        <v>1.0555380742846066</v>
      </c>
      <c r="D639">
        <f>E639*(SQRT($C$2/C639))</f>
        <v>172.3657904487294</v>
      </c>
      <c r="E639">
        <v>160</v>
      </c>
      <c r="F639">
        <v>1215</v>
      </c>
      <c r="G639">
        <v>750</v>
      </c>
      <c r="H639">
        <f>CONVERT(G639,"HP","kW")</f>
        <v>559.27490368670271</v>
      </c>
      <c r="I639">
        <v>0.77759999999999996</v>
      </c>
      <c r="J639">
        <v>1.1051</v>
      </c>
      <c r="K639">
        <v>0.59040000000000004</v>
      </c>
      <c r="L639">
        <v>6.54E-2</v>
      </c>
      <c r="M639">
        <v>4.5999999999999999E-2</v>
      </c>
      <c r="N639">
        <f>CONVERT(O639,"lbf","N")</f>
        <v>4904.6091529862269</v>
      </c>
      <c r="O639">
        <v>1102.5999999999999</v>
      </c>
      <c r="P639">
        <f t="shared" si="9"/>
        <v>0.70336391437308865</v>
      </c>
    </row>
    <row r="640" spans="1:16" hidden="1" x14ac:dyDescent="0.25">
      <c r="A640">
        <v>0</v>
      </c>
      <c r="B640">
        <v>20000</v>
      </c>
      <c r="C640">
        <f>1.225 * (1 - 0.00000687559 * B640) ^ 4.2561</f>
        <v>0.65267221054298263</v>
      </c>
      <c r="D640">
        <f>E640*(SQRT($C$2/C640))</f>
        <v>191.79996305164894</v>
      </c>
      <c r="E640">
        <v>140</v>
      </c>
      <c r="F640">
        <v>987</v>
      </c>
      <c r="G640">
        <v>250</v>
      </c>
      <c r="H640">
        <f>CONVERT(G640,"HP","kW")</f>
        <v>186.42496789556756</v>
      </c>
      <c r="I640">
        <v>0.77549999999999997</v>
      </c>
      <c r="J640">
        <v>1.5137</v>
      </c>
      <c r="K640">
        <v>0.55059999999999998</v>
      </c>
      <c r="L640">
        <v>6.5600000000000006E-2</v>
      </c>
      <c r="M640">
        <v>3.3599999999999998E-2</v>
      </c>
      <c r="N640">
        <f>CONVERT(O640,"lbf","N")</f>
        <v>1465.2442000668088</v>
      </c>
      <c r="O640">
        <v>329.4</v>
      </c>
      <c r="P640">
        <f t="shared" si="9"/>
        <v>0.51219512195121941</v>
      </c>
    </row>
    <row r="641" spans="1:16" hidden="1" x14ac:dyDescent="0.25">
      <c r="A641">
        <v>0</v>
      </c>
      <c r="B641">
        <v>20000</v>
      </c>
      <c r="C641">
        <f>1.225 * (1 - 0.00000687559 * B641) ^ 4.2561</f>
        <v>0.65267221054298263</v>
      </c>
      <c r="D641">
        <f>E641*(SQRT($C$2/C641))</f>
        <v>246.59995249497723</v>
      </c>
      <c r="E641">
        <v>180</v>
      </c>
      <c r="F641">
        <v>987</v>
      </c>
      <c r="G641">
        <v>250</v>
      </c>
      <c r="H641">
        <f>CONVERT(G641,"HP","kW")</f>
        <v>186.42496789556756</v>
      </c>
      <c r="I641">
        <v>0.65620000000000001</v>
      </c>
      <c r="J641">
        <v>1.9461999999999999</v>
      </c>
      <c r="K641">
        <v>0.60570000000000002</v>
      </c>
      <c r="L641">
        <v>6.5600000000000006E-2</v>
      </c>
      <c r="M641">
        <v>2.2100000000000002E-2</v>
      </c>
      <c r="N641">
        <f>CONVERT(O641,"lbf","N")</f>
        <v>964.37444618847655</v>
      </c>
      <c r="O641">
        <v>216.8</v>
      </c>
      <c r="P641">
        <f t="shared" si="9"/>
        <v>0.33689024390243905</v>
      </c>
    </row>
    <row r="642" spans="1:16" hidden="1" x14ac:dyDescent="0.25">
      <c r="A642">
        <v>0</v>
      </c>
      <c r="B642">
        <v>20000</v>
      </c>
      <c r="C642">
        <f>1.225 * (1 - 0.00000687559 * B642) ^ 4.2561</f>
        <v>0.65267221054298263</v>
      </c>
      <c r="D642">
        <f>E642*(SQRT($C$2/C642))</f>
        <v>0</v>
      </c>
      <c r="E642">
        <v>0</v>
      </c>
      <c r="F642">
        <v>987</v>
      </c>
      <c r="G642">
        <v>250</v>
      </c>
      <c r="H642">
        <f>CONVERT(G642,"HP","kW")</f>
        <v>186.42496789556756</v>
      </c>
      <c r="I642">
        <v>0</v>
      </c>
      <c r="J642">
        <v>0</v>
      </c>
      <c r="K642">
        <v>0.44669999999999999</v>
      </c>
      <c r="L642">
        <v>6.5699999999999995E-2</v>
      </c>
      <c r="M642">
        <v>0.15790000000000001</v>
      </c>
      <c r="N642">
        <f>CONVERT(O642,"lbf","N")</f>
        <v>6868.9438182852646</v>
      </c>
      <c r="O642">
        <v>1544.2</v>
      </c>
      <c r="P642">
        <f t="shared" si="9"/>
        <v>2.403348554033486</v>
      </c>
    </row>
    <row r="643" spans="1:16" hidden="1" x14ac:dyDescent="0.25">
      <c r="A643">
        <v>0</v>
      </c>
      <c r="B643">
        <v>20000</v>
      </c>
      <c r="C643">
        <f>1.225 * (1 - 0.00000687559 * B643) ^ 4.2561</f>
        <v>0.65267221054298263</v>
      </c>
      <c r="D643">
        <f>E643*(SQRT($C$2/C643))</f>
        <v>54.799989443328272</v>
      </c>
      <c r="E643">
        <v>40</v>
      </c>
      <c r="F643">
        <v>987</v>
      </c>
      <c r="G643">
        <v>250</v>
      </c>
      <c r="H643">
        <f>CONVERT(G643,"HP","kW")</f>
        <v>186.42496789556756</v>
      </c>
      <c r="I643">
        <v>0.65849999999999997</v>
      </c>
      <c r="J643">
        <v>0.4325</v>
      </c>
      <c r="K643">
        <v>0.46110000000000001</v>
      </c>
      <c r="L643">
        <v>6.5699999999999995E-2</v>
      </c>
      <c r="M643">
        <v>0.1</v>
      </c>
      <c r="N643">
        <f>CONVERT(O643,"lbf","N")</f>
        <v>4354.8089613400298</v>
      </c>
      <c r="O643">
        <v>979</v>
      </c>
      <c r="P643">
        <f t="shared" ref="P643:P706" si="10">M643/L643</f>
        <v>1.5220700152207003</v>
      </c>
    </row>
    <row r="644" spans="1:16" hidden="1" x14ac:dyDescent="0.25">
      <c r="A644">
        <v>0</v>
      </c>
      <c r="B644">
        <v>20000</v>
      </c>
      <c r="C644">
        <f>1.225 * (1 - 0.00000687559 * B644) ^ 4.2561</f>
        <v>0.65267221054298263</v>
      </c>
      <c r="D644">
        <f>E644*(SQRT($C$2/C644))</f>
        <v>82.199984164992401</v>
      </c>
      <c r="E644">
        <v>60</v>
      </c>
      <c r="F644">
        <v>987</v>
      </c>
      <c r="G644">
        <v>250</v>
      </c>
      <c r="H644">
        <f>CONVERT(G644,"HP","kW")</f>
        <v>186.42496789556756</v>
      </c>
      <c r="I644">
        <v>0.7621</v>
      </c>
      <c r="J644">
        <v>0.64870000000000005</v>
      </c>
      <c r="K644">
        <v>0.47239999999999999</v>
      </c>
      <c r="L644">
        <v>6.5699999999999995E-2</v>
      </c>
      <c r="M644">
        <v>7.7200000000000005E-2</v>
      </c>
      <c r="N644">
        <f>CONVERT(O644,"lbf","N")</f>
        <v>3359.7417860062556</v>
      </c>
      <c r="O644">
        <v>755.3</v>
      </c>
      <c r="P644">
        <f t="shared" si="10"/>
        <v>1.1750380517503807</v>
      </c>
    </row>
    <row r="645" spans="1:16" hidden="1" x14ac:dyDescent="0.25">
      <c r="A645">
        <v>0</v>
      </c>
      <c r="B645">
        <v>20000</v>
      </c>
      <c r="C645">
        <f>1.225 * (1 - 0.00000687559 * B645) ^ 4.2561</f>
        <v>0.65267221054298263</v>
      </c>
      <c r="D645">
        <f>E645*(SQRT($C$2/C645))</f>
        <v>109.59997888665654</v>
      </c>
      <c r="E645">
        <v>80</v>
      </c>
      <c r="F645">
        <v>987</v>
      </c>
      <c r="G645">
        <v>250</v>
      </c>
      <c r="H645">
        <f>CONVERT(G645,"HP","kW")</f>
        <v>186.42496789556756</v>
      </c>
      <c r="I645">
        <v>0.80189999999999995</v>
      </c>
      <c r="J645">
        <v>0.86499999999999999</v>
      </c>
      <c r="K645">
        <v>0.48720000000000002</v>
      </c>
      <c r="L645">
        <v>6.5699999999999995E-2</v>
      </c>
      <c r="M645">
        <v>6.0900000000000003E-2</v>
      </c>
      <c r="N645">
        <f>CONVERT(O645,"lbf","N")</f>
        <v>2651.5849048567843</v>
      </c>
      <c r="O645">
        <v>596.1</v>
      </c>
      <c r="P645">
        <f t="shared" si="10"/>
        <v>0.92694063926940651</v>
      </c>
    </row>
    <row r="646" spans="1:16" hidden="1" x14ac:dyDescent="0.25">
      <c r="A646">
        <v>0</v>
      </c>
      <c r="B646">
        <v>20000</v>
      </c>
      <c r="C646">
        <f>1.225 * (1 - 0.00000687559 * B646) ^ 4.2561</f>
        <v>0.65267221054298263</v>
      </c>
      <c r="D646">
        <f>E646*(SQRT($C$2/C646))</f>
        <v>136.99997360832069</v>
      </c>
      <c r="E646">
        <v>100</v>
      </c>
      <c r="F646">
        <v>987</v>
      </c>
      <c r="G646">
        <v>250</v>
      </c>
      <c r="H646">
        <f>CONVERT(G646,"HP","kW")</f>
        <v>186.42496789556756</v>
      </c>
      <c r="I646">
        <v>0.81089999999999995</v>
      </c>
      <c r="J646">
        <v>1.0811999999999999</v>
      </c>
      <c r="K646">
        <v>0.50529999999999997</v>
      </c>
      <c r="L646">
        <v>6.5699999999999995E-2</v>
      </c>
      <c r="M646">
        <v>4.9299999999999997E-2</v>
      </c>
      <c r="N646">
        <f>CONVERT(O646,"lbf","N")</f>
        <v>2144.932462878613</v>
      </c>
      <c r="O646">
        <v>482.2</v>
      </c>
      <c r="P646">
        <f t="shared" si="10"/>
        <v>0.75038051750380519</v>
      </c>
    </row>
    <row r="647" spans="1:16" hidden="1" x14ac:dyDescent="0.25">
      <c r="A647">
        <v>0</v>
      </c>
      <c r="B647">
        <v>20000</v>
      </c>
      <c r="C647">
        <f>1.225 * (1 - 0.00000687559 * B647) ^ 4.2561</f>
        <v>0.65267221054298263</v>
      </c>
      <c r="D647">
        <f>E647*(SQRT($C$2/C647))</f>
        <v>164.3999683299848</v>
      </c>
      <c r="E647">
        <v>120</v>
      </c>
      <c r="F647">
        <v>987</v>
      </c>
      <c r="G647">
        <v>250</v>
      </c>
      <c r="H647">
        <f>CONVERT(G647,"HP","kW")</f>
        <v>186.42496789556756</v>
      </c>
      <c r="I647">
        <v>0.80120000000000002</v>
      </c>
      <c r="J647">
        <v>1.2975000000000001</v>
      </c>
      <c r="K647">
        <v>0.52659999999999996</v>
      </c>
      <c r="L647">
        <v>6.5699999999999995E-2</v>
      </c>
      <c r="M647">
        <v>4.0599999999999997E-2</v>
      </c>
      <c r="N647">
        <f>CONVERT(O647,"lbf","N")</f>
        <v>1765.9439812584185</v>
      </c>
      <c r="O647">
        <v>397</v>
      </c>
      <c r="P647">
        <f t="shared" si="10"/>
        <v>0.61796042617960423</v>
      </c>
    </row>
    <row r="648" spans="1:16" hidden="1" x14ac:dyDescent="0.25">
      <c r="A648">
        <v>0</v>
      </c>
      <c r="B648">
        <v>20000</v>
      </c>
      <c r="C648">
        <f>1.225 * (1 - 0.00000687559 * B648) ^ 4.2561</f>
        <v>0.65267221054298263</v>
      </c>
      <c r="D648">
        <f>E648*(SQRT($C$2/C648))</f>
        <v>219.19995777331309</v>
      </c>
      <c r="E648">
        <v>160</v>
      </c>
      <c r="F648">
        <v>987</v>
      </c>
      <c r="G648">
        <v>250</v>
      </c>
      <c r="H648">
        <f>CONVERT(G648,"HP","kW")</f>
        <v>186.42496789556756</v>
      </c>
      <c r="I648">
        <v>0.72870000000000001</v>
      </c>
      <c r="J648">
        <v>1.73</v>
      </c>
      <c r="K648">
        <v>0.57709999999999995</v>
      </c>
      <c r="L648">
        <v>6.5699999999999995E-2</v>
      </c>
      <c r="M648">
        <v>2.7699999999999999E-2</v>
      </c>
      <c r="N648">
        <f>CONVERT(O648,"lbf","N")</f>
        <v>1204.5784134125436</v>
      </c>
      <c r="O648">
        <v>270.8</v>
      </c>
      <c r="P648">
        <f t="shared" si="10"/>
        <v>0.42161339421613397</v>
      </c>
    </row>
    <row r="649" spans="1:16" hidden="1" x14ac:dyDescent="0.25">
      <c r="A649">
        <v>0</v>
      </c>
      <c r="B649">
        <v>20000</v>
      </c>
      <c r="C649">
        <f>1.225 * (1 - 0.00000687559 * B649) ^ 4.2561</f>
        <v>0.65267221054298263</v>
      </c>
      <c r="D649">
        <f>E649*(SQRT($C$2/C649))</f>
        <v>273.99994721664137</v>
      </c>
      <c r="E649">
        <v>200</v>
      </c>
      <c r="F649">
        <v>987</v>
      </c>
      <c r="G649">
        <v>250</v>
      </c>
      <c r="H649">
        <f>CONVERT(G649,"HP","kW")</f>
        <v>186.42496789556756</v>
      </c>
      <c r="I649">
        <v>0.55030000000000001</v>
      </c>
      <c r="J649">
        <v>2.1625000000000001</v>
      </c>
      <c r="K649">
        <v>0.6361</v>
      </c>
      <c r="L649">
        <v>6.5699999999999995E-2</v>
      </c>
      <c r="M649">
        <v>1.67E-2</v>
      </c>
      <c r="N649">
        <f>CONVERT(O649,"lbf","N")</f>
        <v>727.72905625661781</v>
      </c>
      <c r="O649">
        <v>163.6</v>
      </c>
      <c r="P649">
        <f t="shared" si="10"/>
        <v>0.25418569254185697</v>
      </c>
    </row>
    <row r="650" spans="1:16" hidden="1" x14ac:dyDescent="0.25">
      <c r="A650">
        <v>0</v>
      </c>
      <c r="B650">
        <v>20000</v>
      </c>
      <c r="C650">
        <f>1.225 * (1 - 0.00000687559 * B650) ^ 4.2561</f>
        <v>0.65267221054298263</v>
      </c>
      <c r="D650">
        <f>E650*(SQRT($C$2/C650))</f>
        <v>301.39994193830552</v>
      </c>
      <c r="E650">
        <v>220</v>
      </c>
      <c r="F650">
        <v>987</v>
      </c>
      <c r="G650">
        <v>250</v>
      </c>
      <c r="H650">
        <f>CONVERT(G650,"HP","kW")</f>
        <v>186.42496789556756</v>
      </c>
      <c r="I650">
        <v>0.40050000000000002</v>
      </c>
      <c r="J650">
        <v>2.3786999999999998</v>
      </c>
      <c r="K650">
        <v>0.66810000000000003</v>
      </c>
      <c r="L650">
        <v>6.5699999999999995E-2</v>
      </c>
      <c r="M650">
        <v>1.11E-2</v>
      </c>
      <c r="N650">
        <f>CONVERT(O650,"lbf","N")</f>
        <v>481.29757877118612</v>
      </c>
      <c r="O650">
        <v>108.2</v>
      </c>
      <c r="P650">
        <f t="shared" si="10"/>
        <v>0.16894977168949774</v>
      </c>
    </row>
    <row r="651" spans="1:16" hidden="1" x14ac:dyDescent="0.25">
      <c r="A651">
        <v>0</v>
      </c>
      <c r="B651">
        <v>20000</v>
      </c>
      <c r="C651">
        <f>1.225 * (1 - 0.00000687559 * B651) ^ 4.2561</f>
        <v>0.65267221054298263</v>
      </c>
      <c r="D651">
        <f>E651*(SQRT($C$2/C651))</f>
        <v>328.7999366599696</v>
      </c>
      <c r="E651">
        <v>240</v>
      </c>
      <c r="F651">
        <v>987</v>
      </c>
      <c r="G651">
        <v>250</v>
      </c>
      <c r="H651">
        <f>CONVERT(G651,"HP","kW")</f>
        <v>186.42496789556756</v>
      </c>
      <c r="I651">
        <v>0.1648</v>
      </c>
      <c r="J651">
        <v>2.5950000000000002</v>
      </c>
      <c r="K651">
        <v>0.7016</v>
      </c>
      <c r="L651">
        <v>6.5699999999999995E-2</v>
      </c>
      <c r="M651">
        <v>4.1999999999999997E-3</v>
      </c>
      <c r="N651">
        <f>CONVERT(O651,"lbf","N")</f>
        <v>181.4874419026284</v>
      </c>
      <c r="O651">
        <v>40.799999999999997</v>
      </c>
      <c r="P651">
        <f t="shared" si="10"/>
        <v>6.3926940639269403E-2</v>
      </c>
    </row>
    <row r="652" spans="1:16" hidden="1" x14ac:dyDescent="0.25">
      <c r="A652">
        <v>0</v>
      </c>
      <c r="B652">
        <v>20000</v>
      </c>
      <c r="C652">
        <f>1.225 * (1 - 0.00000687559 * B652) ^ 4.2561</f>
        <v>0.65267221054298263</v>
      </c>
      <c r="D652">
        <f>E652*(SQRT($C$2/C652))</f>
        <v>356.19993138163375</v>
      </c>
      <c r="E652">
        <v>260</v>
      </c>
      <c r="F652">
        <v>987</v>
      </c>
      <c r="G652">
        <v>250</v>
      </c>
      <c r="H652">
        <f>CONVERT(G652,"HP","kW")</f>
        <v>186.42496789556756</v>
      </c>
      <c r="I652">
        <v>-0.22819999999999999</v>
      </c>
      <c r="J652">
        <v>2.8111999999999999</v>
      </c>
      <c r="K652">
        <v>0.73609999999999998</v>
      </c>
      <c r="L652">
        <v>6.5699999999999995E-2</v>
      </c>
      <c r="M652">
        <v>-5.3E-3</v>
      </c>
      <c r="N652">
        <f>CONVERT(O652,"lbf","N")</f>
        <v>-232.19716831659812</v>
      </c>
      <c r="O652">
        <v>-52.2</v>
      </c>
      <c r="P652">
        <f t="shared" si="10"/>
        <v>-8.0669710806697117E-2</v>
      </c>
    </row>
    <row r="653" spans="1:16" hidden="1" x14ac:dyDescent="0.25">
      <c r="A653">
        <v>0</v>
      </c>
      <c r="B653">
        <v>20000</v>
      </c>
      <c r="C653">
        <f>1.225 * (1 - 0.00000687559 * B653) ^ 4.2561</f>
        <v>0.65267221054298263</v>
      </c>
      <c r="D653">
        <f>E653*(SQRT($C$2/C653))</f>
        <v>27.399994721664136</v>
      </c>
      <c r="E653">
        <v>20</v>
      </c>
      <c r="F653">
        <v>987</v>
      </c>
      <c r="G653">
        <v>250</v>
      </c>
      <c r="H653">
        <f>CONVERT(G653,"HP","kW")</f>
        <v>186.42496789556756</v>
      </c>
      <c r="I653">
        <v>0.42470000000000002</v>
      </c>
      <c r="J653">
        <v>0.2162</v>
      </c>
      <c r="K653">
        <v>0.45279999999999998</v>
      </c>
      <c r="L653">
        <v>6.5799999999999997E-2</v>
      </c>
      <c r="M653">
        <v>0.12920000000000001</v>
      </c>
      <c r="N653">
        <f>CONVERT(O653,"lbf","N")</f>
        <v>5617.6590779124854</v>
      </c>
      <c r="O653">
        <v>1262.9000000000001</v>
      </c>
      <c r="P653">
        <f t="shared" si="10"/>
        <v>1.9635258358662617</v>
      </c>
    </row>
    <row r="654" spans="1:16" hidden="1" x14ac:dyDescent="0.25">
      <c r="A654">
        <v>0</v>
      </c>
      <c r="B654">
        <v>0</v>
      </c>
      <c r="C654">
        <f>1.225 * (1 - 0.00000687559 * B654) ^ 4.2561</f>
        <v>1.2250000000000001</v>
      </c>
      <c r="D654">
        <f>E654*(SQRT($C$2/C654))</f>
        <v>180</v>
      </c>
      <c r="E654">
        <v>180</v>
      </c>
      <c r="F654">
        <v>1150</v>
      </c>
      <c r="G654">
        <v>750</v>
      </c>
      <c r="H654">
        <f>CONVERT(G654,"HP","kW")</f>
        <v>559.27490368670271</v>
      </c>
      <c r="I654">
        <v>0.79210000000000003</v>
      </c>
      <c r="J654">
        <v>1.2193000000000001</v>
      </c>
      <c r="K654">
        <v>0.56110000000000004</v>
      </c>
      <c r="L654">
        <v>6.6299999999999998E-2</v>
      </c>
      <c r="M654">
        <v>4.3099999999999999E-2</v>
      </c>
      <c r="N654">
        <f>CONVERT(O654,"lbf","N")</f>
        <v>4784.0623472126681</v>
      </c>
      <c r="O654">
        <v>1075.5</v>
      </c>
      <c r="P654">
        <f t="shared" si="10"/>
        <v>0.65007541478129716</v>
      </c>
    </row>
    <row r="655" spans="1:16" hidden="1" x14ac:dyDescent="0.25">
      <c r="A655">
        <v>0</v>
      </c>
      <c r="B655">
        <v>0</v>
      </c>
      <c r="C655">
        <f>1.225 * (1 - 0.00000687559 * B655) ^ 4.2561</f>
        <v>1.2250000000000001</v>
      </c>
      <c r="D655">
        <f>E655*(SQRT($C$2/C655))</f>
        <v>60</v>
      </c>
      <c r="E655">
        <v>60</v>
      </c>
      <c r="F655">
        <v>1150</v>
      </c>
      <c r="G655">
        <v>750</v>
      </c>
      <c r="H655">
        <f>CONVERT(G655,"HP","kW")</f>
        <v>559.27490368670271</v>
      </c>
      <c r="I655">
        <v>0.63629999999999998</v>
      </c>
      <c r="J655">
        <v>0.40639999999999998</v>
      </c>
      <c r="K655">
        <v>0.49769999999999998</v>
      </c>
      <c r="L655">
        <v>6.6400000000000001E-2</v>
      </c>
      <c r="M655">
        <v>0.10390000000000001</v>
      </c>
      <c r="N655">
        <f>CONVERT(O655,"lbf","N")</f>
        <v>11528.900782432165</v>
      </c>
      <c r="O655">
        <v>2591.8000000000002</v>
      </c>
      <c r="P655">
        <f t="shared" si="10"/>
        <v>1.5647590361445785</v>
      </c>
    </row>
    <row r="656" spans="1:16" hidden="1" x14ac:dyDescent="0.25">
      <c r="A656">
        <v>0</v>
      </c>
      <c r="B656">
        <v>0</v>
      </c>
      <c r="C656">
        <f>1.225 * (1 - 0.00000687559 * B656) ^ 4.2561</f>
        <v>1.2250000000000001</v>
      </c>
      <c r="D656">
        <f>E656*(SQRT($C$2/C656))</f>
        <v>80</v>
      </c>
      <c r="E656">
        <v>80</v>
      </c>
      <c r="F656">
        <v>1150</v>
      </c>
      <c r="G656">
        <v>750</v>
      </c>
      <c r="H656">
        <f>CONVERT(G656,"HP","kW")</f>
        <v>559.27490368670271</v>
      </c>
      <c r="I656">
        <v>0.71689999999999998</v>
      </c>
      <c r="J656">
        <v>0.54190000000000005</v>
      </c>
      <c r="K656">
        <v>0.50470000000000004</v>
      </c>
      <c r="L656">
        <v>6.6400000000000001E-2</v>
      </c>
      <c r="M656">
        <v>8.7800000000000003E-2</v>
      </c>
      <c r="N656">
        <f>CONVERT(O656,"lbf","N")</f>
        <v>9742.4949817435463</v>
      </c>
      <c r="O656">
        <v>2190.1999999999998</v>
      </c>
      <c r="P656">
        <f t="shared" si="10"/>
        <v>1.322289156626506</v>
      </c>
    </row>
    <row r="657" spans="1:16" hidden="1" x14ac:dyDescent="0.25">
      <c r="A657">
        <v>0</v>
      </c>
      <c r="B657">
        <v>0</v>
      </c>
      <c r="C657">
        <f>1.225 * (1 - 0.00000687559 * B657) ^ 4.2561</f>
        <v>1.2250000000000001</v>
      </c>
      <c r="D657">
        <f>E657*(SQRT($C$2/C657))</f>
        <v>120</v>
      </c>
      <c r="E657">
        <v>120</v>
      </c>
      <c r="F657">
        <v>1150</v>
      </c>
      <c r="G657">
        <v>750</v>
      </c>
      <c r="H657">
        <f>CONVERT(G657,"HP","kW")</f>
        <v>559.27490368670271</v>
      </c>
      <c r="I657">
        <v>0.78569999999999995</v>
      </c>
      <c r="J657">
        <v>0.81289999999999996</v>
      </c>
      <c r="K657">
        <v>0.52300000000000002</v>
      </c>
      <c r="L657">
        <v>6.6400000000000001E-2</v>
      </c>
      <c r="M657">
        <v>6.4199999999999993E-2</v>
      </c>
      <c r="N657">
        <f>CONVERT(O657,"lbf","N")</f>
        <v>7117.5994065783261</v>
      </c>
      <c r="O657">
        <v>1600.1</v>
      </c>
      <c r="P657">
        <f t="shared" si="10"/>
        <v>0.96686746987951799</v>
      </c>
    </row>
    <row r="658" spans="1:16" hidden="1" x14ac:dyDescent="0.25">
      <c r="A658">
        <v>0</v>
      </c>
      <c r="B658">
        <v>0</v>
      </c>
      <c r="C658">
        <f>1.225 * (1 - 0.00000687559 * B658) ^ 4.2561</f>
        <v>1.2250000000000001</v>
      </c>
      <c r="D658">
        <f>E658*(SQRT($C$2/C658))</f>
        <v>140</v>
      </c>
      <c r="E658">
        <v>140</v>
      </c>
      <c r="F658">
        <v>1150</v>
      </c>
      <c r="G658">
        <v>750</v>
      </c>
      <c r="H658">
        <f>CONVERT(G658,"HP","kW")</f>
        <v>559.27490368670271</v>
      </c>
      <c r="I658">
        <v>0.79620000000000002</v>
      </c>
      <c r="J658">
        <v>0.94830000000000003</v>
      </c>
      <c r="K658">
        <v>0.5343</v>
      </c>
      <c r="L658">
        <v>6.6400000000000001E-2</v>
      </c>
      <c r="M658">
        <v>5.57E-2</v>
      </c>
      <c r="N658">
        <f>CONVERT(O658,"lbf","N")</f>
        <v>6183.0280452120951</v>
      </c>
      <c r="O658">
        <v>1390</v>
      </c>
      <c r="P658">
        <f t="shared" si="10"/>
        <v>0.83885542168674698</v>
      </c>
    </row>
    <row r="659" spans="1:16" hidden="1" x14ac:dyDescent="0.25">
      <c r="A659">
        <v>0</v>
      </c>
      <c r="B659">
        <v>0</v>
      </c>
      <c r="C659">
        <f>1.225 * (1 - 0.00000687559 * B659) ^ 4.2561</f>
        <v>1.2250000000000001</v>
      </c>
      <c r="D659">
        <f>E659*(SQRT($C$2/C659))</f>
        <v>160</v>
      </c>
      <c r="E659">
        <v>160</v>
      </c>
      <c r="F659">
        <v>1150</v>
      </c>
      <c r="G659">
        <v>750</v>
      </c>
      <c r="H659">
        <f>CONVERT(G659,"HP","kW")</f>
        <v>559.27490368670271</v>
      </c>
      <c r="I659">
        <v>0.79779999999999995</v>
      </c>
      <c r="J659">
        <v>1.0838000000000001</v>
      </c>
      <c r="K659">
        <v>0.54700000000000004</v>
      </c>
      <c r="L659">
        <v>6.6400000000000001E-2</v>
      </c>
      <c r="M659">
        <v>4.8899999999999999E-2</v>
      </c>
      <c r="N659">
        <f>CONVERT(O659,"lbf","N")</f>
        <v>5421.0476825179721</v>
      </c>
      <c r="O659">
        <v>1218.7</v>
      </c>
      <c r="P659">
        <f t="shared" si="10"/>
        <v>0.73644578313253006</v>
      </c>
    </row>
    <row r="660" spans="1:16" hidden="1" x14ac:dyDescent="0.25">
      <c r="A660">
        <v>0</v>
      </c>
      <c r="B660">
        <v>0</v>
      </c>
      <c r="C660">
        <f>1.225 * (1 - 0.00000687559 * B660) ^ 4.2561</f>
        <v>1.2250000000000001</v>
      </c>
      <c r="D660">
        <f>E660*(SQRT($C$2/C660))</f>
        <v>200</v>
      </c>
      <c r="E660">
        <v>200</v>
      </c>
      <c r="F660">
        <v>1150</v>
      </c>
      <c r="G660">
        <v>750</v>
      </c>
      <c r="H660">
        <f>CONVERT(G660,"HP","kW")</f>
        <v>559.27490368670271</v>
      </c>
      <c r="I660">
        <v>0.78100000000000003</v>
      </c>
      <c r="J660">
        <v>1.3548</v>
      </c>
      <c r="K660">
        <v>0.57640000000000002</v>
      </c>
      <c r="L660">
        <v>6.6400000000000001E-2</v>
      </c>
      <c r="M660">
        <v>3.8300000000000001E-2</v>
      </c>
      <c r="N660">
        <f>CONVERT(O660,"lbf","N")</f>
        <v>4245.3827096046207</v>
      </c>
      <c r="O660">
        <v>954.4</v>
      </c>
      <c r="P660">
        <f t="shared" si="10"/>
        <v>0.57680722891566261</v>
      </c>
    </row>
    <row r="661" spans="1:16" hidden="1" x14ac:dyDescent="0.25">
      <c r="A661">
        <v>0</v>
      </c>
      <c r="B661">
        <v>0</v>
      </c>
      <c r="C661">
        <f>1.225 * (1 - 0.00000687559 * B661) ^ 4.2561</f>
        <v>1.2250000000000001</v>
      </c>
      <c r="D661">
        <f>E661*(SQRT($C$2/C661))</f>
        <v>220</v>
      </c>
      <c r="E661">
        <v>220</v>
      </c>
      <c r="F661">
        <v>1150</v>
      </c>
      <c r="G661">
        <v>750</v>
      </c>
      <c r="H661">
        <f>CONVERT(G661,"HP","kW")</f>
        <v>559.27490368670271</v>
      </c>
      <c r="I661">
        <v>0.76329999999999998</v>
      </c>
      <c r="J661">
        <v>1.4902</v>
      </c>
      <c r="K661">
        <v>0.59279999999999999</v>
      </c>
      <c r="L661">
        <v>6.6400000000000001E-2</v>
      </c>
      <c r="M661">
        <v>3.4000000000000002E-2</v>
      </c>
      <c r="N661">
        <f>CONVERT(O661,"lbf","N")</f>
        <v>3772.0919297409041</v>
      </c>
      <c r="O661">
        <v>848</v>
      </c>
      <c r="P661">
        <f t="shared" si="10"/>
        <v>0.51204819277108438</v>
      </c>
    </row>
    <row r="662" spans="1:16" hidden="1" x14ac:dyDescent="0.25">
      <c r="A662">
        <v>0</v>
      </c>
      <c r="B662">
        <v>0</v>
      </c>
      <c r="C662">
        <f>1.225 * (1 - 0.00000687559 * B662) ^ 4.2561</f>
        <v>1.2250000000000001</v>
      </c>
      <c r="D662">
        <f>E662*(SQRT($C$2/C662))</f>
        <v>240</v>
      </c>
      <c r="E662">
        <v>240</v>
      </c>
      <c r="F662">
        <v>1150</v>
      </c>
      <c r="G662">
        <v>750</v>
      </c>
      <c r="H662">
        <f>CONVERT(G662,"HP","kW")</f>
        <v>559.27490368670271</v>
      </c>
      <c r="I662">
        <v>0.7329</v>
      </c>
      <c r="J662">
        <v>1.6256999999999999</v>
      </c>
      <c r="K662">
        <v>0.61029999999999995</v>
      </c>
      <c r="L662">
        <v>6.6400000000000001E-2</v>
      </c>
      <c r="M662">
        <v>2.9899999999999999E-2</v>
      </c>
      <c r="N662">
        <f>CONVERT(O662,"lbf","N")</f>
        <v>3319.7077914689112</v>
      </c>
      <c r="O662">
        <v>746.3</v>
      </c>
      <c r="P662">
        <f t="shared" si="10"/>
        <v>0.4503012048192771</v>
      </c>
    </row>
    <row r="663" spans="1:16" hidden="1" x14ac:dyDescent="0.25">
      <c r="A663">
        <v>0</v>
      </c>
      <c r="B663">
        <v>0</v>
      </c>
      <c r="C663">
        <f>1.225 * (1 - 0.00000687559 * B663) ^ 4.2561</f>
        <v>1.2250000000000001</v>
      </c>
      <c r="D663">
        <f>E663*(SQRT($C$2/C663))</f>
        <v>260</v>
      </c>
      <c r="E663">
        <v>260</v>
      </c>
      <c r="F663">
        <v>1150</v>
      </c>
      <c r="G663">
        <v>750</v>
      </c>
      <c r="H663">
        <f>CONVERT(G663,"HP","kW")</f>
        <v>559.27490368670271</v>
      </c>
      <c r="I663">
        <v>0.69310000000000005</v>
      </c>
      <c r="J663">
        <v>1.7612000000000001</v>
      </c>
      <c r="K663">
        <v>0.62880000000000003</v>
      </c>
      <c r="L663">
        <v>6.6400000000000001E-2</v>
      </c>
      <c r="M663">
        <v>2.6100000000000002E-2</v>
      </c>
      <c r="N663">
        <f>CONVERT(O663,"lbf","N")</f>
        <v>2898.0163823422158</v>
      </c>
      <c r="O663">
        <v>651.5</v>
      </c>
      <c r="P663">
        <f t="shared" si="10"/>
        <v>0.39307228915662651</v>
      </c>
    </row>
    <row r="664" spans="1:16" hidden="1" x14ac:dyDescent="0.25">
      <c r="A664">
        <v>0</v>
      </c>
      <c r="B664">
        <v>0</v>
      </c>
      <c r="C664">
        <f>1.225 * (1 - 0.00000687559 * B664) ^ 4.2561</f>
        <v>1.2250000000000001</v>
      </c>
      <c r="D664">
        <f>E664*(SQRT($C$2/C664))</f>
        <v>0</v>
      </c>
      <c r="E664">
        <v>0</v>
      </c>
      <c r="F664">
        <v>1150</v>
      </c>
      <c r="G664">
        <v>750</v>
      </c>
      <c r="H664">
        <f>CONVERT(G664,"HP","kW")</f>
        <v>559.27490368670271</v>
      </c>
      <c r="I664">
        <v>0</v>
      </c>
      <c r="J664">
        <v>0</v>
      </c>
      <c r="K664">
        <v>0.48320000000000002</v>
      </c>
      <c r="L664">
        <v>6.6500000000000004E-2</v>
      </c>
      <c r="M664">
        <v>0.15920000000000001</v>
      </c>
      <c r="N664">
        <f>CONVERT(O664,"lbf","N")</f>
        <v>17635.419415861779</v>
      </c>
      <c r="O664">
        <v>3964.6</v>
      </c>
      <c r="P664">
        <f t="shared" si="10"/>
        <v>2.393984962406015</v>
      </c>
    </row>
    <row r="665" spans="1:16" hidden="1" x14ac:dyDescent="0.25">
      <c r="A665">
        <v>0</v>
      </c>
      <c r="B665">
        <v>0</v>
      </c>
      <c r="C665">
        <f>1.225 * (1 - 0.00000687559 * B665) ^ 4.2561</f>
        <v>1.2250000000000001</v>
      </c>
      <c r="D665">
        <f>E665*(SQRT($C$2/C665))</f>
        <v>20</v>
      </c>
      <c r="E665">
        <v>20</v>
      </c>
      <c r="F665">
        <v>1150</v>
      </c>
      <c r="G665">
        <v>750</v>
      </c>
      <c r="H665">
        <f>CONVERT(G665,"HP","kW")</f>
        <v>559.27490368670271</v>
      </c>
      <c r="I665">
        <v>0.28810000000000002</v>
      </c>
      <c r="J665">
        <v>0.13550000000000001</v>
      </c>
      <c r="K665">
        <v>0.48720000000000002</v>
      </c>
      <c r="L665">
        <v>6.6500000000000004E-2</v>
      </c>
      <c r="M665">
        <v>0.1414</v>
      </c>
      <c r="N665">
        <f>CONVERT(O665,"lbf","N")</f>
        <v>15661.298663009169</v>
      </c>
      <c r="O665">
        <v>3520.8</v>
      </c>
      <c r="P665">
        <f t="shared" si="10"/>
        <v>2.1263157894736842</v>
      </c>
    </row>
    <row r="666" spans="1:16" hidden="1" x14ac:dyDescent="0.25">
      <c r="A666">
        <v>0</v>
      </c>
      <c r="B666">
        <v>0</v>
      </c>
      <c r="C666">
        <f>1.225 * (1 - 0.00000687559 * B666) ^ 4.2561</f>
        <v>1.2250000000000001</v>
      </c>
      <c r="D666">
        <f>E666*(SQRT($C$2/C666))</f>
        <v>40</v>
      </c>
      <c r="E666">
        <v>40</v>
      </c>
      <c r="F666">
        <v>1150</v>
      </c>
      <c r="G666">
        <v>750</v>
      </c>
      <c r="H666">
        <f>CONVERT(G666,"HP","kW")</f>
        <v>559.27490368670271</v>
      </c>
      <c r="I666">
        <v>0.4995</v>
      </c>
      <c r="J666">
        <v>0.27100000000000002</v>
      </c>
      <c r="K666">
        <v>0.49199999999999999</v>
      </c>
      <c r="L666">
        <v>6.6500000000000004E-2</v>
      </c>
      <c r="M666">
        <v>0.1225</v>
      </c>
      <c r="N666">
        <f>CONVERT(O666,"lbf","N")</f>
        <v>13575.527547613521</v>
      </c>
      <c r="O666">
        <v>3051.9</v>
      </c>
      <c r="P666">
        <f t="shared" si="10"/>
        <v>1.8421052631578947</v>
      </c>
    </row>
    <row r="667" spans="1:16" hidden="1" x14ac:dyDescent="0.25">
      <c r="A667">
        <v>0</v>
      </c>
      <c r="B667">
        <v>0</v>
      </c>
      <c r="C667">
        <f>1.225 * (1 - 0.00000687559 * B667) ^ 4.2561</f>
        <v>1.2250000000000001</v>
      </c>
      <c r="D667">
        <f>E667*(SQRT($C$2/C667))</f>
        <v>100</v>
      </c>
      <c r="E667">
        <v>100</v>
      </c>
      <c r="F667">
        <v>1150</v>
      </c>
      <c r="G667">
        <v>750</v>
      </c>
      <c r="H667">
        <f>CONVERT(G667,"HP","kW")</f>
        <v>559.27490368670271</v>
      </c>
      <c r="I667">
        <v>0.76200000000000001</v>
      </c>
      <c r="J667">
        <v>0.6774</v>
      </c>
      <c r="K667">
        <v>0.5131</v>
      </c>
      <c r="L667">
        <v>6.6500000000000004E-2</v>
      </c>
      <c r="M667">
        <v>7.4800000000000005E-2</v>
      </c>
      <c r="N667">
        <f>CONVERT(O667,"lbf","N")</f>
        <v>8283.9231140996289</v>
      </c>
      <c r="O667">
        <v>1862.3</v>
      </c>
      <c r="P667">
        <f t="shared" si="10"/>
        <v>1.124812030075188</v>
      </c>
    </row>
    <row r="668" spans="1:16" hidden="1" x14ac:dyDescent="0.25">
      <c r="A668">
        <v>0</v>
      </c>
      <c r="B668">
        <v>0</v>
      </c>
      <c r="C668">
        <f>1.225 * (1 - 0.00000687559 * B668) ^ 4.2561</f>
        <v>1.2250000000000001</v>
      </c>
      <c r="D668">
        <f>E668*(SQRT($C$2/C668))</f>
        <v>200</v>
      </c>
      <c r="E668">
        <v>200</v>
      </c>
      <c r="F668">
        <v>987</v>
      </c>
      <c r="G668">
        <v>500</v>
      </c>
      <c r="H668">
        <f>CONVERT(G668,"HP","kW")</f>
        <v>372.84993579113512</v>
      </c>
      <c r="I668">
        <v>0.79649999999999999</v>
      </c>
      <c r="J668">
        <v>1.5785</v>
      </c>
      <c r="K668">
        <v>0.51849999999999996</v>
      </c>
      <c r="L668">
        <v>6.9900000000000004E-2</v>
      </c>
      <c r="M668">
        <v>3.5299999999999998E-2</v>
      </c>
      <c r="N668">
        <f>CONVERT(O668,"lbf","N")</f>
        <v>2886.4510061425381</v>
      </c>
      <c r="O668">
        <v>648.9</v>
      </c>
      <c r="P668">
        <f t="shared" si="10"/>
        <v>0.50500715307582256</v>
      </c>
    </row>
    <row r="669" spans="1:16" hidden="1" x14ac:dyDescent="0.25">
      <c r="A669">
        <v>0</v>
      </c>
      <c r="B669">
        <v>0</v>
      </c>
      <c r="C669">
        <f>1.225 * (1 - 0.00000687559 * B669) ^ 4.2561</f>
        <v>1.2250000000000001</v>
      </c>
      <c r="D669">
        <f>E669*(SQRT($C$2/C669))</f>
        <v>240</v>
      </c>
      <c r="E669">
        <v>240</v>
      </c>
      <c r="F669">
        <v>987</v>
      </c>
      <c r="G669">
        <v>500</v>
      </c>
      <c r="H669">
        <f>CONVERT(G669,"HP","kW")</f>
        <v>372.84993579113512</v>
      </c>
      <c r="I669">
        <v>0.72809999999999997</v>
      </c>
      <c r="J669">
        <v>1.8942000000000001</v>
      </c>
      <c r="K669">
        <v>0.55589999999999995</v>
      </c>
      <c r="L669">
        <v>6.9900000000000004E-2</v>
      </c>
      <c r="M669">
        <v>2.69E-2</v>
      </c>
      <c r="N669">
        <f>CONVERT(O669,"lbf","N")</f>
        <v>2198.7559444232652</v>
      </c>
      <c r="O669">
        <v>494.3</v>
      </c>
      <c r="P669">
        <f t="shared" si="10"/>
        <v>0.38483547925608008</v>
      </c>
    </row>
    <row r="670" spans="1:16" hidden="1" x14ac:dyDescent="0.25">
      <c r="A670">
        <v>0</v>
      </c>
      <c r="B670">
        <v>0</v>
      </c>
      <c r="C670">
        <f>1.225 * (1 - 0.00000687559 * B670) ^ 4.2561</f>
        <v>1.2250000000000001</v>
      </c>
      <c r="D670">
        <f>E670*(SQRT($C$2/C670))</f>
        <v>0</v>
      </c>
      <c r="E670">
        <v>0</v>
      </c>
      <c r="F670">
        <v>987</v>
      </c>
      <c r="G670">
        <v>500</v>
      </c>
      <c r="H670">
        <f>CONVERT(G670,"HP","kW")</f>
        <v>372.84993579113512</v>
      </c>
      <c r="I670">
        <v>0</v>
      </c>
      <c r="J670">
        <v>0</v>
      </c>
      <c r="K670">
        <v>0.41449999999999998</v>
      </c>
      <c r="L670">
        <v>7.0000000000000007E-2</v>
      </c>
      <c r="M670">
        <v>0.1651</v>
      </c>
      <c r="N670">
        <f>CONVERT(O670,"lbf","N")</f>
        <v>13488.342403954415</v>
      </c>
      <c r="O670">
        <v>3032.3</v>
      </c>
      <c r="P670">
        <f t="shared" si="10"/>
        <v>2.3585714285714281</v>
      </c>
    </row>
    <row r="671" spans="1:16" hidden="1" x14ac:dyDescent="0.25">
      <c r="A671">
        <v>0</v>
      </c>
      <c r="B671">
        <v>0</v>
      </c>
      <c r="C671">
        <f>1.225 * (1 - 0.00000687559 * B671) ^ 4.2561</f>
        <v>1.2250000000000001</v>
      </c>
      <c r="D671">
        <f>E671*(SQRT($C$2/C671))</f>
        <v>20</v>
      </c>
      <c r="E671">
        <v>20</v>
      </c>
      <c r="F671">
        <v>987</v>
      </c>
      <c r="G671">
        <v>500</v>
      </c>
      <c r="H671">
        <f>CONVERT(G671,"HP","kW")</f>
        <v>372.84993579113512</v>
      </c>
      <c r="I671">
        <v>0.32500000000000001</v>
      </c>
      <c r="J671">
        <v>0.1578</v>
      </c>
      <c r="K671">
        <v>0.41860000000000003</v>
      </c>
      <c r="L671">
        <v>7.0000000000000007E-2</v>
      </c>
      <c r="M671">
        <v>0.14419999999999999</v>
      </c>
      <c r="N671">
        <f>CONVERT(O671,"lbf","N")</f>
        <v>11777.556370725226</v>
      </c>
      <c r="O671">
        <v>2647.7</v>
      </c>
      <c r="P671">
        <f t="shared" si="10"/>
        <v>2.0599999999999996</v>
      </c>
    </row>
    <row r="672" spans="1:16" hidden="1" x14ac:dyDescent="0.25">
      <c r="A672">
        <v>0</v>
      </c>
      <c r="B672">
        <v>0</v>
      </c>
      <c r="C672">
        <f>1.225 * (1 - 0.00000687559 * B672) ^ 4.2561</f>
        <v>1.2250000000000001</v>
      </c>
      <c r="D672">
        <f>E672*(SQRT($C$2/C672))</f>
        <v>80</v>
      </c>
      <c r="E672">
        <v>80</v>
      </c>
      <c r="F672">
        <v>987</v>
      </c>
      <c r="G672">
        <v>500</v>
      </c>
      <c r="H672">
        <f>CONVERT(G672,"HP","kW")</f>
        <v>372.84993579113512</v>
      </c>
      <c r="I672">
        <v>0.76480000000000004</v>
      </c>
      <c r="J672">
        <v>0.63139999999999996</v>
      </c>
      <c r="K672">
        <v>0.43769999999999998</v>
      </c>
      <c r="L672">
        <v>7.0000000000000007E-2</v>
      </c>
      <c r="M672">
        <v>8.48E-2</v>
      </c>
      <c r="N672">
        <f>CONVERT(O672,"lbf","N")</f>
        <v>6928.9948100912807</v>
      </c>
      <c r="O672">
        <v>1557.7</v>
      </c>
      <c r="P672">
        <f t="shared" si="10"/>
        <v>1.2114285714285713</v>
      </c>
    </row>
    <row r="673" spans="1:16" hidden="1" x14ac:dyDescent="0.25">
      <c r="A673">
        <v>0</v>
      </c>
      <c r="B673">
        <v>0</v>
      </c>
      <c r="C673">
        <f>1.225 * (1 - 0.00000687559 * B673) ^ 4.2561</f>
        <v>1.2250000000000001</v>
      </c>
      <c r="D673">
        <f>E673*(SQRT($C$2/C673))</f>
        <v>100</v>
      </c>
      <c r="E673">
        <v>100</v>
      </c>
      <c r="F673">
        <v>987</v>
      </c>
      <c r="G673">
        <v>500</v>
      </c>
      <c r="H673">
        <f>CONVERT(G673,"HP","kW")</f>
        <v>372.84993579113512</v>
      </c>
      <c r="I673">
        <v>0.80530000000000002</v>
      </c>
      <c r="J673">
        <v>0.78920000000000001</v>
      </c>
      <c r="K673">
        <v>0.44719999999999999</v>
      </c>
      <c r="L673">
        <v>7.0000000000000007E-2</v>
      </c>
      <c r="M673">
        <v>7.1400000000000005E-2</v>
      </c>
      <c r="N673">
        <f>CONVERT(O673,"lbf","N")</f>
        <v>5836.5115813833027</v>
      </c>
      <c r="O673">
        <v>1312.1</v>
      </c>
      <c r="P673">
        <f t="shared" si="10"/>
        <v>1.02</v>
      </c>
    </row>
    <row r="674" spans="1:16" hidden="1" x14ac:dyDescent="0.25">
      <c r="A674">
        <v>0</v>
      </c>
      <c r="B674">
        <v>0</v>
      </c>
      <c r="C674">
        <f>1.225 * (1 - 0.00000687559 * B674) ^ 4.2561</f>
        <v>1.2250000000000001</v>
      </c>
      <c r="D674">
        <f>E674*(SQRT($C$2/C674))</f>
        <v>120</v>
      </c>
      <c r="E674">
        <v>120</v>
      </c>
      <c r="F674">
        <v>987</v>
      </c>
      <c r="G674">
        <v>500</v>
      </c>
      <c r="H674">
        <f>CONVERT(G674,"HP","kW")</f>
        <v>372.84993579113512</v>
      </c>
      <c r="I674">
        <v>0.8246</v>
      </c>
      <c r="J674">
        <v>0.94710000000000005</v>
      </c>
      <c r="K674">
        <v>0.45839999999999997</v>
      </c>
      <c r="L674">
        <v>7.0000000000000007E-2</v>
      </c>
      <c r="M674">
        <v>6.0900000000000003E-2</v>
      </c>
      <c r="N674">
        <f>CONVERT(O674,"lbf","N")</f>
        <v>4980.2289204456556</v>
      </c>
      <c r="O674">
        <v>1119.5999999999999</v>
      </c>
      <c r="P674">
        <f t="shared" si="10"/>
        <v>0.87</v>
      </c>
    </row>
    <row r="675" spans="1:16" hidden="1" x14ac:dyDescent="0.25">
      <c r="A675">
        <v>0</v>
      </c>
      <c r="B675">
        <v>0</v>
      </c>
      <c r="C675">
        <f>1.225 * (1 - 0.00000687559 * B675) ^ 4.2561</f>
        <v>1.2250000000000001</v>
      </c>
      <c r="D675">
        <f>E675*(SQRT($C$2/C675))</f>
        <v>140</v>
      </c>
      <c r="E675">
        <v>140</v>
      </c>
      <c r="F675">
        <v>987</v>
      </c>
      <c r="G675">
        <v>500</v>
      </c>
      <c r="H675">
        <f>CONVERT(G675,"HP","kW")</f>
        <v>372.84993579113512</v>
      </c>
      <c r="I675">
        <v>0.83040000000000003</v>
      </c>
      <c r="J675">
        <v>1.1049</v>
      </c>
      <c r="K675">
        <v>0.4713</v>
      </c>
      <c r="L675">
        <v>7.0000000000000007E-2</v>
      </c>
      <c r="M675">
        <v>5.2600000000000001E-2</v>
      </c>
      <c r="N675">
        <f>CONVERT(O675,"lbf","N")</f>
        <v>4299.2061911492738</v>
      </c>
      <c r="O675">
        <v>966.5</v>
      </c>
      <c r="P675">
        <f t="shared" si="10"/>
        <v>0.75142857142857133</v>
      </c>
    </row>
    <row r="676" spans="1:16" hidden="1" x14ac:dyDescent="0.25">
      <c r="A676">
        <v>0</v>
      </c>
      <c r="B676">
        <v>0</v>
      </c>
      <c r="C676">
        <f>1.225 * (1 - 0.00000687559 * B676) ^ 4.2561</f>
        <v>1.2250000000000001</v>
      </c>
      <c r="D676">
        <f>E676*(SQRT($C$2/C676))</f>
        <v>160</v>
      </c>
      <c r="E676">
        <v>160</v>
      </c>
      <c r="F676">
        <v>987</v>
      </c>
      <c r="G676">
        <v>500</v>
      </c>
      <c r="H676">
        <f>CONVERT(G676,"HP","kW")</f>
        <v>372.84993579113512</v>
      </c>
      <c r="I676">
        <v>0.82699999999999996</v>
      </c>
      <c r="J676">
        <v>1.2627999999999999</v>
      </c>
      <c r="K676">
        <v>0.48570000000000002</v>
      </c>
      <c r="L676">
        <v>7.0000000000000007E-2</v>
      </c>
      <c r="M676">
        <v>4.58E-2</v>
      </c>
      <c r="N676">
        <f>CONVERT(O676,"lbf","N")</f>
        <v>3746.2922443723933</v>
      </c>
      <c r="O676">
        <v>842.2</v>
      </c>
      <c r="P676">
        <f t="shared" si="10"/>
        <v>0.65428571428571425</v>
      </c>
    </row>
    <row r="677" spans="1:16" hidden="1" x14ac:dyDescent="0.25">
      <c r="A677">
        <v>0</v>
      </c>
      <c r="B677">
        <v>0</v>
      </c>
      <c r="C677">
        <f>1.225 * (1 - 0.00000687559 * B677) ^ 4.2561</f>
        <v>1.2250000000000001</v>
      </c>
      <c r="D677">
        <f>E677*(SQRT($C$2/C677))</f>
        <v>180</v>
      </c>
      <c r="E677">
        <v>180</v>
      </c>
      <c r="F677">
        <v>987</v>
      </c>
      <c r="G677">
        <v>500</v>
      </c>
      <c r="H677">
        <f>CONVERT(G677,"HP","kW")</f>
        <v>372.84993579113512</v>
      </c>
      <c r="I677">
        <v>0.81599999999999995</v>
      </c>
      <c r="J677">
        <v>1.4206000000000001</v>
      </c>
      <c r="K677">
        <v>0.50139999999999996</v>
      </c>
      <c r="L677">
        <v>7.0000000000000007E-2</v>
      </c>
      <c r="M677">
        <v>4.02E-2</v>
      </c>
      <c r="N677">
        <f>CONVERT(O677,"lbf","N")</f>
        <v>3285.4564850314055</v>
      </c>
      <c r="O677">
        <v>738.6</v>
      </c>
      <c r="P677">
        <f t="shared" si="10"/>
        <v>0.57428571428571418</v>
      </c>
    </row>
    <row r="678" spans="1:16" hidden="1" x14ac:dyDescent="0.25">
      <c r="A678">
        <v>0</v>
      </c>
      <c r="B678">
        <v>0</v>
      </c>
      <c r="C678">
        <f>1.225 * (1 - 0.00000687559 * B678) ^ 4.2561</f>
        <v>1.2250000000000001</v>
      </c>
      <c r="D678">
        <f>E678*(SQRT($C$2/C678))</f>
        <v>220</v>
      </c>
      <c r="E678">
        <v>220</v>
      </c>
      <c r="F678">
        <v>987</v>
      </c>
      <c r="G678">
        <v>500</v>
      </c>
      <c r="H678">
        <f>CONVERT(G678,"HP","kW")</f>
        <v>372.84993579113512</v>
      </c>
      <c r="I678">
        <v>0.76790000000000003</v>
      </c>
      <c r="J678">
        <v>1.7363</v>
      </c>
      <c r="K678">
        <v>0.53669999999999995</v>
      </c>
      <c r="L678">
        <v>7.0000000000000007E-2</v>
      </c>
      <c r="M678">
        <v>3.1E-2</v>
      </c>
      <c r="N678">
        <f>CONVERT(O678,"lbf","N")</f>
        <v>2529.7036325986464</v>
      </c>
      <c r="O678">
        <v>568.70000000000005</v>
      </c>
      <c r="P678">
        <f t="shared" si="10"/>
        <v>0.44285714285714284</v>
      </c>
    </row>
    <row r="679" spans="1:16" hidden="1" x14ac:dyDescent="0.25">
      <c r="A679">
        <v>0</v>
      </c>
      <c r="B679">
        <v>0</v>
      </c>
      <c r="C679">
        <f>1.225 * (1 - 0.00000687559 * B679) ^ 4.2561</f>
        <v>1.2250000000000001</v>
      </c>
      <c r="D679">
        <f>E679*(SQRT($C$2/C679))</f>
        <v>260</v>
      </c>
      <c r="E679">
        <v>260</v>
      </c>
      <c r="F679">
        <v>987</v>
      </c>
      <c r="G679">
        <v>500</v>
      </c>
      <c r="H679">
        <f>CONVERT(G679,"HP","kW")</f>
        <v>372.84993579113512</v>
      </c>
      <c r="I679">
        <v>0.67500000000000004</v>
      </c>
      <c r="J679">
        <v>2.052</v>
      </c>
      <c r="K679">
        <v>0.57609999999999995</v>
      </c>
      <c r="L679">
        <v>7.0000000000000007E-2</v>
      </c>
      <c r="M679">
        <v>2.3E-2</v>
      </c>
      <c r="N679">
        <f>CONVERT(O679,"lbf","N")</f>
        <v>1881.5977432551915</v>
      </c>
      <c r="O679">
        <v>423</v>
      </c>
      <c r="P679">
        <f t="shared" si="10"/>
        <v>0.32857142857142851</v>
      </c>
    </row>
    <row r="680" spans="1:16" hidden="1" x14ac:dyDescent="0.25">
      <c r="A680">
        <v>0</v>
      </c>
      <c r="B680">
        <v>0</v>
      </c>
      <c r="C680">
        <f>1.225 * (1 - 0.00000687559 * B680) ^ 4.2561</f>
        <v>1.2250000000000001</v>
      </c>
      <c r="D680">
        <f>E680*(SQRT($C$2/C680))</f>
        <v>40</v>
      </c>
      <c r="E680">
        <v>40</v>
      </c>
      <c r="F680">
        <v>987</v>
      </c>
      <c r="G680">
        <v>500</v>
      </c>
      <c r="H680">
        <f>CONVERT(G680,"HP","kW")</f>
        <v>372.84993579113512</v>
      </c>
      <c r="I680">
        <v>0.55159999999999998</v>
      </c>
      <c r="J680">
        <v>0.31569999999999998</v>
      </c>
      <c r="K680">
        <v>0.42359999999999998</v>
      </c>
      <c r="L680">
        <v>7.0099999999999996E-2</v>
      </c>
      <c r="M680">
        <v>0.12239999999999999</v>
      </c>
      <c r="N680">
        <f>CONVERT(O680,"lbf","N")</f>
        <v>9994.2643251672926</v>
      </c>
      <c r="O680">
        <v>2246.8000000000002</v>
      </c>
      <c r="P680">
        <f t="shared" si="10"/>
        <v>1.746077032810271</v>
      </c>
    </row>
    <row r="681" spans="1:16" hidden="1" x14ac:dyDescent="0.25">
      <c r="A681">
        <v>0</v>
      </c>
      <c r="B681">
        <v>0</v>
      </c>
      <c r="C681">
        <f>1.225 * (1 - 0.00000687559 * B681) ^ 4.2561</f>
        <v>1.2250000000000001</v>
      </c>
      <c r="D681">
        <f>E681*(SQRT($C$2/C681))</f>
        <v>60</v>
      </c>
      <c r="E681">
        <v>60</v>
      </c>
      <c r="F681">
        <v>987</v>
      </c>
      <c r="G681">
        <v>500</v>
      </c>
      <c r="H681">
        <f>CONVERT(G681,"HP","kW")</f>
        <v>372.84993579113512</v>
      </c>
      <c r="I681">
        <v>0.68830000000000002</v>
      </c>
      <c r="J681">
        <v>0.47349999999999998</v>
      </c>
      <c r="K681">
        <v>0.4299</v>
      </c>
      <c r="L681">
        <v>7.0099999999999996E-2</v>
      </c>
      <c r="M681">
        <v>0.1018</v>
      </c>
      <c r="N681">
        <f>CONVERT(O681,"lbf","N")</f>
        <v>8313.726198921875</v>
      </c>
      <c r="O681">
        <v>1869</v>
      </c>
      <c r="P681">
        <f t="shared" si="10"/>
        <v>1.4522111269614837</v>
      </c>
    </row>
    <row r="682" spans="1:16" hidden="1" x14ac:dyDescent="0.25">
      <c r="A682">
        <v>0</v>
      </c>
      <c r="B682">
        <v>15000</v>
      </c>
      <c r="C682">
        <f>1.225 * (1 - 0.00000687559 * B682) ^ 4.2561</f>
        <v>0.77079726910167001</v>
      </c>
      <c r="D682">
        <f>E682*(SQRT($C$2/C682))</f>
        <v>75.639597832599179</v>
      </c>
      <c r="E682">
        <v>60</v>
      </c>
      <c r="F682">
        <v>1150</v>
      </c>
      <c r="G682">
        <v>500</v>
      </c>
      <c r="H682">
        <f>CONVERT(G682,"HP","kW")</f>
        <v>372.84993579113512</v>
      </c>
      <c r="I682">
        <v>0.70269999999999999</v>
      </c>
      <c r="J682">
        <v>0.51239999999999997</v>
      </c>
      <c r="K682">
        <v>0.53110000000000002</v>
      </c>
      <c r="L682">
        <v>7.0300000000000001E-2</v>
      </c>
      <c r="M682">
        <v>9.6500000000000002E-2</v>
      </c>
      <c r="N682">
        <f>CONVERT(O682,"lbf","N")</f>
        <v>6733.2730590198198</v>
      </c>
      <c r="O682">
        <v>1513.7</v>
      </c>
      <c r="P682">
        <f t="shared" si="10"/>
        <v>1.372688477951636</v>
      </c>
    </row>
    <row r="683" spans="1:16" hidden="1" x14ac:dyDescent="0.25">
      <c r="A683">
        <v>0</v>
      </c>
      <c r="B683">
        <v>15000</v>
      </c>
      <c r="C683">
        <f>1.225 * (1 - 0.00000687559 * B683) ^ 4.2561</f>
        <v>0.77079726910167001</v>
      </c>
      <c r="D683">
        <f>E683*(SQRT($C$2/C683))</f>
        <v>126.06599638766529</v>
      </c>
      <c r="E683">
        <v>100</v>
      </c>
      <c r="F683">
        <v>1150</v>
      </c>
      <c r="G683">
        <v>500</v>
      </c>
      <c r="H683">
        <f>CONVERT(G683,"HP","kW")</f>
        <v>372.84993579113512</v>
      </c>
      <c r="I683">
        <v>0.79310000000000003</v>
      </c>
      <c r="J683">
        <v>0.85389999999999999</v>
      </c>
      <c r="K683">
        <v>0.55559999999999998</v>
      </c>
      <c r="L683">
        <v>7.0300000000000001E-2</v>
      </c>
      <c r="M683">
        <v>6.5299999999999997E-2</v>
      </c>
      <c r="N683">
        <f>CONVERT(O683,"lbf","N")</f>
        <v>4559.4271556420126</v>
      </c>
      <c r="O683">
        <v>1025</v>
      </c>
      <c r="P683">
        <f t="shared" si="10"/>
        <v>0.92887624466571828</v>
      </c>
    </row>
    <row r="684" spans="1:16" hidden="1" x14ac:dyDescent="0.25">
      <c r="A684">
        <v>0</v>
      </c>
      <c r="B684">
        <v>15000</v>
      </c>
      <c r="C684">
        <f>1.225 * (1 - 0.00000687559 * B684) ^ 4.2561</f>
        <v>0.77079726910167001</v>
      </c>
      <c r="D684">
        <f>E684*(SQRT($C$2/C684))</f>
        <v>226.91879349779754</v>
      </c>
      <c r="E684">
        <v>180</v>
      </c>
      <c r="F684">
        <v>1150</v>
      </c>
      <c r="G684">
        <v>500</v>
      </c>
      <c r="H684">
        <f>CONVERT(G684,"HP","kW")</f>
        <v>372.84993579113512</v>
      </c>
      <c r="I684">
        <v>0.75639999999999996</v>
      </c>
      <c r="J684">
        <v>1.5370999999999999</v>
      </c>
      <c r="K684">
        <v>0.63219999999999998</v>
      </c>
      <c r="L684">
        <v>7.0300000000000001E-2</v>
      </c>
      <c r="M684">
        <v>3.4599999999999999E-2</v>
      </c>
      <c r="N684">
        <f>CONVERT(O684,"lbf","N")</f>
        <v>2415.8291592479777</v>
      </c>
      <c r="O684">
        <v>543.1</v>
      </c>
      <c r="P684">
        <f t="shared" si="10"/>
        <v>0.49217638691322901</v>
      </c>
    </row>
    <row r="685" spans="1:16" hidden="1" x14ac:dyDescent="0.25">
      <c r="A685" s="4">
        <v>0</v>
      </c>
      <c r="B685" s="4">
        <v>15000</v>
      </c>
      <c r="C685" s="4">
        <f>1.225 * (1 - 0.00000687559 * B685) ^ 4.2561</f>
        <v>0.77079726910167001</v>
      </c>
      <c r="D685" s="4">
        <f>E685*(SQRT($C$2/C685))</f>
        <v>252.13199277533059</v>
      </c>
      <c r="E685" s="4">
        <v>200</v>
      </c>
      <c r="F685" s="4">
        <v>1150</v>
      </c>
      <c r="G685" s="4">
        <v>500</v>
      </c>
      <c r="H685" s="4">
        <f>CONVERT(G685,"HP","kW")</f>
        <v>372.84993579113512</v>
      </c>
      <c r="I685" s="4">
        <v>0.71130000000000004</v>
      </c>
      <c r="J685" s="4">
        <v>1.7079</v>
      </c>
      <c r="K685" s="4">
        <v>0.65610000000000002</v>
      </c>
      <c r="L685" s="4">
        <v>7.0300000000000001E-2</v>
      </c>
      <c r="M685" s="4">
        <v>2.93E-2</v>
      </c>
      <c r="N685">
        <f>CONVERT(O685,"lbf","N")</f>
        <v>2044.8474765352516</v>
      </c>
      <c r="O685" s="4">
        <v>459.7</v>
      </c>
      <c r="P685">
        <f t="shared" si="10"/>
        <v>0.41678520625889048</v>
      </c>
    </row>
    <row r="686" spans="1:16" hidden="1" x14ac:dyDescent="0.25">
      <c r="A686">
        <v>0</v>
      </c>
      <c r="B686">
        <v>15000</v>
      </c>
      <c r="C686">
        <f>1.225 * (1 - 0.00000687559 * B686) ^ 4.2561</f>
        <v>0.77079726910167001</v>
      </c>
      <c r="D686">
        <f>E686*(SQRT($C$2/C686))</f>
        <v>277.34519205286364</v>
      </c>
      <c r="E686">
        <v>220</v>
      </c>
      <c r="F686">
        <v>1150</v>
      </c>
      <c r="G686">
        <v>500</v>
      </c>
      <c r="H686">
        <f>CONVERT(G686,"HP","kW")</f>
        <v>372.84993579113512</v>
      </c>
      <c r="I686">
        <v>0.63939999999999997</v>
      </c>
      <c r="J686">
        <v>1.8787</v>
      </c>
      <c r="K686">
        <v>0.68159999999999998</v>
      </c>
      <c r="L686">
        <v>7.0300000000000001E-2</v>
      </c>
      <c r="M686">
        <v>2.3900000000000001E-2</v>
      </c>
      <c r="N686">
        <f>CONVERT(O686,"lbf","N")</f>
        <v>1670.7520386918441</v>
      </c>
      <c r="O686">
        <v>375.6</v>
      </c>
      <c r="P686">
        <f t="shared" si="10"/>
        <v>0.33997155049786631</v>
      </c>
    </row>
    <row r="687" spans="1:16" hidden="1" x14ac:dyDescent="0.25">
      <c r="A687">
        <v>0</v>
      </c>
      <c r="B687">
        <v>15000</v>
      </c>
      <c r="C687">
        <f>1.225 * (1 - 0.00000687559 * B687) ^ 4.2561</f>
        <v>0.77079726910167001</v>
      </c>
      <c r="D687">
        <f>E687*(SQRT($C$2/C687))</f>
        <v>302.55839133039672</v>
      </c>
      <c r="E687">
        <v>240</v>
      </c>
      <c r="F687">
        <v>1150</v>
      </c>
      <c r="G687">
        <v>500</v>
      </c>
      <c r="H687">
        <f>CONVERT(G687,"HP","kW")</f>
        <v>372.84993579113512</v>
      </c>
      <c r="I687">
        <v>0.52239999999999998</v>
      </c>
      <c r="J687">
        <v>2.0493999999999999</v>
      </c>
      <c r="K687">
        <v>0.70840000000000003</v>
      </c>
      <c r="L687">
        <v>7.0300000000000001E-2</v>
      </c>
      <c r="M687">
        <v>1.7899999999999999E-2</v>
      </c>
      <c r="N687">
        <f>CONVERT(O687,"lbf","N")</f>
        <v>1251.2847403727787</v>
      </c>
      <c r="O687">
        <v>281.3</v>
      </c>
      <c r="P687">
        <f t="shared" si="10"/>
        <v>0.25462304409672831</v>
      </c>
    </row>
    <row r="688" spans="1:16" hidden="1" x14ac:dyDescent="0.25">
      <c r="A688">
        <v>0</v>
      </c>
      <c r="B688">
        <v>15000</v>
      </c>
      <c r="C688">
        <f>1.225 * (1 - 0.00000687559 * B688) ^ 4.2561</f>
        <v>0.77079726910167001</v>
      </c>
      <c r="D688">
        <f>E688*(SQRT($C$2/C688))</f>
        <v>327.77159060792974</v>
      </c>
      <c r="E688">
        <v>260</v>
      </c>
      <c r="F688">
        <v>1150</v>
      </c>
      <c r="G688">
        <v>500</v>
      </c>
      <c r="H688">
        <f>CONVERT(G688,"HP","kW")</f>
        <v>372.84993579113512</v>
      </c>
      <c r="I688">
        <v>0.3327</v>
      </c>
      <c r="J688">
        <v>2.2202000000000002</v>
      </c>
      <c r="K688">
        <v>0.73640000000000005</v>
      </c>
      <c r="L688">
        <v>7.0300000000000001E-2</v>
      </c>
      <c r="M688">
        <v>1.0500000000000001E-2</v>
      </c>
      <c r="N688">
        <f>CONVERT(O688,"lbf","N")</f>
        <v>735.73585516408662</v>
      </c>
      <c r="O688">
        <v>165.4</v>
      </c>
      <c r="P688">
        <f t="shared" si="10"/>
        <v>0.14935988620199148</v>
      </c>
    </row>
    <row r="689" spans="1:16" hidden="1" x14ac:dyDescent="0.25">
      <c r="A689">
        <v>0</v>
      </c>
      <c r="B689">
        <v>15000</v>
      </c>
      <c r="C689">
        <f>1.225 * (1 - 0.00000687559 * B689) ^ 4.2561</f>
        <v>0.77079726910167001</v>
      </c>
      <c r="D689">
        <f>E689*(SQRT($C$2/C689))</f>
        <v>0</v>
      </c>
      <c r="E689">
        <v>0</v>
      </c>
      <c r="F689">
        <v>1150</v>
      </c>
      <c r="G689">
        <v>500</v>
      </c>
      <c r="H689">
        <f>CONVERT(G689,"HP","kW")</f>
        <v>372.84993579113512</v>
      </c>
      <c r="I689">
        <v>0</v>
      </c>
      <c r="J689">
        <v>0</v>
      </c>
      <c r="K689">
        <v>0.50980000000000003</v>
      </c>
      <c r="L689">
        <v>7.0400000000000004E-2</v>
      </c>
      <c r="M689">
        <v>0.1658</v>
      </c>
      <c r="N689">
        <f>CONVERT(O689,"lbf","N")</f>
        <v>11558.259045092884</v>
      </c>
      <c r="O689">
        <v>2598.4</v>
      </c>
      <c r="P689">
        <f t="shared" si="10"/>
        <v>2.3551136363636362</v>
      </c>
    </row>
    <row r="690" spans="1:16" hidden="1" x14ac:dyDescent="0.25">
      <c r="A690">
        <v>0</v>
      </c>
      <c r="B690">
        <v>15000</v>
      </c>
      <c r="C690">
        <f>1.225 * (1 - 0.00000687559 * B690) ^ 4.2561</f>
        <v>0.77079726910167001</v>
      </c>
      <c r="D690">
        <f>E690*(SQRT($C$2/C690))</f>
        <v>25.213199277533057</v>
      </c>
      <c r="E690">
        <v>20</v>
      </c>
      <c r="F690">
        <v>1150</v>
      </c>
      <c r="G690">
        <v>500</v>
      </c>
      <c r="H690">
        <f>CONVERT(G690,"HP","kW")</f>
        <v>372.84993579113512</v>
      </c>
      <c r="I690">
        <v>0.34670000000000001</v>
      </c>
      <c r="J690">
        <v>0.17080000000000001</v>
      </c>
      <c r="K690">
        <v>0.51539999999999997</v>
      </c>
      <c r="L690">
        <v>7.0400000000000004E-2</v>
      </c>
      <c r="M690">
        <v>0.1429</v>
      </c>
      <c r="N690">
        <f>CONVERT(O690,"lbf","N")</f>
        <v>9965.3508846680979</v>
      </c>
      <c r="O690">
        <v>2240.3000000000002</v>
      </c>
      <c r="P690">
        <f t="shared" si="10"/>
        <v>2.0298295454545454</v>
      </c>
    </row>
    <row r="691" spans="1:16" hidden="1" x14ac:dyDescent="0.25">
      <c r="A691">
        <v>0</v>
      </c>
      <c r="B691">
        <v>15000</v>
      </c>
      <c r="C691">
        <f>1.225 * (1 - 0.00000687559 * B691) ^ 4.2561</f>
        <v>0.77079726910167001</v>
      </c>
      <c r="D691">
        <f>E691*(SQRT($C$2/C691))</f>
        <v>50.426398555066115</v>
      </c>
      <c r="E691">
        <v>40</v>
      </c>
      <c r="F691">
        <v>1150</v>
      </c>
      <c r="G691">
        <v>500</v>
      </c>
      <c r="H691">
        <f>CONVERT(G691,"HP","kW")</f>
        <v>372.84993579113512</v>
      </c>
      <c r="I691">
        <v>0.57620000000000005</v>
      </c>
      <c r="J691">
        <v>0.34160000000000001</v>
      </c>
      <c r="K691">
        <v>0.52229999999999999</v>
      </c>
      <c r="L691">
        <v>7.0400000000000004E-2</v>
      </c>
      <c r="M691">
        <v>0.1188</v>
      </c>
      <c r="N691">
        <f>CONVERT(O691,"lbf","N")</f>
        <v>8281.2541811304727</v>
      </c>
      <c r="O691">
        <v>1861.7</v>
      </c>
      <c r="P691">
        <f t="shared" si="10"/>
        <v>1.6875</v>
      </c>
    </row>
    <row r="692" spans="1:16" hidden="1" x14ac:dyDescent="0.25">
      <c r="A692">
        <v>0</v>
      </c>
      <c r="B692">
        <v>15000</v>
      </c>
      <c r="C692">
        <f>1.225 * (1 - 0.00000687559 * B692) ^ 4.2561</f>
        <v>0.77079726910167001</v>
      </c>
      <c r="D692">
        <f>E692*(SQRT($C$2/C692))</f>
        <v>100.85279711013223</v>
      </c>
      <c r="E692">
        <v>80</v>
      </c>
      <c r="F692">
        <v>1150</v>
      </c>
      <c r="G692">
        <v>500</v>
      </c>
      <c r="H692">
        <f>CONVERT(G692,"HP","kW")</f>
        <v>372.84993579113512</v>
      </c>
      <c r="I692">
        <v>0.76480000000000004</v>
      </c>
      <c r="J692">
        <v>0.68310000000000004</v>
      </c>
      <c r="K692">
        <v>0.54210000000000003</v>
      </c>
      <c r="L692">
        <v>7.0400000000000004E-2</v>
      </c>
      <c r="M692">
        <v>7.8799999999999995E-2</v>
      </c>
      <c r="N692">
        <f>CONVERT(O692,"lbf","N")</f>
        <v>5496.2226278158732</v>
      </c>
      <c r="O692">
        <v>1235.5999999999999</v>
      </c>
      <c r="P692">
        <f t="shared" si="10"/>
        <v>1.1193181818181817</v>
      </c>
    </row>
    <row r="693" spans="1:16" hidden="1" x14ac:dyDescent="0.25">
      <c r="A693">
        <v>0</v>
      </c>
      <c r="B693">
        <v>15000</v>
      </c>
      <c r="C693">
        <f>1.225 * (1 - 0.00000687559 * B693) ^ 4.2561</f>
        <v>0.77079726910167001</v>
      </c>
      <c r="D693">
        <f>E693*(SQRT($C$2/C693))</f>
        <v>151.27919566519836</v>
      </c>
      <c r="E693">
        <v>120</v>
      </c>
      <c r="F693">
        <v>1150</v>
      </c>
      <c r="G693">
        <v>500</v>
      </c>
      <c r="H693">
        <f>CONVERT(G693,"HP","kW")</f>
        <v>372.84993579113512</v>
      </c>
      <c r="I693">
        <v>0.8024</v>
      </c>
      <c r="J693">
        <v>1.0246999999999999</v>
      </c>
      <c r="K693">
        <v>0.5716</v>
      </c>
      <c r="L693">
        <v>7.0400000000000004E-2</v>
      </c>
      <c r="M693">
        <v>5.5100000000000003E-2</v>
      </c>
      <c r="N693">
        <f>CONVERT(O693,"lbf","N")</f>
        <v>3844.1531199081242</v>
      </c>
      <c r="O693">
        <v>864.2</v>
      </c>
      <c r="P693">
        <f t="shared" si="10"/>
        <v>0.78267045454545459</v>
      </c>
    </row>
    <row r="694" spans="1:16" hidden="1" x14ac:dyDescent="0.25">
      <c r="A694">
        <v>0</v>
      </c>
      <c r="B694">
        <v>15000</v>
      </c>
      <c r="C694">
        <f>1.225 * (1 - 0.00000687559 * B694) ^ 4.2561</f>
        <v>0.77079726910167001</v>
      </c>
      <c r="D694">
        <f>E694*(SQRT($C$2/C694))</f>
        <v>176.49239494273141</v>
      </c>
      <c r="E694">
        <v>140</v>
      </c>
      <c r="F694">
        <v>1150</v>
      </c>
      <c r="G694">
        <v>500</v>
      </c>
      <c r="H694">
        <f>CONVERT(G694,"HP","kW")</f>
        <v>372.84993579113512</v>
      </c>
      <c r="I694">
        <v>0.79830000000000001</v>
      </c>
      <c r="J694">
        <v>1.1955</v>
      </c>
      <c r="K694">
        <v>0.58979999999999999</v>
      </c>
      <c r="L694">
        <v>7.0400000000000004E-2</v>
      </c>
      <c r="M694">
        <v>4.7E-2</v>
      </c>
      <c r="N694">
        <f>CONVERT(O694,"lbf","N")</f>
        <v>3278.3393304469882</v>
      </c>
      <c r="O694">
        <v>737</v>
      </c>
      <c r="P694">
        <f t="shared" si="10"/>
        <v>0.66761363636363635</v>
      </c>
    </row>
    <row r="695" spans="1:16" hidden="1" x14ac:dyDescent="0.25">
      <c r="A695">
        <v>0</v>
      </c>
      <c r="B695">
        <v>15000</v>
      </c>
      <c r="C695">
        <f>1.225 * (1 - 0.00000687559 * B695) ^ 4.2561</f>
        <v>0.77079726910167001</v>
      </c>
      <c r="D695">
        <f>E695*(SQRT($C$2/C695))</f>
        <v>201.70559422026446</v>
      </c>
      <c r="E695">
        <v>160</v>
      </c>
      <c r="F695">
        <v>1150</v>
      </c>
      <c r="G695">
        <v>500</v>
      </c>
      <c r="H695">
        <f>CONVERT(G695,"HP","kW")</f>
        <v>372.84993579113512</v>
      </c>
      <c r="I695">
        <v>0.78269999999999995</v>
      </c>
      <c r="J695">
        <v>1.3663000000000001</v>
      </c>
      <c r="K695">
        <v>0.61</v>
      </c>
      <c r="L695">
        <v>7.0400000000000004E-2</v>
      </c>
      <c r="M695">
        <v>4.0300000000000002E-2</v>
      </c>
      <c r="N695">
        <f>CONVERT(O695,"lbf","N")</f>
        <v>2812.165705167688</v>
      </c>
      <c r="O695">
        <v>632.20000000000005</v>
      </c>
      <c r="P695">
        <f t="shared" si="10"/>
        <v>0.57244318181818177</v>
      </c>
    </row>
    <row r="696" spans="1:16" hidden="1" x14ac:dyDescent="0.25">
      <c r="A696">
        <v>0</v>
      </c>
      <c r="B696">
        <v>20000</v>
      </c>
      <c r="C696">
        <f>1.225 * (1 - 0.00000687559 * B696) ^ 4.2561</f>
        <v>0.65267221054298263</v>
      </c>
      <c r="D696">
        <f>E696*(SQRT($C$2/C696))</f>
        <v>0</v>
      </c>
      <c r="E696">
        <v>0</v>
      </c>
      <c r="F696">
        <v>1215</v>
      </c>
      <c r="G696">
        <v>500</v>
      </c>
      <c r="H696">
        <f>CONVERT(G696,"HP","kW")</f>
        <v>372.84993579113512</v>
      </c>
      <c r="I696">
        <v>0</v>
      </c>
      <c r="J696">
        <v>0</v>
      </c>
      <c r="K696">
        <v>0.54920000000000002</v>
      </c>
      <c r="L696">
        <v>7.0400000000000004E-2</v>
      </c>
      <c r="M696">
        <v>0.16539999999999999</v>
      </c>
      <c r="N696">
        <f>CONVERT(O696,"lbf","N")</f>
        <v>10913.711733041637</v>
      </c>
      <c r="O696">
        <v>2453.5</v>
      </c>
      <c r="P696">
        <f t="shared" si="10"/>
        <v>2.3494318181818179</v>
      </c>
    </row>
    <row r="697" spans="1:16" hidden="1" x14ac:dyDescent="0.25">
      <c r="A697">
        <v>0</v>
      </c>
      <c r="B697">
        <v>20000</v>
      </c>
      <c r="C697">
        <f>1.225 * (1 - 0.00000687559 * B697) ^ 4.2561</f>
        <v>0.65267221054298263</v>
      </c>
      <c r="D697">
        <f>E697*(SQRT($C$2/C697))</f>
        <v>27.399994721664136</v>
      </c>
      <c r="E697">
        <v>20</v>
      </c>
      <c r="F697">
        <v>1215</v>
      </c>
      <c r="G697">
        <v>500</v>
      </c>
      <c r="H697">
        <f>CONVERT(G697,"HP","kW")</f>
        <v>372.84993579113512</v>
      </c>
      <c r="I697">
        <v>0.3543</v>
      </c>
      <c r="J697">
        <v>0.1757</v>
      </c>
      <c r="K697">
        <v>0.5554</v>
      </c>
      <c r="L697">
        <v>7.0400000000000004E-2</v>
      </c>
      <c r="M697">
        <v>0.14199999999999999</v>
      </c>
      <c r="N697">
        <f>CONVERT(O697,"lbf","N")</f>
        <v>9371.0684768692954</v>
      </c>
      <c r="O697">
        <v>2106.6999999999998</v>
      </c>
      <c r="P697">
        <f t="shared" si="10"/>
        <v>2.0170454545454541</v>
      </c>
    </row>
    <row r="698" spans="1:16" hidden="1" x14ac:dyDescent="0.25">
      <c r="A698">
        <v>0</v>
      </c>
      <c r="B698">
        <v>20000</v>
      </c>
      <c r="C698">
        <f>1.225 * (1 - 0.00000687559 * B698) ^ 4.2561</f>
        <v>0.65267221054298263</v>
      </c>
      <c r="D698">
        <f>E698*(SQRT($C$2/C698))</f>
        <v>54.799989443328272</v>
      </c>
      <c r="E698">
        <v>40</v>
      </c>
      <c r="F698">
        <v>1215</v>
      </c>
      <c r="G698">
        <v>500</v>
      </c>
      <c r="H698">
        <f>CONVERT(G698,"HP","kW")</f>
        <v>372.84993579113512</v>
      </c>
      <c r="I698">
        <v>0.58389999999999997</v>
      </c>
      <c r="J698">
        <v>0.3513</v>
      </c>
      <c r="K698">
        <v>0.56320000000000003</v>
      </c>
      <c r="L698">
        <v>7.0400000000000004E-2</v>
      </c>
      <c r="M698">
        <v>0.11700000000000001</v>
      </c>
      <c r="N698">
        <f>CONVERT(O698,"lbf","N")</f>
        <v>7722.1127240922287</v>
      </c>
      <c r="O698">
        <v>1736</v>
      </c>
      <c r="P698">
        <f t="shared" si="10"/>
        <v>1.6619318181818181</v>
      </c>
    </row>
    <row r="699" spans="1:16" hidden="1" x14ac:dyDescent="0.25">
      <c r="A699">
        <v>0</v>
      </c>
      <c r="B699">
        <v>20000</v>
      </c>
      <c r="C699">
        <f>1.225 * (1 - 0.00000687559 * B699) ^ 4.2561</f>
        <v>0.65267221054298263</v>
      </c>
      <c r="D699">
        <f>E699*(SQRT($C$2/C699))</f>
        <v>82.199984164992401</v>
      </c>
      <c r="E699">
        <v>60</v>
      </c>
      <c r="F699">
        <v>1215</v>
      </c>
      <c r="G699">
        <v>500</v>
      </c>
      <c r="H699">
        <f>CONVERT(G699,"HP","kW")</f>
        <v>372.84993579113512</v>
      </c>
      <c r="I699">
        <v>0.70530000000000004</v>
      </c>
      <c r="J699">
        <v>0.52700000000000002</v>
      </c>
      <c r="K699">
        <v>0.57310000000000005</v>
      </c>
      <c r="L699">
        <v>7.0400000000000004E-2</v>
      </c>
      <c r="M699">
        <v>9.4299999999999995E-2</v>
      </c>
      <c r="N699">
        <f>CONVERT(O699,"lbf","N")</f>
        <v>6218.6138181341794</v>
      </c>
      <c r="O699">
        <v>1398</v>
      </c>
      <c r="P699">
        <f t="shared" si="10"/>
        <v>1.3394886363636362</v>
      </c>
    </row>
    <row r="700" spans="1:16" hidden="1" x14ac:dyDescent="0.25">
      <c r="A700">
        <v>0</v>
      </c>
      <c r="B700">
        <v>20000</v>
      </c>
      <c r="C700">
        <f>1.225 * (1 - 0.00000687559 * B700) ^ 4.2561</f>
        <v>0.65267221054298263</v>
      </c>
      <c r="D700">
        <f>E700*(SQRT($C$2/C700))</f>
        <v>136.99997360832069</v>
      </c>
      <c r="E700">
        <v>100</v>
      </c>
      <c r="F700">
        <v>1215</v>
      </c>
      <c r="G700">
        <v>500</v>
      </c>
      <c r="H700">
        <f>CONVERT(G700,"HP","kW")</f>
        <v>372.84993579113512</v>
      </c>
      <c r="I700">
        <v>0.78400000000000003</v>
      </c>
      <c r="J700">
        <v>0.87829999999999997</v>
      </c>
      <c r="K700">
        <v>0.60089999999999999</v>
      </c>
      <c r="L700">
        <v>7.0400000000000004E-2</v>
      </c>
      <c r="M700">
        <v>6.2899999999999998E-2</v>
      </c>
      <c r="N700">
        <f>CONVERT(O700,"lbf","N")</f>
        <v>4147.9666562304164</v>
      </c>
      <c r="O700">
        <v>932.5</v>
      </c>
      <c r="P700">
        <f t="shared" si="10"/>
        <v>0.89346590909090895</v>
      </c>
    </row>
    <row r="701" spans="1:16" hidden="1" x14ac:dyDescent="0.25">
      <c r="A701">
        <v>0</v>
      </c>
      <c r="B701">
        <v>20000</v>
      </c>
      <c r="C701">
        <f>1.225 * (1 - 0.00000687559 * B701) ^ 4.2561</f>
        <v>0.65267221054298263</v>
      </c>
      <c r="D701">
        <f>E701*(SQRT($C$2/C701))</f>
        <v>164.3999683299848</v>
      </c>
      <c r="E701">
        <v>120</v>
      </c>
      <c r="F701">
        <v>1215</v>
      </c>
      <c r="G701">
        <v>500</v>
      </c>
      <c r="H701">
        <f>CONVERT(G701,"HP","kW")</f>
        <v>372.84993579113512</v>
      </c>
      <c r="I701">
        <v>0.78600000000000003</v>
      </c>
      <c r="J701">
        <v>1.054</v>
      </c>
      <c r="K701">
        <v>0.61899999999999999</v>
      </c>
      <c r="L701">
        <v>7.0400000000000004E-2</v>
      </c>
      <c r="M701">
        <v>5.2499999999999998E-2</v>
      </c>
      <c r="N701">
        <f>CONVERT(O701,"lbf","N")</f>
        <v>3465.1646382879294</v>
      </c>
      <c r="O701">
        <v>779</v>
      </c>
      <c r="P701">
        <f t="shared" si="10"/>
        <v>0.74573863636363624</v>
      </c>
    </row>
    <row r="702" spans="1:16" hidden="1" x14ac:dyDescent="0.25">
      <c r="A702">
        <v>0</v>
      </c>
      <c r="B702">
        <v>20000</v>
      </c>
      <c r="C702">
        <f>1.225 * (1 - 0.00000687559 * B702) ^ 4.2561</f>
        <v>0.65267221054298263</v>
      </c>
      <c r="D702">
        <f>E702*(SQRT($C$2/C702))</f>
        <v>191.79996305164894</v>
      </c>
      <c r="E702">
        <v>140</v>
      </c>
      <c r="F702">
        <v>1215</v>
      </c>
      <c r="G702">
        <v>500</v>
      </c>
      <c r="H702">
        <f>CONVERT(G702,"HP","kW")</f>
        <v>372.84993579113512</v>
      </c>
      <c r="I702">
        <v>0.7712</v>
      </c>
      <c r="J702">
        <v>1.2297</v>
      </c>
      <c r="K702">
        <v>0.63959999999999995</v>
      </c>
      <c r="L702">
        <v>7.0400000000000004E-2</v>
      </c>
      <c r="M702">
        <v>4.4200000000000003E-2</v>
      </c>
      <c r="N702">
        <f>CONVERT(O702,"lbf","N")</f>
        <v>2914.4748023186798</v>
      </c>
      <c r="O702">
        <v>655.20000000000005</v>
      </c>
      <c r="P702">
        <f t="shared" si="10"/>
        <v>0.62784090909090906</v>
      </c>
    </row>
    <row r="703" spans="1:16" hidden="1" x14ac:dyDescent="0.25">
      <c r="A703">
        <v>0</v>
      </c>
      <c r="B703">
        <v>20000</v>
      </c>
      <c r="C703">
        <f>1.225 * (1 - 0.00000687559 * B703) ^ 4.2561</f>
        <v>0.65267221054298263</v>
      </c>
      <c r="D703">
        <f>E703*(SQRT($C$2/C703))</f>
        <v>246.59995249497723</v>
      </c>
      <c r="E703">
        <v>180</v>
      </c>
      <c r="F703">
        <v>1215</v>
      </c>
      <c r="G703">
        <v>500</v>
      </c>
      <c r="H703">
        <f>CONVERT(G703,"HP","kW")</f>
        <v>372.84993579113512</v>
      </c>
      <c r="I703">
        <v>0.68410000000000004</v>
      </c>
      <c r="J703">
        <v>1.581</v>
      </c>
      <c r="K703">
        <v>0.68759999999999999</v>
      </c>
      <c r="L703">
        <v>7.0400000000000004E-2</v>
      </c>
      <c r="M703">
        <v>3.0499999999999999E-2</v>
      </c>
      <c r="N703">
        <f>CONVERT(O703,"lbf","N")</f>
        <v>2010.5961700977459</v>
      </c>
      <c r="O703">
        <v>452</v>
      </c>
      <c r="P703">
        <f t="shared" si="10"/>
        <v>0.43323863636363635</v>
      </c>
    </row>
    <row r="704" spans="1:16" hidden="1" x14ac:dyDescent="0.25">
      <c r="A704">
        <v>0</v>
      </c>
      <c r="B704">
        <v>20000</v>
      </c>
      <c r="C704">
        <f>1.225 * (1 - 0.00000687559 * B704) ^ 4.2561</f>
        <v>0.65267221054298263</v>
      </c>
      <c r="D704">
        <f>E704*(SQRT($C$2/C704))</f>
        <v>273.99994721664137</v>
      </c>
      <c r="E704">
        <v>200</v>
      </c>
      <c r="F704">
        <v>1215</v>
      </c>
      <c r="G704">
        <v>500</v>
      </c>
      <c r="H704">
        <f>CONVERT(G704,"HP","kW")</f>
        <v>372.84993579113512</v>
      </c>
      <c r="I704">
        <v>0.5726</v>
      </c>
      <c r="J704">
        <v>1.7566999999999999</v>
      </c>
      <c r="K704">
        <v>0.71460000000000001</v>
      </c>
      <c r="L704">
        <v>7.0400000000000004E-2</v>
      </c>
      <c r="M704">
        <v>2.3E-2</v>
      </c>
      <c r="N704">
        <f>CONVERT(O704,"lbf","N")</f>
        <v>1514.6194599962002</v>
      </c>
      <c r="O704">
        <v>340.5</v>
      </c>
      <c r="P704">
        <f t="shared" si="10"/>
        <v>0.32670454545454541</v>
      </c>
    </row>
    <row r="705" spans="1:16" hidden="1" x14ac:dyDescent="0.25">
      <c r="A705">
        <v>0</v>
      </c>
      <c r="B705">
        <v>20000</v>
      </c>
      <c r="C705">
        <f>1.225 * (1 - 0.00000687559 * B705) ^ 4.2561</f>
        <v>0.65267221054298263</v>
      </c>
      <c r="D705">
        <f>E705*(SQRT($C$2/C705))</f>
        <v>301.39994193830552</v>
      </c>
      <c r="E705">
        <v>220</v>
      </c>
      <c r="F705">
        <v>1215</v>
      </c>
      <c r="G705">
        <v>500</v>
      </c>
      <c r="H705">
        <f>CONVERT(G705,"HP","kW")</f>
        <v>372.84993579113512</v>
      </c>
      <c r="I705">
        <v>0.43030000000000002</v>
      </c>
      <c r="J705">
        <v>1.9323999999999999</v>
      </c>
      <c r="K705">
        <v>0.74329999999999996</v>
      </c>
      <c r="L705">
        <v>7.0400000000000004E-2</v>
      </c>
      <c r="M705">
        <v>1.5699999999999999E-2</v>
      </c>
      <c r="N705">
        <f>CONVERT(O705,"lbf","N")</f>
        <v>1034.6563477095922</v>
      </c>
      <c r="O705">
        <v>232.6</v>
      </c>
      <c r="P705">
        <f t="shared" si="10"/>
        <v>0.22301136363636359</v>
      </c>
    </row>
    <row r="706" spans="1:16" hidden="1" x14ac:dyDescent="0.25">
      <c r="A706">
        <v>0</v>
      </c>
      <c r="B706">
        <v>20000</v>
      </c>
      <c r="C706">
        <f>1.225 * (1 - 0.00000687559 * B706) ^ 4.2561</f>
        <v>0.65267221054298263</v>
      </c>
      <c r="D706">
        <f>E706*(SQRT($C$2/C706))</f>
        <v>328.7999366599696</v>
      </c>
      <c r="E706">
        <v>240</v>
      </c>
      <c r="F706">
        <v>1215</v>
      </c>
      <c r="G706">
        <v>500</v>
      </c>
      <c r="H706">
        <f>CONVERT(G706,"HP","kW")</f>
        <v>372.84993579113512</v>
      </c>
      <c r="I706">
        <v>0.23530000000000001</v>
      </c>
      <c r="J706">
        <v>2.1080000000000001</v>
      </c>
      <c r="K706">
        <v>0.77339999999999998</v>
      </c>
      <c r="L706">
        <v>7.0400000000000004E-2</v>
      </c>
      <c r="M706">
        <v>7.9000000000000008E-3</v>
      </c>
      <c r="N706">
        <f>CONVERT(O706,"lbf","N")</f>
        <v>518.66264033937432</v>
      </c>
      <c r="O706">
        <v>116.6</v>
      </c>
      <c r="P706">
        <f t="shared" si="10"/>
        <v>0.11221590909090909</v>
      </c>
    </row>
    <row r="707" spans="1:16" hidden="1" x14ac:dyDescent="0.25">
      <c r="A707">
        <v>0</v>
      </c>
      <c r="B707">
        <v>20000</v>
      </c>
      <c r="C707">
        <f>1.225 * (1 - 0.00000687559 * B707) ^ 4.2561</f>
        <v>0.65267221054298263</v>
      </c>
      <c r="D707">
        <f>E707*(SQRT($C$2/C707))</f>
        <v>356.19993138163375</v>
      </c>
      <c r="E707">
        <v>260</v>
      </c>
      <c r="F707">
        <v>1215</v>
      </c>
      <c r="G707">
        <v>500</v>
      </c>
      <c r="H707">
        <f>CONVERT(G707,"HP","kW")</f>
        <v>372.84993579113512</v>
      </c>
      <c r="I707">
        <v>-3.9199999999999999E-2</v>
      </c>
      <c r="J707">
        <v>2.2837000000000001</v>
      </c>
      <c r="K707">
        <v>0.80489999999999995</v>
      </c>
      <c r="L707">
        <v>7.0400000000000004E-2</v>
      </c>
      <c r="M707">
        <v>-1.1999999999999999E-3</v>
      </c>
      <c r="N707">
        <f>CONVERT(O707,"lbf","N")</f>
        <v>-79.623166913162947</v>
      </c>
      <c r="O707">
        <v>-17.899999999999999</v>
      </c>
      <c r="P707">
        <f t="shared" ref="P707:P770" si="11">M707/L707</f>
        <v>-1.7045454545454544E-2</v>
      </c>
    </row>
    <row r="708" spans="1:16" hidden="1" x14ac:dyDescent="0.25">
      <c r="A708">
        <v>0</v>
      </c>
      <c r="B708">
        <v>20000</v>
      </c>
      <c r="C708">
        <f>1.225 * (1 - 0.00000687559 * B708) ^ 4.2561</f>
        <v>0.65267221054298263</v>
      </c>
      <c r="D708">
        <f>E708*(SQRT($C$2/C708))</f>
        <v>109.59997888665654</v>
      </c>
      <c r="E708">
        <v>80</v>
      </c>
      <c r="F708">
        <v>1215</v>
      </c>
      <c r="G708">
        <v>500</v>
      </c>
      <c r="H708">
        <f>CONVERT(G708,"HP","kW")</f>
        <v>372.84993579113512</v>
      </c>
      <c r="I708">
        <v>0.76259999999999994</v>
      </c>
      <c r="J708">
        <v>0.70269999999999999</v>
      </c>
      <c r="K708">
        <v>0.58560000000000001</v>
      </c>
      <c r="L708">
        <v>7.0499999999999993E-2</v>
      </c>
      <c r="M708">
        <v>7.6499999999999999E-2</v>
      </c>
      <c r="N708">
        <f>CONVERT(O708,"lbf","N")</f>
        <v>5042.9488452208288</v>
      </c>
      <c r="O708">
        <v>1133.7</v>
      </c>
      <c r="P708">
        <f t="shared" si="11"/>
        <v>1.0851063829787235</v>
      </c>
    </row>
    <row r="709" spans="1:16" hidden="1" x14ac:dyDescent="0.25">
      <c r="A709">
        <v>0</v>
      </c>
      <c r="B709">
        <v>20000</v>
      </c>
      <c r="C709">
        <f>1.225 * (1 - 0.00000687559 * B709) ^ 4.2561</f>
        <v>0.65267221054298263</v>
      </c>
      <c r="D709">
        <f>E709*(SQRT($C$2/C709))</f>
        <v>219.19995777331309</v>
      </c>
      <c r="E709">
        <v>160</v>
      </c>
      <c r="F709">
        <v>1215</v>
      </c>
      <c r="G709">
        <v>500</v>
      </c>
      <c r="H709">
        <f>CONVERT(G709,"HP","kW")</f>
        <v>372.84993579113512</v>
      </c>
      <c r="I709">
        <v>0.74239999999999995</v>
      </c>
      <c r="J709">
        <v>1.4054</v>
      </c>
      <c r="K709">
        <v>0.66249999999999998</v>
      </c>
      <c r="L709">
        <v>7.0499999999999993E-2</v>
      </c>
      <c r="M709">
        <v>3.7199999999999997E-2</v>
      </c>
      <c r="N709">
        <f>CONVERT(O709,"lbf","N")</f>
        <v>2454.528687300744</v>
      </c>
      <c r="O709">
        <v>551.79999999999995</v>
      </c>
      <c r="P709">
        <f t="shared" si="11"/>
        <v>0.52765957446808509</v>
      </c>
    </row>
    <row r="710" spans="1:16" hidden="1" x14ac:dyDescent="0.25">
      <c r="A710">
        <v>0</v>
      </c>
      <c r="B710">
        <v>30000</v>
      </c>
      <c r="C710">
        <f>1.225 * (1 - 0.00000687559 * B710) ^ 4.2561</f>
        <v>0.45828836225470948</v>
      </c>
      <c r="D710">
        <f>E710*(SQRT($C$2/C710))</f>
        <v>196.19135918703881</v>
      </c>
      <c r="E710">
        <v>120</v>
      </c>
      <c r="F710">
        <v>987</v>
      </c>
      <c r="G710">
        <v>200</v>
      </c>
      <c r="H710">
        <f>CONVERT(G710,"HP","kW")</f>
        <v>149.13997431645407</v>
      </c>
      <c r="I710">
        <v>0.79479999999999995</v>
      </c>
      <c r="J710">
        <v>1.5484</v>
      </c>
      <c r="K710">
        <v>0.57820000000000005</v>
      </c>
      <c r="L710">
        <v>7.4800000000000005E-2</v>
      </c>
      <c r="M710">
        <v>3.8399999999999997E-2</v>
      </c>
      <c r="N710">
        <f>CONVERT(O710,"lbf","N")</f>
        <v>1174.330506428772</v>
      </c>
      <c r="O710">
        <v>264</v>
      </c>
      <c r="P710">
        <f t="shared" si="11"/>
        <v>0.51336898395721919</v>
      </c>
    </row>
    <row r="711" spans="1:16" hidden="1" x14ac:dyDescent="0.25">
      <c r="A711">
        <v>0</v>
      </c>
      <c r="B711">
        <v>30000</v>
      </c>
      <c r="C711">
        <f>1.225 * (1 - 0.00000687559 * B711) ^ 4.2561</f>
        <v>0.45828836225470948</v>
      </c>
      <c r="D711">
        <f>E711*(SQRT($C$2/C711))</f>
        <v>228.88991905154526</v>
      </c>
      <c r="E711">
        <v>140</v>
      </c>
      <c r="F711">
        <v>987</v>
      </c>
      <c r="G711">
        <v>200</v>
      </c>
      <c r="H711">
        <f>CONVERT(G711,"HP","kW")</f>
        <v>149.13997431645407</v>
      </c>
      <c r="I711">
        <v>0.73929999999999996</v>
      </c>
      <c r="J711">
        <v>1.8065</v>
      </c>
      <c r="K711">
        <v>0.61180000000000001</v>
      </c>
      <c r="L711">
        <v>7.4800000000000005E-2</v>
      </c>
      <c r="M711">
        <v>3.0599999999999999E-2</v>
      </c>
      <c r="N711">
        <f>CONVERT(O711,"lbf","N")</f>
        <v>936.35065001233534</v>
      </c>
      <c r="O711">
        <v>210.5</v>
      </c>
      <c r="P711">
        <f t="shared" si="11"/>
        <v>0.40909090909090906</v>
      </c>
    </row>
    <row r="712" spans="1:16" hidden="1" x14ac:dyDescent="0.25">
      <c r="A712">
        <v>0</v>
      </c>
      <c r="B712">
        <v>30000</v>
      </c>
      <c r="C712">
        <f>1.225 * (1 - 0.00000687559 * B712) ^ 4.2561</f>
        <v>0.45828836225470948</v>
      </c>
      <c r="D712">
        <f>E712*(SQRT($C$2/C712))</f>
        <v>261.58847891605171</v>
      </c>
      <c r="E712">
        <v>160</v>
      </c>
      <c r="F712">
        <v>987</v>
      </c>
      <c r="G712">
        <v>200</v>
      </c>
      <c r="H712">
        <f>CONVERT(G712,"HP","kW")</f>
        <v>149.13997431645407</v>
      </c>
      <c r="I712">
        <v>0.64529999999999998</v>
      </c>
      <c r="J712">
        <v>2.0644999999999998</v>
      </c>
      <c r="K712">
        <v>0.64849999999999997</v>
      </c>
      <c r="L712">
        <v>7.4800000000000005E-2</v>
      </c>
      <c r="M712">
        <v>2.3400000000000001E-2</v>
      </c>
      <c r="N712">
        <f>CONVERT(O712,"lbf","N")</f>
        <v>715.27403573388847</v>
      </c>
      <c r="O712">
        <v>160.80000000000001</v>
      </c>
      <c r="P712">
        <f t="shared" si="11"/>
        <v>0.31283422459893045</v>
      </c>
    </row>
    <row r="713" spans="1:16" hidden="1" x14ac:dyDescent="0.25">
      <c r="A713">
        <v>0</v>
      </c>
      <c r="B713">
        <v>30000</v>
      </c>
      <c r="C713">
        <f>1.225 * (1 - 0.00000687559 * B713) ^ 4.2561</f>
        <v>0.45828836225470948</v>
      </c>
      <c r="D713">
        <f>E713*(SQRT($C$2/C713))</f>
        <v>294.28703878055819</v>
      </c>
      <c r="E713">
        <v>180</v>
      </c>
      <c r="F713">
        <v>987</v>
      </c>
      <c r="G713">
        <v>200</v>
      </c>
      <c r="H713">
        <f>CONVERT(G713,"HP","kW")</f>
        <v>149.13997431645407</v>
      </c>
      <c r="I713">
        <v>0.49480000000000002</v>
      </c>
      <c r="J713">
        <v>2.3226</v>
      </c>
      <c r="K713">
        <v>0.68769999999999998</v>
      </c>
      <c r="L713">
        <v>7.4800000000000005E-2</v>
      </c>
      <c r="M713">
        <v>1.5900000000000001E-2</v>
      </c>
      <c r="N713">
        <f>CONVERT(O713,"lbf","N")</f>
        <v>487.52508903255074</v>
      </c>
      <c r="O713">
        <v>109.6</v>
      </c>
      <c r="P713">
        <f t="shared" si="11"/>
        <v>0.21256684491978609</v>
      </c>
    </row>
    <row r="714" spans="1:16" hidden="1" x14ac:dyDescent="0.25">
      <c r="A714">
        <v>0</v>
      </c>
      <c r="B714">
        <v>30000</v>
      </c>
      <c r="C714">
        <f>1.225 * (1 - 0.00000687559 * B714) ^ 4.2561</f>
        <v>0.45828836225470948</v>
      </c>
      <c r="D714">
        <f>E714*(SQRT($C$2/C714))</f>
        <v>359.68415850957115</v>
      </c>
      <c r="E714">
        <v>220</v>
      </c>
      <c r="F714">
        <v>987</v>
      </c>
      <c r="G714">
        <v>200</v>
      </c>
      <c r="H714">
        <f>CONVERT(G714,"HP","kW")</f>
        <v>149.13997431645407</v>
      </c>
      <c r="I714">
        <v>-0.34939999999999999</v>
      </c>
      <c r="J714">
        <v>2.8386999999999998</v>
      </c>
      <c r="K714">
        <v>0.77200000000000002</v>
      </c>
      <c r="L714">
        <v>7.4800000000000005E-2</v>
      </c>
      <c r="M714">
        <v>-9.1999999999999998E-3</v>
      </c>
      <c r="N714">
        <f>CONVERT(O714,"lbf","N")</f>
        <v>-281.57242824598967</v>
      </c>
      <c r="O714">
        <v>-63.3</v>
      </c>
      <c r="P714">
        <f t="shared" si="11"/>
        <v>-0.1229946524064171</v>
      </c>
    </row>
    <row r="715" spans="1:16" hidden="1" x14ac:dyDescent="0.25">
      <c r="A715">
        <v>0</v>
      </c>
      <c r="B715">
        <v>30000</v>
      </c>
      <c r="C715">
        <f>1.225 * (1 - 0.00000687559 * B715) ^ 4.2561</f>
        <v>0.45828836225470948</v>
      </c>
      <c r="D715">
        <f>E715*(SQRT($C$2/C715))</f>
        <v>425.08127823858405</v>
      </c>
      <c r="E715">
        <v>260</v>
      </c>
      <c r="F715">
        <v>987</v>
      </c>
      <c r="G715">
        <v>200</v>
      </c>
      <c r="H715">
        <f>CONVERT(G715,"HP","kW")</f>
        <v>149.13997431645407</v>
      </c>
      <c r="I715">
        <v>0</v>
      </c>
      <c r="J715">
        <v>3.3548</v>
      </c>
      <c r="K715">
        <v>0.86240000000000006</v>
      </c>
      <c r="L715">
        <v>7.4800000000000005E-2</v>
      </c>
      <c r="M715">
        <v>-6.9900000000000004E-2</v>
      </c>
      <c r="N715">
        <f>CONVERT(O715,"lbf","N")</f>
        <v>-2136.4808418096181</v>
      </c>
      <c r="O715">
        <v>-480.3</v>
      </c>
      <c r="P715">
        <f t="shared" si="11"/>
        <v>-0.93449197860962563</v>
      </c>
    </row>
    <row r="716" spans="1:16" hidden="1" x14ac:dyDescent="0.25">
      <c r="A716">
        <v>0</v>
      </c>
      <c r="B716">
        <v>30000</v>
      </c>
      <c r="C716">
        <f>1.225 * (1 - 0.00000687559 * B716) ^ 4.2561</f>
        <v>0.45828836225470948</v>
      </c>
      <c r="D716">
        <f>E716*(SQRT($C$2/C716))</f>
        <v>0</v>
      </c>
      <c r="E716">
        <v>0</v>
      </c>
      <c r="F716">
        <v>987</v>
      </c>
      <c r="G716">
        <v>200</v>
      </c>
      <c r="H716">
        <f>CONVERT(G716,"HP","kW")</f>
        <v>149.13997431645407</v>
      </c>
      <c r="I716">
        <v>0</v>
      </c>
      <c r="J716">
        <v>0</v>
      </c>
      <c r="K716">
        <v>0.46479999999999999</v>
      </c>
      <c r="L716">
        <v>7.4899999999999994E-2</v>
      </c>
      <c r="M716">
        <v>0.17330000000000001</v>
      </c>
      <c r="N716">
        <f>CONVERT(O716,"lbf","N")</f>
        <v>5295.1630108060999</v>
      </c>
      <c r="O716">
        <v>1190.4000000000001</v>
      </c>
      <c r="P716">
        <f t="shared" si="11"/>
        <v>2.313751668891856</v>
      </c>
    </row>
    <row r="717" spans="1:16" hidden="1" x14ac:dyDescent="0.25">
      <c r="A717">
        <v>0</v>
      </c>
      <c r="B717">
        <v>30000</v>
      </c>
      <c r="C717">
        <f>1.225 * (1 - 0.00000687559 * B717) ^ 4.2561</f>
        <v>0.45828836225470948</v>
      </c>
      <c r="D717">
        <f>E717*(SQRT($C$2/C717))</f>
        <v>32.698559864506464</v>
      </c>
      <c r="E717">
        <v>20</v>
      </c>
      <c r="F717">
        <v>987</v>
      </c>
      <c r="G717">
        <v>200</v>
      </c>
      <c r="H717">
        <f>CONVERT(G717,"HP","kW")</f>
        <v>149.13997431645407</v>
      </c>
      <c r="I717">
        <v>0.47499999999999998</v>
      </c>
      <c r="J717">
        <v>0.2581</v>
      </c>
      <c r="K717">
        <v>0.47310000000000002</v>
      </c>
      <c r="L717">
        <v>7.4899999999999994E-2</v>
      </c>
      <c r="M717">
        <v>0.13780000000000001</v>
      </c>
      <c r="N717">
        <f>CONVERT(O717,"lbf","N")</f>
        <v>4212.0210474901678</v>
      </c>
      <c r="O717">
        <v>946.9</v>
      </c>
      <c r="P717">
        <f t="shared" si="11"/>
        <v>1.8397863818424569</v>
      </c>
    </row>
    <row r="718" spans="1:16" hidden="1" x14ac:dyDescent="0.25">
      <c r="A718">
        <v>0</v>
      </c>
      <c r="B718">
        <v>30000</v>
      </c>
      <c r="C718">
        <f>1.225 * (1 - 0.00000687559 * B718) ^ 4.2561</f>
        <v>0.45828836225470948</v>
      </c>
      <c r="D718">
        <f>E718*(SQRT($C$2/C718))</f>
        <v>65.397119729012928</v>
      </c>
      <c r="E718">
        <v>40</v>
      </c>
      <c r="F718">
        <v>987</v>
      </c>
      <c r="G718">
        <v>200</v>
      </c>
      <c r="H718">
        <f>CONVERT(G718,"HP","kW")</f>
        <v>149.13997431645407</v>
      </c>
      <c r="I718">
        <v>0.71040000000000003</v>
      </c>
      <c r="J718">
        <v>0.5161</v>
      </c>
      <c r="K718">
        <v>0.48459999999999998</v>
      </c>
      <c r="L718">
        <v>7.4899999999999994E-2</v>
      </c>
      <c r="M718">
        <v>0.1031</v>
      </c>
      <c r="N718">
        <f>CONVERT(O718,"lbf","N")</f>
        <v>3149.3409036044341</v>
      </c>
      <c r="O718">
        <v>708</v>
      </c>
      <c r="P718">
        <f t="shared" si="11"/>
        <v>1.376502002670227</v>
      </c>
    </row>
    <row r="719" spans="1:16" hidden="1" x14ac:dyDescent="0.25">
      <c r="A719">
        <v>0</v>
      </c>
      <c r="B719">
        <v>30000</v>
      </c>
      <c r="C719">
        <f>1.225 * (1 - 0.00000687559 * B719) ^ 4.2561</f>
        <v>0.45828836225470948</v>
      </c>
      <c r="D719">
        <f>E719*(SQRT($C$2/C719))</f>
        <v>98.095679593519407</v>
      </c>
      <c r="E719">
        <v>60</v>
      </c>
      <c r="F719">
        <v>987</v>
      </c>
      <c r="G719">
        <v>200</v>
      </c>
      <c r="H719">
        <f>CONVERT(G719,"HP","kW")</f>
        <v>149.13997431645407</v>
      </c>
      <c r="I719">
        <v>0.80049999999999999</v>
      </c>
      <c r="J719">
        <v>0.7742</v>
      </c>
      <c r="K719">
        <v>0.50080000000000002</v>
      </c>
      <c r="L719">
        <v>7.4899999999999994E-2</v>
      </c>
      <c r="M719">
        <v>7.7399999999999997E-2</v>
      </c>
      <c r="N719">
        <f>CONVERT(O719,"lbf","N")</f>
        <v>2365.5642549955337</v>
      </c>
      <c r="O719">
        <v>531.79999999999995</v>
      </c>
      <c r="P719">
        <f t="shared" si="11"/>
        <v>1.0333778371161548</v>
      </c>
    </row>
    <row r="720" spans="1:16" hidden="1" x14ac:dyDescent="0.25">
      <c r="A720">
        <v>0</v>
      </c>
      <c r="B720">
        <v>30000</v>
      </c>
      <c r="C720">
        <f>1.225 * (1 - 0.00000687559 * B720) ^ 4.2561</f>
        <v>0.45828836225470948</v>
      </c>
      <c r="D720">
        <f>E720*(SQRT($C$2/C720))</f>
        <v>130.79423945802586</v>
      </c>
      <c r="E720">
        <v>80</v>
      </c>
      <c r="F720">
        <v>987</v>
      </c>
      <c r="G720">
        <v>200</v>
      </c>
      <c r="H720">
        <f>CONVERT(G720,"HP","kW")</f>
        <v>149.13997431645407</v>
      </c>
      <c r="I720">
        <v>0.82650000000000001</v>
      </c>
      <c r="J720">
        <v>1.0323</v>
      </c>
      <c r="K720">
        <v>0.52210000000000001</v>
      </c>
      <c r="L720">
        <v>7.4899999999999994E-2</v>
      </c>
      <c r="M720">
        <v>0.06</v>
      </c>
      <c r="N720">
        <f>CONVERT(O720,"lbf","N")</f>
        <v>1831.7776611642739</v>
      </c>
      <c r="O720">
        <v>411.8</v>
      </c>
      <c r="P720">
        <f t="shared" si="11"/>
        <v>0.80106809078771701</v>
      </c>
    </row>
    <row r="721" spans="1:16" hidden="1" x14ac:dyDescent="0.25">
      <c r="A721">
        <v>0</v>
      </c>
      <c r="B721">
        <v>30000</v>
      </c>
      <c r="C721">
        <f>1.225 * (1 - 0.00000687559 * B721) ^ 4.2561</f>
        <v>0.45828836225470948</v>
      </c>
      <c r="D721">
        <f>E721*(SQRT($C$2/C721))</f>
        <v>163.49279932253233</v>
      </c>
      <c r="E721">
        <v>100</v>
      </c>
      <c r="F721">
        <v>987</v>
      </c>
      <c r="G721">
        <v>200</v>
      </c>
      <c r="H721">
        <f>CONVERT(G721,"HP","kW")</f>
        <v>149.13997431645407</v>
      </c>
      <c r="I721">
        <v>0.82179999999999997</v>
      </c>
      <c r="J721">
        <v>1.2903</v>
      </c>
      <c r="K721">
        <v>0.54810000000000003</v>
      </c>
      <c r="L721">
        <v>7.4899999999999994E-2</v>
      </c>
      <c r="M721">
        <v>4.7699999999999999E-2</v>
      </c>
      <c r="N721">
        <f>CONVERT(O721,"lbf","N")</f>
        <v>1457.2374011593399</v>
      </c>
      <c r="O721">
        <v>327.60000000000002</v>
      </c>
      <c r="P721">
        <f t="shared" si="11"/>
        <v>0.63684913217623507</v>
      </c>
    </row>
    <row r="722" spans="1:16" hidden="1" x14ac:dyDescent="0.25">
      <c r="A722">
        <v>0</v>
      </c>
      <c r="B722">
        <v>30000</v>
      </c>
      <c r="C722">
        <f>1.225 * (1 - 0.00000687559 * B722) ^ 4.2561</f>
        <v>0.45828836225470948</v>
      </c>
      <c r="D722">
        <f>E722*(SQRT($C$2/C722))</f>
        <v>326.98559864506467</v>
      </c>
      <c r="E722">
        <v>200</v>
      </c>
      <c r="F722">
        <v>987</v>
      </c>
      <c r="G722">
        <v>200</v>
      </c>
      <c r="H722">
        <f>CONVERT(G722,"HP","kW")</f>
        <v>149.13997431645407</v>
      </c>
      <c r="I722">
        <v>0.2034</v>
      </c>
      <c r="J722">
        <v>2.5807000000000002</v>
      </c>
      <c r="K722">
        <v>0.72899999999999998</v>
      </c>
      <c r="L722">
        <v>7.4899999999999994E-2</v>
      </c>
      <c r="M722">
        <v>5.8999999999999999E-3</v>
      </c>
      <c r="N722">
        <f>CONVERT(O722,"lbf","N")</f>
        <v>180.15297541805026</v>
      </c>
      <c r="O722">
        <v>40.5</v>
      </c>
      <c r="P722">
        <f t="shared" si="11"/>
        <v>7.8771695594125501E-2</v>
      </c>
    </row>
    <row r="723" spans="1:16" hidden="1" x14ac:dyDescent="0.25">
      <c r="A723">
        <v>0</v>
      </c>
      <c r="B723">
        <v>30000</v>
      </c>
      <c r="C723">
        <f>1.225 * (1 - 0.00000687559 * B723) ^ 4.2561</f>
        <v>0.45828836225470948</v>
      </c>
      <c r="D723">
        <f>E723*(SQRT($C$2/C723))</f>
        <v>392.38271837407763</v>
      </c>
      <c r="E723">
        <v>240</v>
      </c>
      <c r="F723">
        <v>987</v>
      </c>
      <c r="G723">
        <v>200</v>
      </c>
      <c r="H723">
        <f>CONVERT(G723,"HP","kW")</f>
        <v>149.13997431645407</v>
      </c>
      <c r="I723">
        <v>0</v>
      </c>
      <c r="J723">
        <v>3.0968</v>
      </c>
      <c r="K723">
        <v>0.81659999999999999</v>
      </c>
      <c r="L723">
        <v>7.4899999999999994E-2</v>
      </c>
      <c r="M723">
        <v>-3.1899999999999998E-2</v>
      </c>
      <c r="N723">
        <f>CONVERT(O723,"lbf","N")</f>
        <v>-975.05017806510148</v>
      </c>
      <c r="O723">
        <v>-219.2</v>
      </c>
      <c r="P723">
        <f t="shared" si="11"/>
        <v>-0.42590120160213618</v>
      </c>
    </row>
    <row r="724" spans="1:16" hidden="1" x14ac:dyDescent="0.25">
      <c r="A724">
        <v>0</v>
      </c>
      <c r="B724">
        <v>0</v>
      </c>
      <c r="C724">
        <f>1.225 * (1 - 0.00000687559 * B724) ^ 4.2561</f>
        <v>1.2250000000000001</v>
      </c>
      <c r="D724">
        <f>E724*(SQRT($C$2/C724))</f>
        <v>240</v>
      </c>
      <c r="E724">
        <v>240</v>
      </c>
      <c r="F724">
        <v>1215</v>
      </c>
      <c r="G724">
        <v>1000</v>
      </c>
      <c r="H724">
        <f>CONVERT(G724,"HP","kW")</f>
        <v>745.69987158227025</v>
      </c>
      <c r="I724">
        <v>0.77639999999999998</v>
      </c>
      <c r="J724">
        <v>1.5387</v>
      </c>
      <c r="K724">
        <v>0.63280000000000003</v>
      </c>
      <c r="L724">
        <v>7.4999999999999997E-2</v>
      </c>
      <c r="M724">
        <v>3.78E-2</v>
      </c>
      <c r="N724">
        <f>CONVERT(O724,"lbf","N")</f>
        <v>4689.3152268076192</v>
      </c>
      <c r="O724">
        <v>1054.2</v>
      </c>
      <c r="P724">
        <f t="shared" si="11"/>
        <v>0.504</v>
      </c>
    </row>
    <row r="725" spans="1:16" hidden="1" x14ac:dyDescent="0.25">
      <c r="A725">
        <v>0</v>
      </c>
      <c r="B725">
        <v>0</v>
      </c>
      <c r="C725">
        <f>1.225 * (1 - 0.00000687559 * B725) ^ 4.2561</f>
        <v>1.2250000000000001</v>
      </c>
      <c r="D725">
        <f>E725*(SQRT($C$2/C725))</f>
        <v>0</v>
      </c>
      <c r="E725">
        <v>0</v>
      </c>
      <c r="F725">
        <v>1215</v>
      </c>
      <c r="G725">
        <v>1000</v>
      </c>
      <c r="H725">
        <f>CONVERT(G725,"HP","kW")</f>
        <v>745.69987158227025</v>
      </c>
      <c r="I725">
        <v>0</v>
      </c>
      <c r="J725">
        <v>0</v>
      </c>
      <c r="K725">
        <v>0.50970000000000004</v>
      </c>
      <c r="L725">
        <v>7.51E-2</v>
      </c>
      <c r="M725">
        <v>0.17349999999999999</v>
      </c>
      <c r="N725">
        <f>CONVERT(O725,"lbf","N")</f>
        <v>21467.117515247173</v>
      </c>
      <c r="O725">
        <v>4826</v>
      </c>
      <c r="P725">
        <f t="shared" si="11"/>
        <v>2.310252996005326</v>
      </c>
    </row>
    <row r="726" spans="1:16" hidden="1" x14ac:dyDescent="0.25">
      <c r="A726">
        <v>0</v>
      </c>
      <c r="B726">
        <v>0</v>
      </c>
      <c r="C726">
        <f>1.225 * (1 - 0.00000687559 * B726) ^ 4.2561</f>
        <v>1.2250000000000001</v>
      </c>
      <c r="D726">
        <f>E726*(SQRT($C$2/C726))</f>
        <v>20</v>
      </c>
      <c r="E726">
        <v>20</v>
      </c>
      <c r="F726">
        <v>1215</v>
      </c>
      <c r="G726">
        <v>1000</v>
      </c>
      <c r="H726">
        <f>CONVERT(G726,"HP","kW")</f>
        <v>745.69987158227025</v>
      </c>
      <c r="I726">
        <v>0.26669999999999999</v>
      </c>
      <c r="J726">
        <v>0.12820000000000001</v>
      </c>
      <c r="K726">
        <v>0.51390000000000002</v>
      </c>
      <c r="L726">
        <v>7.51E-2</v>
      </c>
      <c r="M726">
        <v>0.15620000000000001</v>
      </c>
      <c r="N726">
        <f>CONVERT(O726,"lbf","N")</f>
        <v>19330.191851276031</v>
      </c>
      <c r="O726">
        <v>4345.6000000000004</v>
      </c>
      <c r="P726">
        <f t="shared" si="11"/>
        <v>2.0798934753661786</v>
      </c>
    </row>
    <row r="727" spans="1:16" hidden="1" x14ac:dyDescent="0.25">
      <c r="A727">
        <v>0</v>
      </c>
      <c r="B727">
        <v>0</v>
      </c>
      <c r="C727">
        <f>1.225 * (1 - 0.00000687559 * B727) ^ 4.2561</f>
        <v>1.2250000000000001</v>
      </c>
      <c r="D727">
        <f>E727*(SQRT($C$2/C727))</f>
        <v>40</v>
      </c>
      <c r="E727">
        <v>40</v>
      </c>
      <c r="F727">
        <v>1215</v>
      </c>
      <c r="G727">
        <v>1000</v>
      </c>
      <c r="H727">
        <f>CONVERT(G727,"HP","kW")</f>
        <v>745.69987158227025</v>
      </c>
      <c r="I727">
        <v>0.47210000000000002</v>
      </c>
      <c r="J727">
        <v>0.25650000000000001</v>
      </c>
      <c r="K727">
        <v>0.51870000000000005</v>
      </c>
      <c r="L727">
        <v>7.51E-2</v>
      </c>
      <c r="M727">
        <v>0.13819999999999999</v>
      </c>
      <c r="N727">
        <f>CONVERT(O727,"lbf","N")</f>
        <v>17106.970687968831</v>
      </c>
      <c r="O727">
        <v>3845.8</v>
      </c>
      <c r="P727">
        <f t="shared" si="11"/>
        <v>1.840213049267643</v>
      </c>
    </row>
    <row r="728" spans="1:16" hidden="1" x14ac:dyDescent="0.25">
      <c r="A728">
        <v>0</v>
      </c>
      <c r="B728">
        <v>0</v>
      </c>
      <c r="C728">
        <f>1.225 * (1 - 0.00000687559 * B728) ^ 4.2561</f>
        <v>1.2250000000000001</v>
      </c>
      <c r="D728">
        <f>E728*(SQRT($C$2/C728))</f>
        <v>60</v>
      </c>
      <c r="E728">
        <v>60</v>
      </c>
      <c r="F728">
        <v>1215</v>
      </c>
      <c r="G728">
        <v>1000</v>
      </c>
      <c r="H728">
        <f>CONVERT(G728,"HP","kW")</f>
        <v>745.69987158227025</v>
      </c>
      <c r="I728">
        <v>0.61450000000000005</v>
      </c>
      <c r="J728">
        <v>0.38469999999999999</v>
      </c>
      <c r="K728">
        <v>0.52439999999999998</v>
      </c>
      <c r="L728">
        <v>7.51E-2</v>
      </c>
      <c r="M728">
        <v>0.12</v>
      </c>
      <c r="N728">
        <f>CONVERT(O728,"lbf","N")</f>
        <v>14846.384463093445</v>
      </c>
      <c r="O728">
        <v>3337.6</v>
      </c>
      <c r="P728">
        <f t="shared" si="11"/>
        <v>1.5978695073235685</v>
      </c>
    </row>
    <row r="729" spans="1:16" hidden="1" x14ac:dyDescent="0.25">
      <c r="A729">
        <v>0</v>
      </c>
      <c r="B729">
        <v>0</v>
      </c>
      <c r="C729">
        <f>1.225 * (1 - 0.00000687559 * B729) ^ 4.2561</f>
        <v>1.2250000000000001</v>
      </c>
      <c r="D729">
        <f>E729*(SQRT($C$2/C729))</f>
        <v>80</v>
      </c>
      <c r="E729">
        <v>80</v>
      </c>
      <c r="F729">
        <v>1215</v>
      </c>
      <c r="G729">
        <v>1000</v>
      </c>
      <c r="H729">
        <f>CONVERT(G729,"HP","kW")</f>
        <v>745.69987158227025</v>
      </c>
      <c r="I729">
        <v>0.70540000000000003</v>
      </c>
      <c r="J729">
        <v>0.51290000000000002</v>
      </c>
      <c r="K729">
        <v>0.53129999999999999</v>
      </c>
      <c r="L729">
        <v>7.51E-2</v>
      </c>
      <c r="M729">
        <v>0.1033</v>
      </c>
      <c r="N729">
        <f>CONVERT(O729,"lbf","N")</f>
        <v>12781.075167127996</v>
      </c>
      <c r="O729">
        <v>2873.3</v>
      </c>
      <c r="P729">
        <f t="shared" si="11"/>
        <v>1.3754993342210386</v>
      </c>
    </row>
    <row r="730" spans="1:16" hidden="1" x14ac:dyDescent="0.25">
      <c r="A730">
        <v>0</v>
      </c>
      <c r="B730">
        <v>0</v>
      </c>
      <c r="C730">
        <f>1.225 * (1 - 0.00000687559 * B730) ^ 4.2561</f>
        <v>1.2250000000000001</v>
      </c>
      <c r="D730">
        <f>E730*(SQRT($C$2/C730))</f>
        <v>100</v>
      </c>
      <c r="E730">
        <v>100</v>
      </c>
      <c r="F730">
        <v>1215</v>
      </c>
      <c r="G730">
        <v>1000</v>
      </c>
      <c r="H730">
        <f>CONVERT(G730,"HP","kW")</f>
        <v>745.69987158227025</v>
      </c>
      <c r="I730">
        <v>0.75990000000000002</v>
      </c>
      <c r="J730">
        <v>0.6411</v>
      </c>
      <c r="K730">
        <v>0.53939999999999999</v>
      </c>
      <c r="L730">
        <v>7.51E-2</v>
      </c>
      <c r="M730">
        <v>8.8999999999999996E-2</v>
      </c>
      <c r="N730">
        <f>CONVERT(O730,"lbf","N")</f>
        <v>11015.131185869577</v>
      </c>
      <c r="O730">
        <v>2476.3000000000002</v>
      </c>
      <c r="P730">
        <f t="shared" si="11"/>
        <v>1.18508655126498</v>
      </c>
    </row>
    <row r="731" spans="1:16" hidden="1" x14ac:dyDescent="0.25">
      <c r="A731">
        <v>0</v>
      </c>
      <c r="B731">
        <v>0</v>
      </c>
      <c r="C731">
        <f>1.225 * (1 - 0.00000687559 * B731) ^ 4.2561</f>
        <v>1.2250000000000001</v>
      </c>
      <c r="D731">
        <f>E731*(SQRT($C$2/C731))</f>
        <v>120</v>
      </c>
      <c r="E731">
        <v>120</v>
      </c>
      <c r="F731">
        <v>1215</v>
      </c>
      <c r="G731">
        <v>1000</v>
      </c>
      <c r="H731">
        <f>CONVERT(G731,"HP","kW")</f>
        <v>745.69987158227025</v>
      </c>
      <c r="I731">
        <v>0.79120000000000001</v>
      </c>
      <c r="J731">
        <v>0.76939999999999997</v>
      </c>
      <c r="K731">
        <v>0.54890000000000005</v>
      </c>
      <c r="L731">
        <v>7.51E-2</v>
      </c>
      <c r="M731">
        <v>7.7200000000000005E-2</v>
      </c>
      <c r="N731">
        <f>CONVERT(O731,"lbf","N")</f>
        <v>9557.0041403871837</v>
      </c>
      <c r="O731">
        <v>2148.5</v>
      </c>
      <c r="P731">
        <f t="shared" si="11"/>
        <v>1.0279627163781626</v>
      </c>
    </row>
    <row r="732" spans="1:16" hidden="1" x14ac:dyDescent="0.25">
      <c r="A732">
        <v>0</v>
      </c>
      <c r="B732">
        <v>0</v>
      </c>
      <c r="C732">
        <f>1.225 * (1 - 0.00000687559 * B732) ^ 4.2561</f>
        <v>1.2250000000000001</v>
      </c>
      <c r="D732">
        <f>E732*(SQRT($C$2/C732))</f>
        <v>140</v>
      </c>
      <c r="E732">
        <v>140</v>
      </c>
      <c r="F732">
        <v>1215</v>
      </c>
      <c r="G732">
        <v>1000</v>
      </c>
      <c r="H732">
        <f>CONVERT(G732,"HP","kW")</f>
        <v>745.69987158227025</v>
      </c>
      <c r="I732">
        <v>0.80810000000000004</v>
      </c>
      <c r="J732">
        <v>0.89759999999999995</v>
      </c>
      <c r="K732">
        <v>0.55979999999999996</v>
      </c>
      <c r="L732">
        <v>7.51E-2</v>
      </c>
      <c r="M732">
        <v>6.7599999999999993E-2</v>
      </c>
      <c r="N732">
        <f>CONVERT(O732,"lbf","N")</f>
        <v>8366.6600361434739</v>
      </c>
      <c r="O732">
        <v>1880.9</v>
      </c>
      <c r="P732">
        <f t="shared" si="11"/>
        <v>0.90013315579227693</v>
      </c>
    </row>
    <row r="733" spans="1:16" hidden="1" x14ac:dyDescent="0.25">
      <c r="A733">
        <v>0</v>
      </c>
      <c r="B733">
        <v>0</v>
      </c>
      <c r="C733">
        <f>1.225 * (1 - 0.00000687559 * B733) ^ 4.2561</f>
        <v>1.2250000000000001</v>
      </c>
      <c r="D733">
        <f>E733*(SQRT($C$2/C733))</f>
        <v>160</v>
      </c>
      <c r="E733">
        <v>160</v>
      </c>
      <c r="F733">
        <v>1215</v>
      </c>
      <c r="G733">
        <v>1000</v>
      </c>
      <c r="H733">
        <f>CONVERT(G733,"HP","kW")</f>
        <v>745.69987158227025</v>
      </c>
      <c r="I733">
        <v>0.81510000000000005</v>
      </c>
      <c r="J733">
        <v>1.0258</v>
      </c>
      <c r="K733">
        <v>0.57199999999999995</v>
      </c>
      <c r="L733">
        <v>7.51E-2</v>
      </c>
      <c r="M733">
        <v>5.9700000000000003E-2</v>
      </c>
      <c r="N733">
        <f>CONVERT(O733,"lbf","N")</f>
        <v>7384.9375256554831</v>
      </c>
      <c r="O733">
        <v>1660.2</v>
      </c>
      <c r="P733">
        <f t="shared" si="11"/>
        <v>0.79494007989347537</v>
      </c>
    </row>
    <row r="734" spans="1:16" hidden="1" x14ac:dyDescent="0.25">
      <c r="A734">
        <v>0</v>
      </c>
      <c r="B734">
        <v>0</v>
      </c>
      <c r="C734">
        <f>1.225 * (1 - 0.00000687559 * B734) ^ 4.2561</f>
        <v>1.2250000000000001</v>
      </c>
      <c r="D734">
        <f>E734*(SQRT($C$2/C734))</f>
        <v>180</v>
      </c>
      <c r="E734">
        <v>180</v>
      </c>
      <c r="F734">
        <v>1215</v>
      </c>
      <c r="G734">
        <v>1000</v>
      </c>
      <c r="H734">
        <f>CONVERT(G734,"HP","kW")</f>
        <v>745.69987158227025</v>
      </c>
      <c r="I734">
        <v>0.81489999999999996</v>
      </c>
      <c r="J734">
        <v>1.1540999999999999</v>
      </c>
      <c r="K734">
        <v>0.58550000000000002</v>
      </c>
      <c r="L734">
        <v>7.51E-2</v>
      </c>
      <c r="M734">
        <v>5.2999999999999999E-2</v>
      </c>
      <c r="N734">
        <f>CONVERT(O734,"lbf","N")</f>
        <v>6562.4613489938156</v>
      </c>
      <c r="O734">
        <v>1475.3</v>
      </c>
      <c r="P734">
        <f t="shared" si="11"/>
        <v>0.70572569906790938</v>
      </c>
    </row>
    <row r="735" spans="1:16" hidden="1" x14ac:dyDescent="0.25">
      <c r="A735">
        <v>0</v>
      </c>
      <c r="B735">
        <v>0</v>
      </c>
      <c r="C735">
        <f>1.225 * (1 - 0.00000687559 * B735) ^ 4.2561</f>
        <v>1.2250000000000001</v>
      </c>
      <c r="D735">
        <f>E735*(SQRT($C$2/C735))</f>
        <v>200</v>
      </c>
      <c r="E735">
        <v>200</v>
      </c>
      <c r="F735">
        <v>1215</v>
      </c>
      <c r="G735">
        <v>1000</v>
      </c>
      <c r="H735">
        <f>CONVERT(G735,"HP","kW")</f>
        <v>745.69987158227025</v>
      </c>
      <c r="I735">
        <v>0.80840000000000001</v>
      </c>
      <c r="J735">
        <v>1.2823</v>
      </c>
      <c r="K735">
        <v>0.60009999999999997</v>
      </c>
      <c r="L735">
        <v>7.51E-2</v>
      </c>
      <c r="M735">
        <v>4.7300000000000002E-2</v>
      </c>
      <c r="N735">
        <f>CONVERT(O735,"lbf","N")</f>
        <v>5859.1975116211306</v>
      </c>
      <c r="O735">
        <v>1317.2</v>
      </c>
      <c r="P735">
        <f t="shared" si="11"/>
        <v>0.62982689747003995</v>
      </c>
    </row>
    <row r="736" spans="1:16" hidden="1" x14ac:dyDescent="0.25">
      <c r="A736">
        <v>0</v>
      </c>
      <c r="B736">
        <v>0</v>
      </c>
      <c r="C736">
        <f>1.225 * (1 - 0.00000687559 * B736) ^ 4.2561</f>
        <v>1.2250000000000001</v>
      </c>
      <c r="D736">
        <f>E736*(SQRT($C$2/C736))</f>
        <v>220</v>
      </c>
      <c r="E736">
        <v>220</v>
      </c>
      <c r="F736">
        <v>1215</v>
      </c>
      <c r="G736">
        <v>1000</v>
      </c>
      <c r="H736">
        <f>CONVERT(G736,"HP","kW")</f>
        <v>745.69987158227025</v>
      </c>
      <c r="I736">
        <v>0.79569999999999996</v>
      </c>
      <c r="J736">
        <v>1.4105000000000001</v>
      </c>
      <c r="K736">
        <v>0.61599999999999999</v>
      </c>
      <c r="L736">
        <v>7.51E-2</v>
      </c>
      <c r="M736">
        <v>4.24E-2</v>
      </c>
      <c r="N736">
        <f>CONVERT(O736,"lbf","N")</f>
        <v>5243.1188179075516</v>
      </c>
      <c r="O736">
        <v>1178.7</v>
      </c>
      <c r="P736">
        <f t="shared" si="11"/>
        <v>0.5645805592543276</v>
      </c>
    </row>
    <row r="737" spans="1:16" hidden="1" x14ac:dyDescent="0.25">
      <c r="A737">
        <v>0</v>
      </c>
      <c r="B737">
        <v>0</v>
      </c>
      <c r="C737">
        <f>1.225 * (1 - 0.00000687559 * B737) ^ 4.2561</f>
        <v>1.2250000000000001</v>
      </c>
      <c r="D737">
        <f>E737*(SQRT($C$2/C737))</f>
        <v>260</v>
      </c>
      <c r="E737">
        <v>260</v>
      </c>
      <c r="F737">
        <v>1215</v>
      </c>
      <c r="G737">
        <v>1000</v>
      </c>
      <c r="H737">
        <f>CONVERT(G737,"HP","kW")</f>
        <v>745.69987158227025</v>
      </c>
      <c r="I737">
        <v>0.74760000000000004</v>
      </c>
      <c r="J737">
        <v>1.667</v>
      </c>
      <c r="K737">
        <v>0.65059999999999996</v>
      </c>
      <c r="L737">
        <v>7.51E-2</v>
      </c>
      <c r="M737">
        <v>3.3700000000000001E-2</v>
      </c>
      <c r="N737">
        <f>CONVERT(O737,"lbf","N")</f>
        <v>4167.9836534990891</v>
      </c>
      <c r="O737">
        <v>937</v>
      </c>
      <c r="P737">
        <f t="shared" si="11"/>
        <v>0.44873501997336884</v>
      </c>
    </row>
    <row r="738" spans="1:16" hidden="1" x14ac:dyDescent="0.25">
      <c r="A738">
        <v>0</v>
      </c>
      <c r="B738">
        <v>10000</v>
      </c>
      <c r="C738">
        <f>1.225 * (1 - 0.00000687559 * B738) ^ 4.2561</f>
        <v>0.90462252368600637</v>
      </c>
      <c r="D738">
        <f>E738*(SQRT($C$2/C738))</f>
        <v>116.36820785327033</v>
      </c>
      <c r="E738">
        <v>100</v>
      </c>
      <c r="F738">
        <v>1215</v>
      </c>
      <c r="G738">
        <v>750</v>
      </c>
      <c r="H738">
        <f>CONVERT(G738,"HP","kW")</f>
        <v>559.27490368670271</v>
      </c>
      <c r="I738">
        <v>0.78580000000000005</v>
      </c>
      <c r="J738">
        <v>0.74609999999999999</v>
      </c>
      <c r="K738">
        <v>0.56689999999999996</v>
      </c>
      <c r="L738">
        <v>7.6200000000000004E-2</v>
      </c>
      <c r="M738">
        <v>8.0299999999999996E-2</v>
      </c>
      <c r="N738">
        <f>CONVERT(O738,"lbf","N")</f>
        <v>7341.3449538259301</v>
      </c>
      <c r="O738">
        <v>1650.4</v>
      </c>
      <c r="P738">
        <f t="shared" si="11"/>
        <v>1.0538057742782152</v>
      </c>
    </row>
    <row r="739" spans="1:16" hidden="1" x14ac:dyDescent="0.25">
      <c r="A739">
        <v>0</v>
      </c>
      <c r="B739">
        <v>10000</v>
      </c>
      <c r="C739">
        <f>1.225 * (1 - 0.00000687559 * B739) ^ 4.2561</f>
        <v>0.90462252368600637</v>
      </c>
      <c r="D739">
        <f>E739*(SQRT($C$2/C739))</f>
        <v>139.64184942392441</v>
      </c>
      <c r="E739">
        <v>120</v>
      </c>
      <c r="F739">
        <v>1215</v>
      </c>
      <c r="G739">
        <v>750</v>
      </c>
      <c r="H739">
        <f>CONVERT(G739,"HP","kW")</f>
        <v>559.27490368670271</v>
      </c>
      <c r="I739">
        <v>0.80679999999999996</v>
      </c>
      <c r="J739">
        <v>0.89529999999999998</v>
      </c>
      <c r="K739">
        <v>0.57979999999999998</v>
      </c>
      <c r="L739">
        <v>7.6200000000000004E-2</v>
      </c>
      <c r="M739">
        <v>6.8699999999999997E-2</v>
      </c>
      <c r="N739">
        <f>CONVERT(O739,"lbf","N")</f>
        <v>6281.3337429093517</v>
      </c>
      <c r="O739">
        <v>1412.1</v>
      </c>
      <c r="P739">
        <f t="shared" si="11"/>
        <v>0.90157480314960625</v>
      </c>
    </row>
    <row r="740" spans="1:16" hidden="1" x14ac:dyDescent="0.25">
      <c r="A740">
        <v>0</v>
      </c>
      <c r="B740">
        <v>10000</v>
      </c>
      <c r="C740">
        <f>1.225 * (1 - 0.00000687559 * B740) ^ 4.2561</f>
        <v>0.90462252368600637</v>
      </c>
      <c r="D740">
        <f>E740*(SQRT($C$2/C740))</f>
        <v>186.18913256523254</v>
      </c>
      <c r="E740">
        <v>160</v>
      </c>
      <c r="F740">
        <v>1215</v>
      </c>
      <c r="G740">
        <v>750</v>
      </c>
      <c r="H740">
        <f>CONVERT(G740,"HP","kW")</f>
        <v>559.27490368670271</v>
      </c>
      <c r="I740">
        <v>0.81059999999999999</v>
      </c>
      <c r="J740">
        <v>1.1937</v>
      </c>
      <c r="K740">
        <v>0.61129999999999995</v>
      </c>
      <c r="L740">
        <v>7.6200000000000004E-2</v>
      </c>
      <c r="M740">
        <v>5.1799999999999999E-2</v>
      </c>
      <c r="N740">
        <f>CONVERT(O740,"lbf","N")</f>
        <v>4732.9077986371722</v>
      </c>
      <c r="O740">
        <v>1064</v>
      </c>
      <c r="P740">
        <f t="shared" si="11"/>
        <v>0.67979002624671914</v>
      </c>
    </row>
    <row r="741" spans="1:16" hidden="1" x14ac:dyDescent="0.25">
      <c r="A741">
        <v>0</v>
      </c>
      <c r="B741">
        <v>10000</v>
      </c>
      <c r="C741">
        <f>1.225 * (1 - 0.00000687559 * B741) ^ 4.2561</f>
        <v>0.90462252368600637</v>
      </c>
      <c r="D741">
        <f>E741*(SQRT($C$2/C741))</f>
        <v>209.4627741358866</v>
      </c>
      <c r="E741">
        <v>180</v>
      </c>
      <c r="F741">
        <v>1215</v>
      </c>
      <c r="G741">
        <v>750</v>
      </c>
      <c r="H741">
        <f>CONVERT(G741,"HP","kW")</f>
        <v>559.27490368670271</v>
      </c>
      <c r="I741">
        <v>0.79900000000000004</v>
      </c>
      <c r="J741">
        <v>1.3429</v>
      </c>
      <c r="K741">
        <v>0.62949999999999995</v>
      </c>
      <c r="L741">
        <v>7.6200000000000004E-2</v>
      </c>
      <c r="M741">
        <v>4.5400000000000003E-2</v>
      </c>
      <c r="N741">
        <f>CONVERT(O741,"lbf","N")</f>
        <v>4146.6321897458383</v>
      </c>
      <c r="O741">
        <v>932.2</v>
      </c>
      <c r="P741">
        <f t="shared" si="11"/>
        <v>0.59580052493438318</v>
      </c>
    </row>
    <row r="742" spans="1:16" hidden="1" x14ac:dyDescent="0.25">
      <c r="A742">
        <v>0</v>
      </c>
      <c r="B742">
        <v>10000</v>
      </c>
      <c r="C742">
        <f>1.225 * (1 - 0.00000687559 * B742) ^ 4.2561</f>
        <v>0.90462252368600637</v>
      </c>
      <c r="D742">
        <f>E742*(SQRT($C$2/C742))</f>
        <v>232.73641570654067</v>
      </c>
      <c r="E742">
        <v>200</v>
      </c>
      <c r="F742">
        <v>1215</v>
      </c>
      <c r="G742">
        <v>750</v>
      </c>
      <c r="H742">
        <f>CONVERT(G742,"HP","kW")</f>
        <v>559.27490368670271</v>
      </c>
      <c r="I742">
        <v>0.77669999999999995</v>
      </c>
      <c r="J742">
        <v>1.4922</v>
      </c>
      <c r="K742">
        <v>0.64929999999999999</v>
      </c>
      <c r="L742">
        <v>7.6200000000000004E-2</v>
      </c>
      <c r="M742">
        <v>3.9699999999999999E-2</v>
      </c>
      <c r="N742">
        <f>CONVERT(O742,"lbf","N")</f>
        <v>3627.969549406464</v>
      </c>
      <c r="O742">
        <v>815.6</v>
      </c>
      <c r="P742">
        <f t="shared" si="11"/>
        <v>0.52099737532808399</v>
      </c>
    </row>
    <row r="743" spans="1:16" hidden="1" x14ac:dyDescent="0.25">
      <c r="A743">
        <v>0</v>
      </c>
      <c r="B743">
        <v>10000</v>
      </c>
      <c r="C743">
        <f>1.225 * (1 - 0.00000687559 * B743) ^ 4.2561</f>
        <v>0.90462252368600637</v>
      </c>
      <c r="D743">
        <f>E743*(SQRT($C$2/C743))</f>
        <v>256.01005727719473</v>
      </c>
      <c r="E743">
        <v>220</v>
      </c>
      <c r="F743">
        <v>1215</v>
      </c>
      <c r="G743">
        <v>750</v>
      </c>
      <c r="H743">
        <f>CONVERT(G743,"HP","kW")</f>
        <v>559.27490368670271</v>
      </c>
      <c r="I743">
        <v>0.73850000000000005</v>
      </c>
      <c r="J743">
        <v>1.6414</v>
      </c>
      <c r="K743">
        <v>0.67049999999999998</v>
      </c>
      <c r="L743">
        <v>7.6200000000000004E-2</v>
      </c>
      <c r="M743">
        <v>3.4299999999999997E-2</v>
      </c>
      <c r="N743">
        <f>CONVERT(O743,"lbf","N")</f>
        <v>3135.9962387586529</v>
      </c>
      <c r="O743">
        <v>705</v>
      </c>
      <c r="P743">
        <f t="shared" si="11"/>
        <v>0.45013123359580048</v>
      </c>
    </row>
    <row r="744" spans="1:16" hidden="1" x14ac:dyDescent="0.25">
      <c r="A744">
        <v>0</v>
      </c>
      <c r="B744">
        <v>10000</v>
      </c>
      <c r="C744">
        <f>1.225 * (1 - 0.00000687559 * B744) ^ 4.2561</f>
        <v>0.90462252368600637</v>
      </c>
      <c r="D744">
        <f>E744*(SQRT($C$2/C744))</f>
        <v>279.28369884784883</v>
      </c>
      <c r="E744">
        <v>240</v>
      </c>
      <c r="F744">
        <v>1215</v>
      </c>
      <c r="G744">
        <v>750</v>
      </c>
      <c r="H744">
        <f>CONVERT(G744,"HP","kW")</f>
        <v>559.27490368670271</v>
      </c>
      <c r="I744">
        <v>0.67459999999999998</v>
      </c>
      <c r="J744">
        <v>1.7906</v>
      </c>
      <c r="K744">
        <v>0.69289999999999996</v>
      </c>
      <c r="L744">
        <v>7.6200000000000004E-2</v>
      </c>
      <c r="M744">
        <v>2.87E-2</v>
      </c>
      <c r="N744">
        <f>CONVERT(O744,"lbf","N")</f>
        <v>2625.785219488273</v>
      </c>
      <c r="O744">
        <v>590.29999999999995</v>
      </c>
      <c r="P744">
        <f t="shared" si="11"/>
        <v>0.37664041994750652</v>
      </c>
    </row>
    <row r="745" spans="1:16" hidden="1" x14ac:dyDescent="0.25">
      <c r="A745">
        <v>0</v>
      </c>
      <c r="B745">
        <v>10000</v>
      </c>
      <c r="C745">
        <f>1.225 * (1 - 0.00000687559 * B745) ^ 4.2561</f>
        <v>0.90462252368600637</v>
      </c>
      <c r="D745">
        <f>E745*(SQRT($C$2/C745))</f>
        <v>302.55734041850286</v>
      </c>
      <c r="E745">
        <v>260</v>
      </c>
      <c r="F745">
        <v>1215</v>
      </c>
      <c r="G745">
        <v>750</v>
      </c>
      <c r="H745">
        <f>CONVERT(G745,"HP","kW")</f>
        <v>559.27490368670271</v>
      </c>
      <c r="I745">
        <v>0.57189999999999996</v>
      </c>
      <c r="J745">
        <v>1.9398</v>
      </c>
      <c r="K745">
        <v>0.71650000000000003</v>
      </c>
      <c r="L745">
        <v>7.6200000000000004E-2</v>
      </c>
      <c r="M745">
        <v>2.2499999999999999E-2</v>
      </c>
      <c r="N745">
        <f>CONVERT(O745,"lbf","N")</f>
        <v>2054.6335640888251</v>
      </c>
      <c r="O745">
        <v>461.9</v>
      </c>
      <c r="P745">
        <f t="shared" si="11"/>
        <v>0.29527559055118108</v>
      </c>
    </row>
    <row r="746" spans="1:16" hidden="1" x14ac:dyDescent="0.25">
      <c r="A746">
        <v>0</v>
      </c>
      <c r="B746">
        <v>10000</v>
      </c>
      <c r="C746">
        <f>1.225 * (1 - 0.00000687559 * B746) ^ 4.2561</f>
        <v>0.90462252368600637</v>
      </c>
      <c r="D746">
        <f>E746*(SQRT($C$2/C746))</f>
        <v>0</v>
      </c>
      <c r="E746">
        <v>0</v>
      </c>
      <c r="F746">
        <v>1215</v>
      </c>
      <c r="G746">
        <v>750</v>
      </c>
      <c r="H746">
        <f>CONVERT(G746,"HP","kW")</f>
        <v>559.27490368670271</v>
      </c>
      <c r="I746">
        <v>0</v>
      </c>
      <c r="J746">
        <v>0</v>
      </c>
      <c r="K746">
        <v>0.52800000000000002</v>
      </c>
      <c r="L746">
        <v>7.6300000000000007E-2</v>
      </c>
      <c r="M746">
        <v>0.17519999999999999</v>
      </c>
      <c r="N746">
        <f>CONVERT(O746,"lbf","N")</f>
        <v>16007.815126837962</v>
      </c>
      <c r="O746">
        <v>3598.7</v>
      </c>
      <c r="P746">
        <f t="shared" si="11"/>
        <v>2.2961992136304059</v>
      </c>
    </row>
    <row r="747" spans="1:16" hidden="1" x14ac:dyDescent="0.25">
      <c r="A747">
        <v>0</v>
      </c>
      <c r="B747">
        <v>10000</v>
      </c>
      <c r="C747">
        <f>1.225 * (1 - 0.00000687559 * B747) ^ 4.2561</f>
        <v>0.90462252368600637</v>
      </c>
      <c r="D747">
        <f>E747*(SQRT($C$2/C747))</f>
        <v>23.273641570654068</v>
      </c>
      <c r="E747">
        <v>20</v>
      </c>
      <c r="F747">
        <v>1215</v>
      </c>
      <c r="G747">
        <v>750</v>
      </c>
      <c r="H747">
        <f>CONVERT(G747,"HP","kW")</f>
        <v>559.27490368670271</v>
      </c>
      <c r="I747">
        <v>0.30330000000000001</v>
      </c>
      <c r="J747">
        <v>0.1492</v>
      </c>
      <c r="K747">
        <v>0.53320000000000001</v>
      </c>
      <c r="L747">
        <v>7.6300000000000007E-2</v>
      </c>
      <c r="M747">
        <v>0.155</v>
      </c>
      <c r="N747">
        <f>CONVERT(O747,"lbf","N")</f>
        <v>14166.251378120114</v>
      </c>
      <c r="O747">
        <v>3184.7</v>
      </c>
      <c r="P747">
        <f t="shared" si="11"/>
        <v>2.0314547837483614</v>
      </c>
    </row>
    <row r="748" spans="1:16" hidden="1" x14ac:dyDescent="0.25">
      <c r="A748">
        <v>0</v>
      </c>
      <c r="B748">
        <v>10000</v>
      </c>
      <c r="C748">
        <f>1.225 * (1 - 0.00000687559 * B748) ^ 4.2561</f>
        <v>0.90462252368600637</v>
      </c>
      <c r="D748">
        <f>E748*(SQRT($C$2/C748))</f>
        <v>46.547283141308135</v>
      </c>
      <c r="E748">
        <v>40</v>
      </c>
      <c r="F748">
        <v>1215</v>
      </c>
      <c r="G748">
        <v>750</v>
      </c>
      <c r="H748">
        <f>CONVERT(G748,"HP","kW")</f>
        <v>559.27490368670271</v>
      </c>
      <c r="I748">
        <v>0.52390000000000003</v>
      </c>
      <c r="J748">
        <v>0.2984</v>
      </c>
      <c r="K748">
        <v>0.5393</v>
      </c>
      <c r="L748">
        <v>7.6300000000000007E-2</v>
      </c>
      <c r="M748">
        <v>0.13400000000000001</v>
      </c>
      <c r="N748">
        <f>CONVERT(O748,"lbf","N")</f>
        <v>12237.057663581636</v>
      </c>
      <c r="O748">
        <v>2751</v>
      </c>
      <c r="P748">
        <f t="shared" si="11"/>
        <v>1.7562254259501966</v>
      </c>
    </row>
    <row r="749" spans="1:16" hidden="1" x14ac:dyDescent="0.25">
      <c r="A749">
        <v>0</v>
      </c>
      <c r="B749">
        <v>10000</v>
      </c>
      <c r="C749">
        <f>1.225 * (1 - 0.00000687559 * B749) ^ 4.2561</f>
        <v>0.90462252368600637</v>
      </c>
      <c r="D749">
        <f>E749*(SQRT($C$2/C749))</f>
        <v>69.820924711962206</v>
      </c>
      <c r="E749">
        <v>60</v>
      </c>
      <c r="F749">
        <v>1215</v>
      </c>
      <c r="G749">
        <v>750</v>
      </c>
      <c r="H749">
        <f>CONVERT(G749,"HP","kW")</f>
        <v>559.27490368670271</v>
      </c>
      <c r="I749">
        <v>0.6633</v>
      </c>
      <c r="J749">
        <v>0.4476</v>
      </c>
      <c r="K749">
        <v>0.54669999999999996</v>
      </c>
      <c r="L749">
        <v>7.6300000000000007E-2</v>
      </c>
      <c r="M749">
        <v>0.11310000000000001</v>
      </c>
      <c r="N749">
        <f>CONVERT(O749,"lbf","N")</f>
        <v>10327.436124150303</v>
      </c>
      <c r="O749">
        <v>2321.6999999999998</v>
      </c>
      <c r="P749">
        <f t="shared" si="11"/>
        <v>1.4823066841415464</v>
      </c>
    </row>
    <row r="750" spans="1:16" hidden="1" x14ac:dyDescent="0.25">
      <c r="A750">
        <v>0</v>
      </c>
      <c r="B750">
        <v>10000</v>
      </c>
      <c r="C750">
        <f>1.225 * (1 - 0.00000687559 * B750) ^ 4.2561</f>
        <v>0.90462252368600637</v>
      </c>
      <c r="D750">
        <f>E750*(SQRT($C$2/C750))</f>
        <v>93.09456628261627</v>
      </c>
      <c r="E750">
        <v>80</v>
      </c>
      <c r="F750">
        <v>1215</v>
      </c>
      <c r="G750">
        <v>750</v>
      </c>
      <c r="H750">
        <f>CONVERT(G750,"HP","kW")</f>
        <v>559.27490368670271</v>
      </c>
      <c r="I750">
        <v>0.74299999999999999</v>
      </c>
      <c r="J750">
        <v>0.59689999999999999</v>
      </c>
      <c r="K750">
        <v>0.55589999999999995</v>
      </c>
      <c r="L750">
        <v>7.6300000000000007E-2</v>
      </c>
      <c r="M750">
        <v>9.5000000000000001E-2</v>
      </c>
      <c r="N750">
        <f>CONVERT(O750,"lbf","N")</f>
        <v>8677.1459048886572</v>
      </c>
      <c r="O750">
        <v>1950.7</v>
      </c>
      <c r="P750">
        <f t="shared" si="11"/>
        <v>1.2450851900393183</v>
      </c>
    </row>
    <row r="751" spans="1:16" hidden="1" x14ac:dyDescent="0.25">
      <c r="A751">
        <v>0</v>
      </c>
      <c r="B751">
        <v>10000</v>
      </c>
      <c r="C751">
        <f>1.225 * (1 - 0.00000687559 * B751) ^ 4.2561</f>
        <v>0.90462252368600637</v>
      </c>
      <c r="D751">
        <f>E751*(SQRT($C$2/C751))</f>
        <v>162.91549099457848</v>
      </c>
      <c r="E751">
        <v>140</v>
      </c>
      <c r="F751">
        <v>1215</v>
      </c>
      <c r="G751">
        <v>750</v>
      </c>
      <c r="H751">
        <f>CONVERT(G751,"HP","kW")</f>
        <v>559.27490368670271</v>
      </c>
      <c r="I751">
        <v>0.81430000000000002</v>
      </c>
      <c r="J751">
        <v>1.0445</v>
      </c>
      <c r="K751">
        <v>0.59470000000000001</v>
      </c>
      <c r="L751">
        <v>7.6300000000000007E-2</v>
      </c>
      <c r="M751">
        <v>5.9499999999999997E-2</v>
      </c>
      <c r="N751">
        <f>CONVERT(O751,"lbf","N")</f>
        <v>5433.9475252022266</v>
      </c>
      <c r="O751">
        <v>1221.5999999999999</v>
      </c>
      <c r="P751">
        <f t="shared" si="11"/>
        <v>0.77981651376146777</v>
      </c>
    </row>
    <row r="752" spans="1:16" hidden="1" x14ac:dyDescent="0.25">
      <c r="A752">
        <v>0</v>
      </c>
      <c r="B752">
        <v>5000</v>
      </c>
      <c r="C752">
        <f>1.225 * (1 - 0.00000687559 * B752) ^ 4.2561</f>
        <v>1.0555380742846066</v>
      </c>
      <c r="D752">
        <f>E752*(SQRT($C$2/C752))</f>
        <v>280.09440947918529</v>
      </c>
      <c r="E752">
        <v>260</v>
      </c>
      <c r="F752">
        <v>1150</v>
      </c>
      <c r="G752">
        <v>750</v>
      </c>
      <c r="H752">
        <f>CONVERT(G752,"HP","kW")</f>
        <v>559.27490368670271</v>
      </c>
      <c r="I752">
        <v>0.70099999999999996</v>
      </c>
      <c r="J752">
        <v>1.8973</v>
      </c>
      <c r="K752">
        <v>0.65959999999999996</v>
      </c>
      <c r="L752">
        <v>7.6899999999999996E-2</v>
      </c>
      <c r="M752">
        <v>2.8400000000000002E-2</v>
      </c>
      <c r="N752">
        <f>CONVERT(O752,"lbf","N")</f>
        <v>2720.9771620548481</v>
      </c>
      <c r="O752">
        <v>611.70000000000005</v>
      </c>
      <c r="P752">
        <f t="shared" si="11"/>
        <v>0.36931079323797145</v>
      </c>
    </row>
    <row r="753" spans="1:16" hidden="1" x14ac:dyDescent="0.25">
      <c r="A753">
        <v>0</v>
      </c>
      <c r="B753">
        <v>5000</v>
      </c>
      <c r="C753">
        <f>1.225 * (1 - 0.00000687559 * B753) ^ 4.2561</f>
        <v>1.0555380742846066</v>
      </c>
      <c r="D753">
        <f>E753*(SQRT($C$2/C753))</f>
        <v>129.27434283654705</v>
      </c>
      <c r="E753">
        <v>120</v>
      </c>
      <c r="F753">
        <v>1150</v>
      </c>
      <c r="G753">
        <v>750</v>
      </c>
      <c r="H753">
        <f>CONVERT(G753,"HP","kW")</f>
        <v>559.27490368670271</v>
      </c>
      <c r="I753">
        <v>0.81340000000000001</v>
      </c>
      <c r="J753">
        <v>0.87570000000000003</v>
      </c>
      <c r="K753">
        <v>0.5373</v>
      </c>
      <c r="L753">
        <v>7.6999999999999999E-2</v>
      </c>
      <c r="M753">
        <v>7.1599999999999997E-2</v>
      </c>
      <c r="N753">
        <f>CONVERT(O753,"lbf","N")</f>
        <v>6840.4751999475966</v>
      </c>
      <c r="O753">
        <v>1537.8</v>
      </c>
      <c r="P753">
        <f t="shared" si="11"/>
        <v>0.92987012987012985</v>
      </c>
    </row>
    <row r="754" spans="1:16" hidden="1" x14ac:dyDescent="0.25">
      <c r="A754">
        <v>0</v>
      </c>
      <c r="B754">
        <v>5000</v>
      </c>
      <c r="C754">
        <f>1.225 * (1 - 0.00000687559 * B754) ^ 4.2561</f>
        <v>1.0555380742846066</v>
      </c>
      <c r="D754">
        <f>E754*(SQRT($C$2/C754))</f>
        <v>237.00296186700291</v>
      </c>
      <c r="E754">
        <v>220</v>
      </c>
      <c r="F754">
        <v>1150</v>
      </c>
      <c r="G754">
        <v>750</v>
      </c>
      <c r="H754">
        <f>CONVERT(G754,"HP","kW")</f>
        <v>559.27490368670271</v>
      </c>
      <c r="I754">
        <v>0.78090000000000004</v>
      </c>
      <c r="J754">
        <v>1.6053999999999999</v>
      </c>
      <c r="K754">
        <v>0.61829999999999996</v>
      </c>
      <c r="L754">
        <v>7.6999999999999999E-2</v>
      </c>
      <c r="M754">
        <v>3.7499999999999999E-2</v>
      </c>
      <c r="N754">
        <f>CONVERT(O754,"lbf","N")</f>
        <v>3582.1528667692805</v>
      </c>
      <c r="O754">
        <v>805.3</v>
      </c>
      <c r="P754">
        <f t="shared" si="11"/>
        <v>0.48701298701298701</v>
      </c>
    </row>
    <row r="755" spans="1:16" hidden="1" x14ac:dyDescent="0.25">
      <c r="A755">
        <v>0</v>
      </c>
      <c r="B755">
        <v>5000</v>
      </c>
      <c r="C755">
        <f>1.225 * (1 - 0.00000687559 * B755) ^ 4.2561</f>
        <v>1.0555380742846066</v>
      </c>
      <c r="D755">
        <f>E755*(SQRT($C$2/C755))</f>
        <v>258.5486856730941</v>
      </c>
      <c r="E755">
        <v>240</v>
      </c>
      <c r="F755">
        <v>1150</v>
      </c>
      <c r="G755">
        <v>750</v>
      </c>
      <c r="H755">
        <f>CONVERT(G755,"HP","kW")</f>
        <v>559.27490368670271</v>
      </c>
      <c r="I755">
        <v>0.74680000000000002</v>
      </c>
      <c r="J755">
        <v>1.7513000000000001</v>
      </c>
      <c r="K755">
        <v>0.63849999999999996</v>
      </c>
      <c r="L755">
        <v>7.6999999999999999E-2</v>
      </c>
      <c r="M755">
        <v>3.2899999999999999E-2</v>
      </c>
      <c r="N755">
        <f>CONVERT(O755,"lbf","N")</f>
        <v>3140.444460373913</v>
      </c>
      <c r="O755">
        <v>706</v>
      </c>
      <c r="P755">
        <f t="shared" si="11"/>
        <v>0.42727272727272725</v>
      </c>
    </row>
    <row r="756" spans="1:16" hidden="1" x14ac:dyDescent="0.25">
      <c r="A756">
        <v>0</v>
      </c>
      <c r="B756">
        <v>5000</v>
      </c>
      <c r="C756">
        <f>1.225 * (1 - 0.00000687559 * B756) ^ 4.2561</f>
        <v>1.0555380742846066</v>
      </c>
      <c r="D756">
        <f>E756*(SQRT($C$2/C756))</f>
        <v>0</v>
      </c>
      <c r="E756">
        <v>0</v>
      </c>
      <c r="F756">
        <v>1150</v>
      </c>
      <c r="G756">
        <v>750</v>
      </c>
      <c r="H756">
        <f>CONVERT(G756,"HP","kW")</f>
        <v>559.27490368670271</v>
      </c>
      <c r="I756">
        <v>0</v>
      </c>
      <c r="J756">
        <v>0</v>
      </c>
      <c r="K756">
        <v>0.49080000000000001</v>
      </c>
      <c r="L756">
        <v>7.7100000000000002E-2</v>
      </c>
      <c r="M756">
        <v>0.17680000000000001</v>
      </c>
      <c r="N756">
        <f>CONVERT(O756,"lbf","N")</f>
        <v>16889.452650982592</v>
      </c>
      <c r="O756">
        <v>3796.9</v>
      </c>
      <c r="P756">
        <f t="shared" si="11"/>
        <v>2.2931258106355386</v>
      </c>
    </row>
    <row r="757" spans="1:16" hidden="1" x14ac:dyDescent="0.25">
      <c r="A757">
        <v>0</v>
      </c>
      <c r="B757">
        <v>5000</v>
      </c>
      <c r="C757">
        <f>1.225 * (1 - 0.00000687559 * B757) ^ 4.2561</f>
        <v>1.0555380742846066</v>
      </c>
      <c r="D757">
        <f>E757*(SQRT($C$2/C757))</f>
        <v>21.545723806091175</v>
      </c>
      <c r="E757">
        <v>20</v>
      </c>
      <c r="F757">
        <v>1150</v>
      </c>
      <c r="G757">
        <v>750</v>
      </c>
      <c r="H757">
        <f>CONVERT(G757,"HP","kW")</f>
        <v>559.27490368670271</v>
      </c>
      <c r="I757">
        <v>0.29709999999999998</v>
      </c>
      <c r="J757">
        <v>0.1459</v>
      </c>
      <c r="K757">
        <v>0.49540000000000001</v>
      </c>
      <c r="L757">
        <v>7.7100000000000002E-2</v>
      </c>
      <c r="M757">
        <v>0.15690000000000001</v>
      </c>
      <c r="N757">
        <f>CONVERT(O757,"lbf","N")</f>
        <v>14991.396487750935</v>
      </c>
      <c r="O757">
        <v>3370.2</v>
      </c>
      <c r="P757">
        <f t="shared" si="11"/>
        <v>2.0350194552529186</v>
      </c>
    </row>
    <row r="758" spans="1:16" hidden="1" x14ac:dyDescent="0.25">
      <c r="A758">
        <v>0</v>
      </c>
      <c r="B758">
        <v>5000</v>
      </c>
      <c r="C758">
        <f>1.225 * (1 - 0.00000687559 * B758) ^ 4.2561</f>
        <v>1.0555380742846066</v>
      </c>
      <c r="D758">
        <f>E758*(SQRT($C$2/C758))</f>
        <v>43.09144761218235</v>
      </c>
      <c r="E758">
        <v>40</v>
      </c>
      <c r="F758">
        <v>1150</v>
      </c>
      <c r="G758">
        <v>750</v>
      </c>
      <c r="H758">
        <f>CONVERT(G758,"HP","kW")</f>
        <v>559.27490368670271</v>
      </c>
      <c r="I758">
        <v>0.51600000000000001</v>
      </c>
      <c r="J758">
        <v>0.29189999999999999</v>
      </c>
      <c r="K758">
        <v>0.501</v>
      </c>
      <c r="L758">
        <v>7.7100000000000002E-2</v>
      </c>
      <c r="M758">
        <v>0.1363</v>
      </c>
      <c r="N758">
        <f>CONVERT(O758,"lbf","N")</f>
        <v>13019.055023544433</v>
      </c>
      <c r="O758">
        <v>2926.8</v>
      </c>
      <c r="P758">
        <f t="shared" si="11"/>
        <v>1.7678339818417639</v>
      </c>
    </row>
    <row r="759" spans="1:16" hidden="1" x14ac:dyDescent="0.25">
      <c r="A759">
        <v>0</v>
      </c>
      <c r="B759">
        <v>5000</v>
      </c>
      <c r="C759">
        <f>1.225 * (1 - 0.00000687559 * B759) ^ 4.2561</f>
        <v>1.0555380742846066</v>
      </c>
      <c r="D759">
        <f>E759*(SQRT($C$2/C759))</f>
        <v>64.637171418273525</v>
      </c>
      <c r="E759">
        <v>60</v>
      </c>
      <c r="F759">
        <v>1150</v>
      </c>
      <c r="G759">
        <v>750</v>
      </c>
      <c r="H759">
        <f>CONVERT(G759,"HP","kW")</f>
        <v>559.27490368670271</v>
      </c>
      <c r="I759">
        <v>0.65769999999999995</v>
      </c>
      <c r="J759">
        <v>0.43780000000000002</v>
      </c>
      <c r="K759">
        <v>0.50770000000000004</v>
      </c>
      <c r="L759">
        <v>7.7100000000000002E-2</v>
      </c>
      <c r="M759">
        <v>0.1158</v>
      </c>
      <c r="N759">
        <f>CONVERT(O759,"lbf","N")</f>
        <v>11062.282334991338</v>
      </c>
      <c r="O759">
        <v>2486.9</v>
      </c>
      <c r="P759">
        <f t="shared" si="11"/>
        <v>1.5019455252918288</v>
      </c>
    </row>
    <row r="760" spans="1:16" hidden="1" x14ac:dyDescent="0.25">
      <c r="A760">
        <v>0</v>
      </c>
      <c r="B760">
        <v>5000</v>
      </c>
      <c r="C760">
        <f>1.225 * (1 - 0.00000687559 * B760) ^ 4.2561</f>
        <v>1.0555380742846066</v>
      </c>
      <c r="D760">
        <f>E760*(SQRT($C$2/C760))</f>
        <v>86.1828952243647</v>
      </c>
      <c r="E760">
        <v>80</v>
      </c>
      <c r="F760">
        <v>1150</v>
      </c>
      <c r="G760">
        <v>750</v>
      </c>
      <c r="H760">
        <f>CONVERT(G760,"HP","kW")</f>
        <v>559.27490368670271</v>
      </c>
      <c r="I760">
        <v>0.74229999999999996</v>
      </c>
      <c r="J760">
        <v>0.58379999999999999</v>
      </c>
      <c r="K760">
        <v>0.51590000000000003</v>
      </c>
      <c r="L760">
        <v>7.7100000000000002E-2</v>
      </c>
      <c r="M760">
        <v>9.8000000000000004E-2</v>
      </c>
      <c r="N760">
        <f>CONVERT(O760,"lbf","N")</f>
        <v>9363.5065001233525</v>
      </c>
      <c r="O760">
        <v>2105</v>
      </c>
      <c r="P760">
        <f t="shared" si="11"/>
        <v>1.2710765239948119</v>
      </c>
    </row>
    <row r="761" spans="1:16" hidden="1" x14ac:dyDescent="0.25">
      <c r="A761">
        <v>0</v>
      </c>
      <c r="B761">
        <v>5000</v>
      </c>
      <c r="C761">
        <f>1.225 * (1 - 0.00000687559 * B761) ^ 4.2561</f>
        <v>1.0555380742846066</v>
      </c>
      <c r="D761">
        <f>E761*(SQRT($C$2/C761))</f>
        <v>107.72861903045587</v>
      </c>
      <c r="E761">
        <v>100</v>
      </c>
      <c r="F761">
        <v>1150</v>
      </c>
      <c r="G761">
        <v>750</v>
      </c>
      <c r="H761">
        <f>CONVERT(G761,"HP","kW")</f>
        <v>559.27490368670271</v>
      </c>
      <c r="I761">
        <v>0.78920000000000001</v>
      </c>
      <c r="J761">
        <v>0.72970000000000002</v>
      </c>
      <c r="K761">
        <v>0.52569999999999995</v>
      </c>
      <c r="L761">
        <v>7.7100000000000002E-2</v>
      </c>
      <c r="M761">
        <v>8.3299999999999999E-2</v>
      </c>
      <c r="N761">
        <f>CONVERT(O761,"lbf","N")</f>
        <v>7964.0959799624006</v>
      </c>
      <c r="O761">
        <v>1790.4</v>
      </c>
      <c r="P761">
        <f t="shared" si="11"/>
        <v>1.0804150453955901</v>
      </c>
    </row>
    <row r="762" spans="1:16" hidden="1" x14ac:dyDescent="0.25">
      <c r="A762">
        <v>0</v>
      </c>
      <c r="B762">
        <v>5000</v>
      </c>
      <c r="C762">
        <f>1.225 * (1 - 0.00000687559 * B762) ^ 4.2561</f>
        <v>1.0555380742846066</v>
      </c>
      <c r="D762">
        <f>E762*(SQRT($C$2/C762))</f>
        <v>150.82006664263821</v>
      </c>
      <c r="E762">
        <v>140</v>
      </c>
      <c r="F762">
        <v>1150</v>
      </c>
      <c r="G762">
        <v>750</v>
      </c>
      <c r="H762">
        <f>CONVERT(G762,"HP","kW")</f>
        <v>559.27490368670271</v>
      </c>
      <c r="I762">
        <v>0.82369999999999999</v>
      </c>
      <c r="J762">
        <v>1.0216000000000001</v>
      </c>
      <c r="K762">
        <v>0.55049999999999999</v>
      </c>
      <c r="L762">
        <v>7.7100000000000002E-2</v>
      </c>
      <c r="M762">
        <v>6.2199999999999998E-2</v>
      </c>
      <c r="N762">
        <f>CONVERT(O762,"lbf","N")</f>
        <v>5937.0413898881898</v>
      </c>
      <c r="O762">
        <v>1334.7</v>
      </c>
      <c r="P762">
        <f t="shared" si="11"/>
        <v>0.80674448767833973</v>
      </c>
    </row>
    <row r="763" spans="1:16" hidden="1" x14ac:dyDescent="0.25">
      <c r="A763">
        <v>0</v>
      </c>
      <c r="B763">
        <v>5000</v>
      </c>
      <c r="C763">
        <f>1.225 * (1 - 0.00000687559 * B763) ^ 4.2561</f>
        <v>1.0555380742846066</v>
      </c>
      <c r="D763">
        <f>E763*(SQRT($C$2/C763))</f>
        <v>172.3657904487294</v>
      </c>
      <c r="E763">
        <v>160</v>
      </c>
      <c r="F763">
        <v>1150</v>
      </c>
      <c r="G763">
        <v>750</v>
      </c>
      <c r="H763">
        <f>CONVERT(G763,"HP","kW")</f>
        <v>559.27490368670271</v>
      </c>
      <c r="I763">
        <v>0.82450000000000001</v>
      </c>
      <c r="J763">
        <v>1.1676</v>
      </c>
      <c r="K763">
        <v>0.56530000000000002</v>
      </c>
      <c r="L763">
        <v>7.7100000000000002E-2</v>
      </c>
      <c r="M763">
        <v>5.4399999999999997E-2</v>
      </c>
      <c r="N763">
        <f>CONVERT(O763,"lbf","N")</f>
        <v>5200.4158904010501</v>
      </c>
      <c r="O763">
        <v>1169.0999999999999</v>
      </c>
      <c r="P763">
        <f t="shared" si="11"/>
        <v>0.70557717250324248</v>
      </c>
    </row>
    <row r="764" spans="1:16" hidden="1" x14ac:dyDescent="0.25">
      <c r="A764">
        <v>0</v>
      </c>
      <c r="B764">
        <v>5000</v>
      </c>
      <c r="C764">
        <f>1.225 * (1 - 0.00000687559 * B764) ^ 4.2561</f>
        <v>1.0555380742846066</v>
      </c>
      <c r="D764">
        <f>E764*(SQRT($C$2/C764))</f>
        <v>193.91151425482059</v>
      </c>
      <c r="E764">
        <v>180</v>
      </c>
      <c r="F764">
        <v>1150</v>
      </c>
      <c r="G764">
        <v>750</v>
      </c>
      <c r="H764">
        <f>CONVERT(G764,"HP","kW")</f>
        <v>559.27490368670271</v>
      </c>
      <c r="I764">
        <v>0.81779999999999997</v>
      </c>
      <c r="J764">
        <v>1.3134999999999999</v>
      </c>
      <c r="K764">
        <v>0.58169999999999999</v>
      </c>
      <c r="L764">
        <v>7.7100000000000002E-2</v>
      </c>
      <c r="M764">
        <v>4.8000000000000001E-2</v>
      </c>
      <c r="N764">
        <f>CONVERT(O764,"lbf","N")</f>
        <v>4585.2268410105235</v>
      </c>
      <c r="O764">
        <v>1030.8</v>
      </c>
      <c r="P764">
        <f t="shared" si="11"/>
        <v>0.62256809338521402</v>
      </c>
    </row>
    <row r="765" spans="1:16" hidden="1" x14ac:dyDescent="0.25">
      <c r="A765">
        <v>0</v>
      </c>
      <c r="B765">
        <v>5000</v>
      </c>
      <c r="C765">
        <f>1.225 * (1 - 0.00000687559 * B765) ^ 4.2561</f>
        <v>1.0555380742846066</v>
      </c>
      <c r="D765">
        <f>E765*(SQRT($C$2/C765))</f>
        <v>215.45723806091175</v>
      </c>
      <c r="E765">
        <v>200</v>
      </c>
      <c r="F765">
        <v>1150</v>
      </c>
      <c r="G765">
        <v>750</v>
      </c>
      <c r="H765">
        <f>CONVERT(G765,"HP","kW")</f>
        <v>559.27490368670271</v>
      </c>
      <c r="I765">
        <v>0.80479999999999996</v>
      </c>
      <c r="J765">
        <v>1.4595</v>
      </c>
      <c r="K765">
        <v>0.59940000000000004</v>
      </c>
      <c r="L765">
        <v>7.7100000000000002E-2</v>
      </c>
      <c r="M765">
        <v>4.2500000000000003E-2</v>
      </c>
      <c r="N765">
        <f>CONVERT(O765,"lbf","N")</f>
        <v>4060.7815125713105</v>
      </c>
      <c r="O765">
        <v>912.9</v>
      </c>
      <c r="P765">
        <f t="shared" si="11"/>
        <v>0.55123216601815828</v>
      </c>
    </row>
    <row r="766" spans="1:16" hidden="1" x14ac:dyDescent="0.25">
      <c r="A766">
        <v>0</v>
      </c>
      <c r="B766">
        <v>25000</v>
      </c>
      <c r="C766">
        <f>1.225 * (1 - 0.00000687559 * B766) ^ 4.2561</f>
        <v>0.54892259437885793</v>
      </c>
      <c r="D766">
        <f>E766*(SQRT($C$2/C766))</f>
        <v>0</v>
      </c>
      <c r="E766">
        <v>0</v>
      </c>
      <c r="F766">
        <v>987</v>
      </c>
      <c r="G766">
        <v>250</v>
      </c>
      <c r="H766">
        <f>CONVERT(G766,"HP","kW")</f>
        <v>186.42496789556756</v>
      </c>
      <c r="I766">
        <v>0</v>
      </c>
      <c r="J766">
        <v>0</v>
      </c>
      <c r="K766">
        <v>0.45479999999999998</v>
      </c>
      <c r="L766">
        <v>7.8100000000000003E-2</v>
      </c>
      <c r="M766">
        <v>0.17849999999999999</v>
      </c>
      <c r="N766">
        <f>CONVERT(O766,"lbf","N")</f>
        <v>6533.9927306561494</v>
      </c>
      <c r="O766">
        <v>1468.9</v>
      </c>
      <c r="P766">
        <f t="shared" si="11"/>
        <v>2.2855313700384121</v>
      </c>
    </row>
    <row r="767" spans="1:16" hidden="1" x14ac:dyDescent="0.25">
      <c r="A767">
        <v>0</v>
      </c>
      <c r="B767">
        <v>25000</v>
      </c>
      <c r="C767">
        <f>1.225 * (1 - 0.00000687559 * B767) ^ 4.2561</f>
        <v>0.54892259437885793</v>
      </c>
      <c r="D767">
        <f>E767*(SQRT($C$2/C767))</f>
        <v>29.877378321820672</v>
      </c>
      <c r="E767">
        <v>20</v>
      </c>
      <c r="F767">
        <v>987</v>
      </c>
      <c r="G767">
        <v>250</v>
      </c>
      <c r="H767">
        <f>CONVERT(G767,"HP","kW")</f>
        <v>186.42496789556756</v>
      </c>
      <c r="I767">
        <v>0.44040000000000001</v>
      </c>
      <c r="J767">
        <v>0.23580000000000001</v>
      </c>
      <c r="K767">
        <v>0.4622</v>
      </c>
      <c r="L767">
        <v>7.8100000000000003E-2</v>
      </c>
      <c r="M767">
        <v>0.1459</v>
      </c>
      <c r="N767">
        <f>CONVERT(O767,"lbf","N")</f>
        <v>5341.8693377663349</v>
      </c>
      <c r="O767">
        <v>1200.9000000000001</v>
      </c>
      <c r="P767">
        <f t="shared" si="11"/>
        <v>1.8681177976952625</v>
      </c>
    </row>
    <row r="768" spans="1:16" hidden="1" x14ac:dyDescent="0.25">
      <c r="A768">
        <v>0</v>
      </c>
      <c r="B768">
        <v>25000</v>
      </c>
      <c r="C768">
        <f>1.225 * (1 - 0.00000687559 * B768) ^ 4.2561</f>
        <v>0.54892259437885793</v>
      </c>
      <c r="D768">
        <f>E768*(SQRT($C$2/C768))</f>
        <v>59.754756643641343</v>
      </c>
      <c r="E768">
        <v>40</v>
      </c>
      <c r="F768">
        <v>987</v>
      </c>
      <c r="G768">
        <v>250</v>
      </c>
      <c r="H768">
        <f>CONVERT(G768,"HP","kW")</f>
        <v>186.42496789556756</v>
      </c>
      <c r="I768">
        <v>0.68269999999999997</v>
      </c>
      <c r="J768">
        <v>0.47160000000000002</v>
      </c>
      <c r="K768">
        <v>0.47210000000000002</v>
      </c>
      <c r="L768">
        <v>7.8100000000000003E-2</v>
      </c>
      <c r="M768">
        <v>0.11310000000000001</v>
      </c>
      <c r="N768">
        <f>CONVERT(O768,"lbf","N")</f>
        <v>4140.4046794844735</v>
      </c>
      <c r="O768">
        <v>930.8</v>
      </c>
      <c r="P768">
        <f t="shared" si="11"/>
        <v>1.4481434058898848</v>
      </c>
    </row>
    <row r="769" spans="1:16" hidden="1" x14ac:dyDescent="0.25">
      <c r="A769">
        <v>0</v>
      </c>
      <c r="B769">
        <v>25000</v>
      </c>
      <c r="C769">
        <f>1.225 * (1 - 0.00000687559 * B769) ^ 4.2561</f>
        <v>0.54892259437885793</v>
      </c>
      <c r="D769">
        <f>E769*(SQRT($C$2/C769))</f>
        <v>89.632134965462015</v>
      </c>
      <c r="E769">
        <v>60</v>
      </c>
      <c r="F769">
        <v>987</v>
      </c>
      <c r="G769">
        <v>250</v>
      </c>
      <c r="H769">
        <f>CONVERT(G769,"HP","kW")</f>
        <v>186.42496789556756</v>
      </c>
      <c r="I769">
        <v>0.78900000000000003</v>
      </c>
      <c r="J769">
        <v>0.70740000000000003</v>
      </c>
      <c r="K769">
        <v>0.48570000000000002</v>
      </c>
      <c r="L769">
        <v>7.8100000000000003E-2</v>
      </c>
      <c r="M769">
        <v>8.7099999999999997E-2</v>
      </c>
      <c r="N769">
        <f>CONVERT(O769,"lbf","N")</f>
        <v>3189.8197203033046</v>
      </c>
      <c r="O769">
        <v>717.1</v>
      </c>
      <c r="P769">
        <f t="shared" si="11"/>
        <v>1.115236875800256</v>
      </c>
    </row>
    <row r="770" spans="1:16" hidden="1" x14ac:dyDescent="0.25">
      <c r="A770">
        <v>0</v>
      </c>
      <c r="B770">
        <v>25000</v>
      </c>
      <c r="C770">
        <f>1.225 * (1 - 0.00000687559 * B770) ^ 4.2561</f>
        <v>0.54892259437885793</v>
      </c>
      <c r="D770">
        <f>E770*(SQRT($C$2/C770))</f>
        <v>119.50951328728269</v>
      </c>
      <c r="E770">
        <v>80</v>
      </c>
      <c r="F770">
        <v>987</v>
      </c>
      <c r="G770">
        <v>250</v>
      </c>
      <c r="H770">
        <f>CONVERT(G770,"HP","kW")</f>
        <v>186.42496789556756</v>
      </c>
      <c r="I770">
        <v>0.82889999999999997</v>
      </c>
      <c r="J770">
        <v>0.94320000000000004</v>
      </c>
      <c r="K770">
        <v>0.50339999999999996</v>
      </c>
      <c r="L770">
        <v>7.8100000000000003E-2</v>
      </c>
      <c r="M770">
        <v>6.8599999999999994E-2</v>
      </c>
      <c r="N770">
        <f>CONVERT(O770,"lbf","N")</f>
        <v>2513.6900347837086</v>
      </c>
      <c r="O770">
        <v>565.1</v>
      </c>
      <c r="P770">
        <f t="shared" si="11"/>
        <v>0.87836107554417409</v>
      </c>
    </row>
    <row r="771" spans="1:16" hidden="1" x14ac:dyDescent="0.25">
      <c r="A771">
        <v>0</v>
      </c>
      <c r="B771">
        <v>25000</v>
      </c>
      <c r="C771">
        <f>1.225 * (1 - 0.00000687559 * B771) ^ 4.2561</f>
        <v>0.54892259437885793</v>
      </c>
      <c r="D771">
        <f>E771*(SQRT($C$2/C771))</f>
        <v>149.38689160910337</v>
      </c>
      <c r="E771">
        <v>100</v>
      </c>
      <c r="F771">
        <v>987</v>
      </c>
      <c r="G771">
        <v>250</v>
      </c>
      <c r="H771">
        <f>CONVERT(G771,"HP","kW")</f>
        <v>186.42496789556756</v>
      </c>
      <c r="I771">
        <v>0.83630000000000004</v>
      </c>
      <c r="J771">
        <v>1.179</v>
      </c>
      <c r="K771">
        <v>0.52510000000000001</v>
      </c>
      <c r="L771">
        <v>7.8100000000000003E-2</v>
      </c>
      <c r="M771">
        <v>5.5399999999999998E-2</v>
      </c>
      <c r="N771">
        <f>CONVERT(O771,"lbf","N")</f>
        <v>2028.8338787203143</v>
      </c>
      <c r="O771">
        <v>456.1</v>
      </c>
      <c r="P771">
        <f t="shared" ref="P771:P834" si="12">M771/L771</f>
        <v>0.70934699103713184</v>
      </c>
    </row>
    <row r="772" spans="1:16" hidden="1" x14ac:dyDescent="0.25">
      <c r="A772">
        <v>0</v>
      </c>
      <c r="B772">
        <v>25000</v>
      </c>
      <c r="C772">
        <f>1.225 * (1 - 0.00000687559 * B772) ^ 4.2561</f>
        <v>0.54892259437885793</v>
      </c>
      <c r="D772">
        <f>E772*(SQRT($C$2/C772))</f>
        <v>179.26426993092403</v>
      </c>
      <c r="E772">
        <v>120</v>
      </c>
      <c r="F772">
        <v>987</v>
      </c>
      <c r="G772">
        <v>250</v>
      </c>
      <c r="H772">
        <f>CONVERT(G772,"HP","kW")</f>
        <v>186.42496789556756</v>
      </c>
      <c r="I772">
        <v>0.82440000000000002</v>
      </c>
      <c r="J772">
        <v>1.4148000000000001</v>
      </c>
      <c r="K772">
        <v>0.55030000000000001</v>
      </c>
      <c r="L772">
        <v>7.8100000000000003E-2</v>
      </c>
      <c r="M772">
        <v>4.5499999999999999E-2</v>
      </c>
      <c r="N772">
        <f>CONVERT(O772,"lbf","N")</f>
        <v>1666.7486392381093</v>
      </c>
      <c r="O772">
        <v>374.7</v>
      </c>
      <c r="P772">
        <f t="shared" si="12"/>
        <v>0.5825864276568502</v>
      </c>
    </row>
    <row r="773" spans="1:16" hidden="1" x14ac:dyDescent="0.25">
      <c r="A773">
        <v>0</v>
      </c>
      <c r="B773">
        <v>25000</v>
      </c>
      <c r="C773">
        <f>1.225 * (1 - 0.00000687559 * B773) ^ 4.2561</f>
        <v>0.54892259437885793</v>
      </c>
      <c r="D773">
        <f>E773*(SQRT($C$2/C773))</f>
        <v>209.14164825274472</v>
      </c>
      <c r="E773">
        <v>140</v>
      </c>
      <c r="F773">
        <v>987</v>
      </c>
      <c r="G773">
        <v>250</v>
      </c>
      <c r="H773">
        <f>CONVERT(G773,"HP","kW")</f>
        <v>186.42496789556756</v>
      </c>
      <c r="I773">
        <v>0.79269999999999996</v>
      </c>
      <c r="J773">
        <v>1.6506000000000001</v>
      </c>
      <c r="K773">
        <v>0.57869999999999999</v>
      </c>
      <c r="L773">
        <v>7.8100000000000003E-2</v>
      </c>
      <c r="M773">
        <v>3.7499999999999999E-2</v>
      </c>
      <c r="N773">
        <f>CONVERT(O773,"lbf","N")</f>
        <v>1373.6108347924426</v>
      </c>
      <c r="O773">
        <v>308.8</v>
      </c>
      <c r="P773">
        <f t="shared" si="12"/>
        <v>0.48015364916773362</v>
      </c>
    </row>
    <row r="774" spans="1:16" hidden="1" x14ac:dyDescent="0.25">
      <c r="A774">
        <v>0</v>
      </c>
      <c r="B774">
        <v>25000</v>
      </c>
      <c r="C774">
        <f>1.225 * (1 - 0.00000687559 * B774) ^ 4.2561</f>
        <v>0.54892259437885793</v>
      </c>
      <c r="D774">
        <f>E774*(SQRT($C$2/C774))</f>
        <v>239.01902657456537</v>
      </c>
      <c r="E774">
        <v>160</v>
      </c>
      <c r="F774">
        <v>987</v>
      </c>
      <c r="G774">
        <v>250</v>
      </c>
      <c r="H774">
        <f>CONVERT(G774,"HP","kW")</f>
        <v>186.42496789556756</v>
      </c>
      <c r="I774">
        <v>0.73799999999999999</v>
      </c>
      <c r="J774">
        <v>1.8864000000000001</v>
      </c>
      <c r="K774">
        <v>0.60980000000000001</v>
      </c>
      <c r="L774">
        <v>7.8100000000000003E-2</v>
      </c>
      <c r="M774">
        <v>3.0599999999999999E-2</v>
      </c>
      <c r="N774">
        <f>CONVERT(O774,"lbf","N")</f>
        <v>1118.7277362380157</v>
      </c>
      <c r="O774">
        <v>251.5</v>
      </c>
      <c r="P774">
        <f t="shared" si="12"/>
        <v>0.39180537772087065</v>
      </c>
    </row>
    <row r="775" spans="1:16" hidden="1" x14ac:dyDescent="0.25">
      <c r="A775">
        <v>0</v>
      </c>
      <c r="B775">
        <v>25000</v>
      </c>
      <c r="C775">
        <f>1.225 * (1 - 0.00000687559 * B775) ^ 4.2561</f>
        <v>0.54892259437885793</v>
      </c>
      <c r="D775">
        <f>E775*(SQRT($C$2/C775))</f>
        <v>268.89640489638606</v>
      </c>
      <c r="E775">
        <v>180</v>
      </c>
      <c r="F775">
        <v>987</v>
      </c>
      <c r="G775">
        <v>250</v>
      </c>
      <c r="H775">
        <f>CONVERT(G775,"HP","kW")</f>
        <v>186.42496789556756</v>
      </c>
      <c r="I775">
        <v>0.6492</v>
      </c>
      <c r="J775">
        <v>2.1221999999999999</v>
      </c>
      <c r="K775">
        <v>0.64329999999999998</v>
      </c>
      <c r="L775">
        <v>7.8100000000000003E-2</v>
      </c>
      <c r="M775">
        <v>2.3900000000000001E-2</v>
      </c>
      <c r="N775">
        <f>CONVERT(O775,"lbf","N")</f>
        <v>874.96519172174033</v>
      </c>
      <c r="O775">
        <v>196.7</v>
      </c>
      <c r="P775">
        <f t="shared" si="12"/>
        <v>0.3060179257362356</v>
      </c>
    </row>
    <row r="776" spans="1:16" hidden="1" x14ac:dyDescent="0.25">
      <c r="A776">
        <v>0</v>
      </c>
      <c r="B776">
        <v>25000</v>
      </c>
      <c r="C776">
        <f>1.225 * (1 - 0.00000687559 * B776) ^ 4.2561</f>
        <v>0.54892259437885793</v>
      </c>
      <c r="D776">
        <f>E776*(SQRT($C$2/C776))</f>
        <v>298.77378321820675</v>
      </c>
      <c r="E776">
        <v>200</v>
      </c>
      <c r="F776">
        <v>987</v>
      </c>
      <c r="G776">
        <v>250</v>
      </c>
      <c r="H776">
        <f>CONVERT(G776,"HP","kW")</f>
        <v>186.42496789556756</v>
      </c>
      <c r="I776">
        <v>0.51870000000000005</v>
      </c>
      <c r="J776">
        <v>2.3580000000000001</v>
      </c>
      <c r="K776">
        <v>0.67869999999999997</v>
      </c>
      <c r="L776">
        <v>7.8100000000000003E-2</v>
      </c>
      <c r="M776">
        <v>1.72E-2</v>
      </c>
      <c r="N776">
        <f>CONVERT(O776,"lbf","N")</f>
        <v>628.97853639783477</v>
      </c>
      <c r="O776">
        <v>141.4</v>
      </c>
      <c r="P776">
        <f t="shared" si="12"/>
        <v>0.22023047375160051</v>
      </c>
    </row>
    <row r="777" spans="1:16" hidden="1" x14ac:dyDescent="0.25">
      <c r="A777">
        <v>0</v>
      </c>
      <c r="B777">
        <v>25000</v>
      </c>
      <c r="C777">
        <f>1.225 * (1 - 0.00000687559 * B777) ^ 4.2561</f>
        <v>0.54892259437885793</v>
      </c>
      <c r="D777">
        <f>E777*(SQRT($C$2/C777))</f>
        <v>328.65116154002743</v>
      </c>
      <c r="E777">
        <v>220</v>
      </c>
      <c r="F777">
        <v>987</v>
      </c>
      <c r="G777">
        <v>250</v>
      </c>
      <c r="H777">
        <f>CONVERT(G777,"HP","kW")</f>
        <v>186.42496789556756</v>
      </c>
      <c r="I777">
        <v>0.2873</v>
      </c>
      <c r="J777">
        <v>2.5937999999999999</v>
      </c>
      <c r="K777">
        <v>0.71579999999999999</v>
      </c>
      <c r="L777">
        <v>7.8100000000000003E-2</v>
      </c>
      <c r="M777">
        <v>8.6999999999999994E-3</v>
      </c>
      <c r="N777">
        <f>CONVERT(O777,"lbf","N")</f>
        <v>316.71337900654765</v>
      </c>
      <c r="O777">
        <v>71.2</v>
      </c>
      <c r="P777">
        <f t="shared" si="12"/>
        <v>0.1113956466069142</v>
      </c>
    </row>
    <row r="778" spans="1:16" hidden="1" x14ac:dyDescent="0.25">
      <c r="A778">
        <v>0</v>
      </c>
      <c r="B778">
        <v>25000</v>
      </c>
      <c r="C778">
        <f>1.225 * (1 - 0.00000687559 * B778) ^ 4.2561</f>
        <v>0.54892259437885793</v>
      </c>
      <c r="D778">
        <f>E778*(SQRT($C$2/C778))</f>
        <v>358.52853986184806</v>
      </c>
      <c r="E778">
        <v>240</v>
      </c>
      <c r="F778">
        <v>987</v>
      </c>
      <c r="G778">
        <v>250</v>
      </c>
      <c r="H778">
        <f>CONVERT(G778,"HP","kW")</f>
        <v>186.42496789556756</v>
      </c>
      <c r="I778">
        <v>-0.14580000000000001</v>
      </c>
      <c r="J778">
        <v>2.8296000000000001</v>
      </c>
      <c r="K778">
        <v>0.75429999999999997</v>
      </c>
      <c r="L778">
        <v>7.8100000000000003E-2</v>
      </c>
      <c r="M778">
        <v>-4.0000000000000001E-3</v>
      </c>
      <c r="N778">
        <f>CONVERT(O778,"lbf","N")</f>
        <v>-147.23613546512254</v>
      </c>
      <c r="O778">
        <v>-33.1</v>
      </c>
      <c r="P778">
        <f t="shared" si="12"/>
        <v>-5.1216389244558257E-2</v>
      </c>
    </row>
    <row r="779" spans="1:16" hidden="1" x14ac:dyDescent="0.25">
      <c r="A779">
        <v>0</v>
      </c>
      <c r="B779">
        <v>25000</v>
      </c>
      <c r="C779">
        <f>1.225 * (1 - 0.00000687559 * B779) ^ 4.2561</f>
        <v>0.54892259437885793</v>
      </c>
      <c r="D779">
        <f>E779*(SQRT($C$2/C779))</f>
        <v>388.40591818366875</v>
      </c>
      <c r="E779">
        <v>260</v>
      </c>
      <c r="F779">
        <v>987</v>
      </c>
      <c r="G779">
        <v>250</v>
      </c>
      <c r="H779">
        <f>CONVERT(G779,"HP","kW")</f>
        <v>186.42496789556756</v>
      </c>
      <c r="I779">
        <v>-0.83150000000000002</v>
      </c>
      <c r="J779">
        <v>3.0653999999999999</v>
      </c>
      <c r="K779">
        <v>0.79410000000000003</v>
      </c>
      <c r="L779">
        <v>7.8100000000000003E-2</v>
      </c>
      <c r="M779">
        <v>-2.12E-2</v>
      </c>
      <c r="N779">
        <f>CONVERT(O779,"lbf","N")</f>
        <v>-775.76984970143121</v>
      </c>
      <c r="O779">
        <v>-174.4</v>
      </c>
      <c r="P779">
        <f t="shared" si="12"/>
        <v>-0.27144686299615878</v>
      </c>
    </row>
    <row r="780" spans="1:16" hidden="1" x14ac:dyDescent="0.25">
      <c r="A780">
        <v>0</v>
      </c>
      <c r="B780">
        <v>5000</v>
      </c>
      <c r="C780">
        <f>1.225 * (1 - 0.00000687559 * B780) ^ 4.2561</f>
        <v>1.0555380742846066</v>
      </c>
      <c r="D780">
        <f>E780*(SQRT($C$2/C780))</f>
        <v>237.00296186700291</v>
      </c>
      <c r="E780">
        <v>220</v>
      </c>
      <c r="F780">
        <v>987</v>
      </c>
      <c r="G780">
        <v>500</v>
      </c>
      <c r="H780">
        <f>CONVERT(G780,"HP","kW")</f>
        <v>372.84993579113512</v>
      </c>
      <c r="I780">
        <v>0.7742</v>
      </c>
      <c r="J780">
        <v>1.8705000000000001</v>
      </c>
      <c r="K780">
        <v>0.56269999999999998</v>
      </c>
      <c r="L780">
        <v>8.1100000000000005E-2</v>
      </c>
      <c r="M780">
        <v>3.3599999999999998E-2</v>
      </c>
      <c r="N780">
        <f>CONVERT(O780,"lbf","N")</f>
        <v>2367.7883658031637</v>
      </c>
      <c r="O780">
        <v>532.29999999999995</v>
      </c>
      <c r="P780">
        <f t="shared" si="12"/>
        <v>0.41430332922318119</v>
      </c>
    </row>
    <row r="781" spans="1:16" hidden="1" x14ac:dyDescent="0.25">
      <c r="A781">
        <v>0</v>
      </c>
      <c r="B781">
        <v>5000</v>
      </c>
      <c r="C781">
        <f>1.225 * (1 - 0.00000687559 * B781) ^ 4.2561</f>
        <v>1.0555380742846066</v>
      </c>
      <c r="D781">
        <f>E781*(SQRT($C$2/C781))</f>
        <v>0</v>
      </c>
      <c r="E781">
        <v>0</v>
      </c>
      <c r="F781">
        <v>987</v>
      </c>
      <c r="G781">
        <v>500</v>
      </c>
      <c r="H781">
        <f>CONVERT(G781,"HP","kW")</f>
        <v>372.84993579113512</v>
      </c>
      <c r="I781">
        <v>0</v>
      </c>
      <c r="J781">
        <v>0</v>
      </c>
      <c r="K781">
        <v>0.4209</v>
      </c>
      <c r="L781">
        <v>8.1199999999999994E-2</v>
      </c>
      <c r="M781">
        <v>0.18329999999999999</v>
      </c>
      <c r="N781">
        <f>CONVERT(O781,"lbf","N")</f>
        <v>12904.290905870712</v>
      </c>
      <c r="O781">
        <v>2901</v>
      </c>
      <c r="P781">
        <f t="shared" si="12"/>
        <v>2.2573891625615765</v>
      </c>
    </row>
    <row r="782" spans="1:16" hidden="1" x14ac:dyDescent="0.25">
      <c r="A782">
        <v>0</v>
      </c>
      <c r="B782">
        <v>5000</v>
      </c>
      <c r="C782">
        <f>1.225 * (1 - 0.00000687559 * B782) ^ 4.2561</f>
        <v>1.0555380742846066</v>
      </c>
      <c r="D782">
        <f>E782*(SQRT($C$2/C782))</f>
        <v>21.545723806091175</v>
      </c>
      <c r="E782">
        <v>20</v>
      </c>
      <c r="F782">
        <v>987</v>
      </c>
      <c r="G782">
        <v>500</v>
      </c>
      <c r="H782">
        <f>CONVERT(G782,"HP","kW")</f>
        <v>372.84993579113512</v>
      </c>
      <c r="I782">
        <v>0.33429999999999999</v>
      </c>
      <c r="J782">
        <v>0.17</v>
      </c>
      <c r="K782">
        <v>0.42570000000000002</v>
      </c>
      <c r="L782">
        <v>8.1199999999999994E-2</v>
      </c>
      <c r="M782">
        <v>0.15970000000000001</v>
      </c>
      <c r="N782">
        <f>CONVERT(O782,"lbf","N")</f>
        <v>11246.438709863123</v>
      </c>
      <c r="O782">
        <v>2528.3000000000002</v>
      </c>
      <c r="P782">
        <f t="shared" si="12"/>
        <v>1.9667487684729066</v>
      </c>
    </row>
    <row r="783" spans="1:16" hidden="1" x14ac:dyDescent="0.25">
      <c r="A783">
        <v>0</v>
      </c>
      <c r="B783">
        <v>5000</v>
      </c>
      <c r="C783">
        <f>1.225 * (1 - 0.00000687559 * B783) ^ 4.2561</f>
        <v>1.0555380742846066</v>
      </c>
      <c r="D783">
        <f>E783*(SQRT($C$2/C783))</f>
        <v>86.1828952243647</v>
      </c>
      <c r="E783">
        <v>80</v>
      </c>
      <c r="F783">
        <v>987</v>
      </c>
      <c r="G783">
        <v>500</v>
      </c>
      <c r="H783">
        <f>CONVERT(G783,"HP","kW")</f>
        <v>372.84993579113512</v>
      </c>
      <c r="I783">
        <v>0.78439999999999999</v>
      </c>
      <c r="J783">
        <v>0.68020000000000003</v>
      </c>
      <c r="K783">
        <v>0.4481</v>
      </c>
      <c r="L783">
        <v>8.1199999999999994E-2</v>
      </c>
      <c r="M783">
        <v>9.3700000000000006E-2</v>
      </c>
      <c r="N783">
        <f>CONVERT(O783,"lbf","N")</f>
        <v>6596.267833269796</v>
      </c>
      <c r="O783">
        <v>1482.9</v>
      </c>
      <c r="P783">
        <f t="shared" si="12"/>
        <v>1.1539408866995076</v>
      </c>
    </row>
    <row r="784" spans="1:16" hidden="1" x14ac:dyDescent="0.25">
      <c r="A784">
        <v>0</v>
      </c>
      <c r="B784">
        <v>5000</v>
      </c>
      <c r="C784">
        <f>1.225 * (1 - 0.00000687559 * B784) ^ 4.2561</f>
        <v>1.0555380742846066</v>
      </c>
      <c r="D784">
        <f>E784*(SQRT($C$2/C784))</f>
        <v>107.72861903045587</v>
      </c>
      <c r="E784">
        <v>100</v>
      </c>
      <c r="F784">
        <v>987</v>
      </c>
      <c r="G784">
        <v>500</v>
      </c>
      <c r="H784">
        <f>CONVERT(G784,"HP","kW")</f>
        <v>372.84993579113512</v>
      </c>
      <c r="I784">
        <v>0.8246</v>
      </c>
      <c r="J784">
        <v>0.85019999999999996</v>
      </c>
      <c r="K784">
        <v>0.45929999999999999</v>
      </c>
      <c r="L784">
        <v>8.1199999999999994E-2</v>
      </c>
      <c r="M784">
        <v>7.8799999999999995E-2</v>
      </c>
      <c r="N784">
        <f>CONVERT(O784,"lbf","N")</f>
        <v>5547.8219985528958</v>
      </c>
      <c r="O784">
        <v>1247.2</v>
      </c>
      <c r="P784">
        <f t="shared" si="12"/>
        <v>0.97044334975369462</v>
      </c>
    </row>
    <row r="785" spans="1:16" hidden="1" x14ac:dyDescent="0.25">
      <c r="A785">
        <v>0</v>
      </c>
      <c r="B785">
        <v>5000</v>
      </c>
      <c r="C785">
        <f>1.225 * (1 - 0.00000687559 * B785) ^ 4.2561</f>
        <v>1.0555380742846066</v>
      </c>
      <c r="D785">
        <f>E785*(SQRT($C$2/C785))</f>
        <v>150.82006664263821</v>
      </c>
      <c r="E785">
        <v>140</v>
      </c>
      <c r="F785">
        <v>987</v>
      </c>
      <c r="G785">
        <v>500</v>
      </c>
      <c r="H785">
        <f>CONVERT(G785,"HP","kW")</f>
        <v>372.84993579113512</v>
      </c>
      <c r="I785">
        <v>0.84789999999999999</v>
      </c>
      <c r="J785">
        <v>1.1902999999999999</v>
      </c>
      <c r="K785">
        <v>0.48730000000000001</v>
      </c>
      <c r="L785">
        <v>8.1199999999999994E-2</v>
      </c>
      <c r="M785">
        <v>5.79E-2</v>
      </c>
      <c r="N785">
        <f>CONVERT(O785,"lbf","N")</f>
        <v>4074.5709995786178</v>
      </c>
      <c r="O785">
        <v>916</v>
      </c>
      <c r="P785">
        <f t="shared" si="12"/>
        <v>0.71305418719211833</v>
      </c>
    </row>
    <row r="786" spans="1:16" hidden="1" x14ac:dyDescent="0.25">
      <c r="A786">
        <v>0</v>
      </c>
      <c r="B786">
        <v>5000</v>
      </c>
      <c r="C786">
        <f>1.225 * (1 - 0.00000687559 * B786) ^ 4.2561</f>
        <v>1.0555380742846066</v>
      </c>
      <c r="D786">
        <f>E786*(SQRT($C$2/C786))</f>
        <v>193.91151425482059</v>
      </c>
      <c r="E786">
        <v>180</v>
      </c>
      <c r="F786">
        <v>987</v>
      </c>
      <c r="G786">
        <v>500</v>
      </c>
      <c r="H786">
        <f>CONVERT(G786,"HP","kW")</f>
        <v>372.84993579113512</v>
      </c>
      <c r="I786">
        <v>0.83030000000000004</v>
      </c>
      <c r="J786">
        <v>1.5304</v>
      </c>
      <c r="K786">
        <v>0.5222</v>
      </c>
      <c r="L786">
        <v>8.1199999999999994E-2</v>
      </c>
      <c r="M786">
        <v>4.3999999999999997E-2</v>
      </c>
      <c r="N786">
        <f>CONVERT(O786,"lbf","N")</f>
        <v>3103.524220967251</v>
      </c>
      <c r="O786">
        <v>697.7</v>
      </c>
      <c r="P786">
        <f t="shared" si="12"/>
        <v>0.54187192118226601</v>
      </c>
    </row>
    <row r="787" spans="1:16" hidden="1" x14ac:dyDescent="0.25">
      <c r="A787">
        <v>0</v>
      </c>
      <c r="B787">
        <v>5000</v>
      </c>
      <c r="C787">
        <f>1.225 * (1 - 0.00000687559 * B787) ^ 4.2561</f>
        <v>1.0555380742846066</v>
      </c>
      <c r="D787">
        <f>E787*(SQRT($C$2/C787))</f>
        <v>215.45723806091175</v>
      </c>
      <c r="E787">
        <v>200</v>
      </c>
      <c r="F787">
        <v>987</v>
      </c>
      <c r="G787">
        <v>500</v>
      </c>
      <c r="H787">
        <f>CONVERT(G787,"HP","kW")</f>
        <v>372.84993579113512</v>
      </c>
      <c r="I787">
        <v>0.80759999999999998</v>
      </c>
      <c r="J787">
        <v>1.7004999999999999</v>
      </c>
      <c r="K787">
        <v>0.54179999999999995</v>
      </c>
      <c r="L787">
        <v>8.1199999999999994E-2</v>
      </c>
      <c r="M787">
        <v>3.8600000000000002E-2</v>
      </c>
      <c r="N787">
        <f>CONVERT(O787,"lbf","N")</f>
        <v>2716.9737626011133</v>
      </c>
      <c r="O787">
        <v>610.79999999999995</v>
      </c>
      <c r="P787">
        <f t="shared" si="12"/>
        <v>0.4753694581280789</v>
      </c>
    </row>
    <row r="788" spans="1:16" hidden="1" x14ac:dyDescent="0.25">
      <c r="A788">
        <v>0</v>
      </c>
      <c r="B788">
        <v>5000</v>
      </c>
      <c r="C788">
        <f>1.225 * (1 - 0.00000687559 * B788) ^ 4.2561</f>
        <v>1.0555380742846066</v>
      </c>
      <c r="D788">
        <f>E788*(SQRT($C$2/C788))</f>
        <v>258.5486856730941</v>
      </c>
      <c r="E788">
        <v>240</v>
      </c>
      <c r="F788">
        <v>987</v>
      </c>
      <c r="G788">
        <v>500</v>
      </c>
      <c r="H788">
        <f>CONVERT(G788,"HP","kW")</f>
        <v>372.84993579113512</v>
      </c>
      <c r="I788">
        <v>0.72760000000000002</v>
      </c>
      <c r="J788">
        <v>2.0406</v>
      </c>
      <c r="K788">
        <v>0.58479999999999999</v>
      </c>
      <c r="L788">
        <v>8.1199999999999994E-2</v>
      </c>
      <c r="M788">
        <v>2.9000000000000001E-2</v>
      </c>
      <c r="N788">
        <f>CONVERT(O788,"lbf","N")</f>
        <v>2039.5096105969394</v>
      </c>
      <c r="O788">
        <v>458.5</v>
      </c>
      <c r="P788">
        <f t="shared" si="12"/>
        <v>0.35714285714285721</v>
      </c>
    </row>
    <row r="789" spans="1:16" hidden="1" x14ac:dyDescent="0.25">
      <c r="A789">
        <v>0</v>
      </c>
      <c r="B789">
        <v>5000</v>
      </c>
      <c r="C789">
        <f>1.225 * (1 - 0.00000687559 * B789) ^ 4.2561</f>
        <v>1.0555380742846066</v>
      </c>
      <c r="D789">
        <f>E789*(SQRT($C$2/C789))</f>
        <v>280.09440947918529</v>
      </c>
      <c r="E789">
        <v>260</v>
      </c>
      <c r="F789">
        <v>987</v>
      </c>
      <c r="G789">
        <v>500</v>
      </c>
      <c r="H789">
        <f>CONVERT(G789,"HP","kW")</f>
        <v>372.84993579113512</v>
      </c>
      <c r="I789">
        <v>0.66539999999999999</v>
      </c>
      <c r="J789">
        <v>2.2105999999999999</v>
      </c>
      <c r="K789">
        <v>0.60780000000000001</v>
      </c>
      <c r="L789">
        <v>8.1199999999999994E-2</v>
      </c>
      <c r="M789">
        <v>2.4500000000000001E-2</v>
      </c>
      <c r="N789">
        <f>CONVERT(O789,"lbf","N")</f>
        <v>1721.9065872673398</v>
      </c>
      <c r="O789">
        <v>387.1</v>
      </c>
      <c r="P789">
        <f t="shared" si="12"/>
        <v>0.30172413793103453</v>
      </c>
    </row>
    <row r="790" spans="1:16" hidden="1" x14ac:dyDescent="0.25">
      <c r="A790">
        <v>0</v>
      </c>
      <c r="B790">
        <v>5000</v>
      </c>
      <c r="C790">
        <f>1.225 * (1 - 0.00000687559 * B790) ^ 4.2561</f>
        <v>1.0555380742846066</v>
      </c>
      <c r="D790">
        <f>E790*(SQRT($C$2/C790))</f>
        <v>43.09144761218235</v>
      </c>
      <c r="E790">
        <v>40</v>
      </c>
      <c r="F790">
        <v>987</v>
      </c>
      <c r="G790">
        <v>500</v>
      </c>
      <c r="H790">
        <f>CONVERT(G790,"HP","kW")</f>
        <v>372.84993579113512</v>
      </c>
      <c r="I790">
        <v>0.56740000000000002</v>
      </c>
      <c r="J790">
        <v>0.34010000000000001</v>
      </c>
      <c r="K790">
        <v>0.43159999999999998</v>
      </c>
      <c r="L790">
        <v>8.1299999999999997E-2</v>
      </c>
      <c r="M790">
        <v>0.1356</v>
      </c>
      <c r="N790">
        <f>CONVERT(O790,"lbf","N")</f>
        <v>9543.2146533798787</v>
      </c>
      <c r="O790">
        <v>2145.4</v>
      </c>
      <c r="P790">
        <f t="shared" si="12"/>
        <v>1.6678966789667897</v>
      </c>
    </row>
    <row r="791" spans="1:16" hidden="1" x14ac:dyDescent="0.25">
      <c r="A791">
        <v>0</v>
      </c>
      <c r="B791">
        <v>5000</v>
      </c>
      <c r="C791">
        <f>1.225 * (1 - 0.00000687559 * B791) ^ 4.2561</f>
        <v>1.0555380742846066</v>
      </c>
      <c r="D791">
        <f>E791*(SQRT($C$2/C791))</f>
        <v>64.637171418273525</v>
      </c>
      <c r="E791">
        <v>60</v>
      </c>
      <c r="F791">
        <v>987</v>
      </c>
      <c r="G791">
        <v>500</v>
      </c>
      <c r="H791">
        <f>CONVERT(G791,"HP","kW")</f>
        <v>372.84993579113512</v>
      </c>
      <c r="I791">
        <v>0.70699999999999996</v>
      </c>
      <c r="J791">
        <v>0.5101</v>
      </c>
      <c r="K791">
        <v>0.43890000000000001</v>
      </c>
      <c r="L791">
        <v>8.1299999999999997E-2</v>
      </c>
      <c r="M791">
        <v>0.11260000000000001</v>
      </c>
      <c r="N791">
        <f>CONVERT(O791,"lbf","N")</f>
        <v>7927.620562717264</v>
      </c>
      <c r="O791">
        <v>1782.2</v>
      </c>
      <c r="P791">
        <f t="shared" si="12"/>
        <v>1.3849938499384995</v>
      </c>
    </row>
    <row r="792" spans="1:16" hidden="1" x14ac:dyDescent="0.25">
      <c r="A792">
        <v>0</v>
      </c>
      <c r="B792">
        <v>5000</v>
      </c>
      <c r="C792">
        <f>1.225 * (1 - 0.00000687559 * B792) ^ 4.2561</f>
        <v>1.0555380742846066</v>
      </c>
      <c r="D792">
        <f>E792*(SQRT($C$2/C792))</f>
        <v>129.27434283654705</v>
      </c>
      <c r="E792">
        <v>120</v>
      </c>
      <c r="F792">
        <v>987</v>
      </c>
      <c r="G792">
        <v>500</v>
      </c>
      <c r="H792">
        <f>CONVERT(G792,"HP","kW")</f>
        <v>372.84993579113512</v>
      </c>
      <c r="I792">
        <v>0.84299999999999997</v>
      </c>
      <c r="J792">
        <v>1.0203</v>
      </c>
      <c r="K792">
        <v>0.47239999999999999</v>
      </c>
      <c r="L792">
        <v>8.1299999999999997E-2</v>
      </c>
      <c r="M792">
        <v>6.7100000000000007E-2</v>
      </c>
      <c r="N792">
        <f>CONVERT(O792,"lbf","N")</f>
        <v>4726.2354662142816</v>
      </c>
      <c r="O792">
        <v>1062.5</v>
      </c>
      <c r="P792">
        <f t="shared" si="12"/>
        <v>0.82533825338253397</v>
      </c>
    </row>
    <row r="793" spans="1:16" hidden="1" x14ac:dyDescent="0.25">
      <c r="A793">
        <v>0</v>
      </c>
      <c r="B793">
        <v>5000</v>
      </c>
      <c r="C793">
        <f>1.225 * (1 - 0.00000687559 * B793) ^ 4.2561</f>
        <v>1.0555380742846066</v>
      </c>
      <c r="D793">
        <f>E793*(SQRT($C$2/C793))</f>
        <v>172.3657904487294</v>
      </c>
      <c r="E793">
        <v>160</v>
      </c>
      <c r="F793">
        <v>987</v>
      </c>
      <c r="G793">
        <v>500</v>
      </c>
      <c r="H793">
        <f>CONVERT(G793,"HP","kW")</f>
        <v>372.84993579113512</v>
      </c>
      <c r="I793">
        <v>0.84330000000000005</v>
      </c>
      <c r="J793">
        <v>1.3604000000000001</v>
      </c>
      <c r="K793">
        <v>0.504</v>
      </c>
      <c r="L793">
        <v>8.1299999999999997E-2</v>
      </c>
      <c r="M793">
        <v>5.04E-2</v>
      </c>
      <c r="N793">
        <f>CONVERT(O793,"lbf","N")</f>
        <v>3546.1222716856705</v>
      </c>
      <c r="O793">
        <v>797.2</v>
      </c>
      <c r="P793">
        <f t="shared" si="12"/>
        <v>0.61992619926199266</v>
      </c>
    </row>
    <row r="794" spans="1:16" hidden="1" x14ac:dyDescent="0.25">
      <c r="A794">
        <v>0</v>
      </c>
      <c r="B794">
        <v>20000</v>
      </c>
      <c r="C794">
        <f>1.225 * (1 - 0.00000687559 * B794) ^ 4.2561</f>
        <v>0.65267221054298263</v>
      </c>
      <c r="D794">
        <f>E794*(SQRT($C$2/C794))</f>
        <v>219.19995777331309</v>
      </c>
      <c r="E794">
        <v>160</v>
      </c>
      <c r="F794">
        <v>1150</v>
      </c>
      <c r="G794">
        <v>500</v>
      </c>
      <c r="H794">
        <f>CONVERT(G794,"HP","kW")</f>
        <v>372.84993579113512</v>
      </c>
      <c r="I794">
        <v>0.80830000000000002</v>
      </c>
      <c r="J794">
        <v>1.4847999999999999</v>
      </c>
      <c r="K794">
        <v>0.63759999999999994</v>
      </c>
      <c r="L794">
        <v>8.3000000000000004E-2</v>
      </c>
      <c r="M794">
        <v>4.5199999999999997E-2</v>
      </c>
      <c r="N794">
        <f>CONVERT(O794,"lbf","N")</f>
        <v>2672.4915464485084</v>
      </c>
      <c r="O794">
        <v>600.79999999999995</v>
      </c>
      <c r="P794">
        <f t="shared" si="12"/>
        <v>0.54457831325301198</v>
      </c>
    </row>
    <row r="795" spans="1:16" hidden="1" x14ac:dyDescent="0.25">
      <c r="A795">
        <v>0</v>
      </c>
      <c r="B795">
        <v>20000</v>
      </c>
      <c r="C795">
        <f>1.225 * (1 - 0.00000687559 * B795) ^ 4.2561</f>
        <v>0.65267221054298263</v>
      </c>
      <c r="D795">
        <f>E795*(SQRT($C$2/C795))</f>
        <v>301.39994193830552</v>
      </c>
      <c r="E795">
        <v>220</v>
      </c>
      <c r="F795">
        <v>1150</v>
      </c>
      <c r="G795">
        <v>500</v>
      </c>
      <c r="H795">
        <f>CONVERT(G795,"HP","kW")</f>
        <v>372.84993579113512</v>
      </c>
      <c r="I795">
        <v>0.58040000000000003</v>
      </c>
      <c r="J795">
        <v>2.0415999999999999</v>
      </c>
      <c r="K795">
        <v>0.72109999999999996</v>
      </c>
      <c r="L795">
        <v>8.3000000000000004E-2</v>
      </c>
      <c r="M795">
        <v>2.3599999999999999E-2</v>
      </c>
      <c r="N795">
        <f>CONVERT(O795,"lbf","N")</f>
        <v>1395.851942868745</v>
      </c>
      <c r="O795">
        <v>313.8</v>
      </c>
      <c r="P795">
        <f t="shared" si="12"/>
        <v>0.28433734939759037</v>
      </c>
    </row>
    <row r="796" spans="1:16" hidden="1" x14ac:dyDescent="0.25">
      <c r="A796">
        <v>0</v>
      </c>
      <c r="B796">
        <v>20000</v>
      </c>
      <c r="C796">
        <f>1.225 * (1 - 0.00000687559 * B796) ^ 4.2561</f>
        <v>0.65267221054298263</v>
      </c>
      <c r="D796">
        <f>E796*(SQRT($C$2/C796))</f>
        <v>0</v>
      </c>
      <c r="E796">
        <v>0</v>
      </c>
      <c r="F796">
        <v>1150</v>
      </c>
      <c r="G796">
        <v>500</v>
      </c>
      <c r="H796">
        <f>CONVERT(G796,"HP","kW")</f>
        <v>372.84993579113512</v>
      </c>
      <c r="I796">
        <v>0</v>
      </c>
      <c r="J796">
        <v>0</v>
      </c>
      <c r="K796">
        <v>0.51870000000000005</v>
      </c>
      <c r="L796">
        <v>8.3099999999999993E-2</v>
      </c>
      <c r="M796">
        <v>0.18590000000000001</v>
      </c>
      <c r="N796">
        <f>CONVERT(O796,"lbf","N")</f>
        <v>10986.217745370383</v>
      </c>
      <c r="O796">
        <v>2469.8000000000002</v>
      </c>
      <c r="P796">
        <f t="shared" si="12"/>
        <v>2.2370637785800245</v>
      </c>
    </row>
    <row r="797" spans="1:16" hidden="1" x14ac:dyDescent="0.25">
      <c r="A797">
        <v>0</v>
      </c>
      <c r="B797">
        <v>20000</v>
      </c>
      <c r="C797">
        <f>1.225 * (1 - 0.00000687559 * B797) ^ 4.2561</f>
        <v>0.65267221054298263</v>
      </c>
      <c r="D797">
        <f>E797*(SQRT($C$2/C797))</f>
        <v>27.399994721664136</v>
      </c>
      <c r="E797">
        <v>20</v>
      </c>
      <c r="F797">
        <v>1150</v>
      </c>
      <c r="G797">
        <v>500</v>
      </c>
      <c r="H797">
        <f>CONVERT(G797,"HP","kW")</f>
        <v>372.84993579113512</v>
      </c>
      <c r="I797">
        <v>0.35780000000000001</v>
      </c>
      <c r="J797">
        <v>0.18559999999999999</v>
      </c>
      <c r="K797">
        <v>0.52529999999999999</v>
      </c>
      <c r="L797">
        <v>8.3099999999999993E-2</v>
      </c>
      <c r="M797">
        <v>0.16020000000000001</v>
      </c>
      <c r="N797">
        <f>CONVERT(O797,"lbf","N")</f>
        <v>9464.9259529512929</v>
      </c>
      <c r="O797">
        <v>2127.8000000000002</v>
      </c>
      <c r="P797">
        <f t="shared" si="12"/>
        <v>1.9277978339350184</v>
      </c>
    </row>
    <row r="798" spans="1:16" hidden="1" x14ac:dyDescent="0.25">
      <c r="A798">
        <v>0</v>
      </c>
      <c r="B798">
        <v>20000</v>
      </c>
      <c r="C798">
        <f>1.225 * (1 - 0.00000687559 * B798) ^ 4.2561</f>
        <v>0.65267221054298263</v>
      </c>
      <c r="D798">
        <f>E798*(SQRT($C$2/C798))</f>
        <v>54.799989443328272</v>
      </c>
      <c r="E798">
        <v>40</v>
      </c>
      <c r="F798">
        <v>1150</v>
      </c>
      <c r="G798">
        <v>500</v>
      </c>
      <c r="H798">
        <f>CONVERT(G798,"HP","kW")</f>
        <v>372.84993579113512</v>
      </c>
      <c r="I798">
        <v>0.59609999999999996</v>
      </c>
      <c r="J798">
        <v>0.37119999999999997</v>
      </c>
      <c r="K798">
        <v>0.53349999999999997</v>
      </c>
      <c r="L798">
        <v>8.3099999999999993E-2</v>
      </c>
      <c r="M798">
        <v>0.13339999999999999</v>
      </c>
      <c r="N798">
        <f>CONVERT(O798,"lbf","N")</f>
        <v>7884.027990887711</v>
      </c>
      <c r="O798">
        <v>1772.4</v>
      </c>
      <c r="P798">
        <f t="shared" si="12"/>
        <v>1.6052948255114321</v>
      </c>
    </row>
    <row r="799" spans="1:16" hidden="1" x14ac:dyDescent="0.25">
      <c r="A799">
        <v>0</v>
      </c>
      <c r="B799">
        <v>20000</v>
      </c>
      <c r="C799">
        <f>1.225 * (1 - 0.00000687559 * B799) ^ 4.2561</f>
        <v>0.65267221054298263</v>
      </c>
      <c r="D799">
        <f>E799*(SQRT($C$2/C799))</f>
        <v>82.199984164992401</v>
      </c>
      <c r="E799">
        <v>60</v>
      </c>
      <c r="F799">
        <v>1150</v>
      </c>
      <c r="G799">
        <v>500</v>
      </c>
      <c r="H799">
        <f>CONVERT(G799,"HP","kW")</f>
        <v>372.84993579113512</v>
      </c>
      <c r="I799">
        <v>0.72850000000000004</v>
      </c>
      <c r="J799">
        <v>0.55679999999999996</v>
      </c>
      <c r="K799">
        <v>0.54400000000000004</v>
      </c>
      <c r="L799">
        <v>8.3099999999999993E-2</v>
      </c>
      <c r="M799">
        <v>0.1087</v>
      </c>
      <c r="N799">
        <f>CONVERT(O799,"lbf","N")</f>
        <v>6422.7871902746365</v>
      </c>
      <c r="O799">
        <v>1443.9</v>
      </c>
      <c r="P799">
        <f t="shared" si="12"/>
        <v>1.3080625752105899</v>
      </c>
    </row>
    <row r="800" spans="1:16" hidden="1" x14ac:dyDescent="0.25">
      <c r="A800">
        <v>0</v>
      </c>
      <c r="B800">
        <v>20000</v>
      </c>
      <c r="C800">
        <f>1.225 * (1 - 0.00000687559 * B800) ^ 4.2561</f>
        <v>0.65267221054298263</v>
      </c>
      <c r="D800">
        <f>E800*(SQRT($C$2/C800))</f>
        <v>109.59997888665654</v>
      </c>
      <c r="E800">
        <v>80</v>
      </c>
      <c r="F800">
        <v>1150</v>
      </c>
      <c r="G800">
        <v>500</v>
      </c>
      <c r="H800">
        <f>CONVERT(G800,"HP","kW")</f>
        <v>372.84993579113512</v>
      </c>
      <c r="I800">
        <v>0.79410000000000003</v>
      </c>
      <c r="J800">
        <v>0.74239999999999995</v>
      </c>
      <c r="K800">
        <v>0.55720000000000003</v>
      </c>
      <c r="L800">
        <v>8.3099999999999993E-2</v>
      </c>
      <c r="M800">
        <v>8.8900000000000007E-2</v>
      </c>
      <c r="N800">
        <f>CONVERT(O800,"lbf","N")</f>
        <v>5251.570438976546</v>
      </c>
      <c r="O800">
        <v>1180.5999999999999</v>
      </c>
      <c r="P800">
        <f t="shared" si="12"/>
        <v>1.0697954271961494</v>
      </c>
    </row>
    <row r="801" spans="1:16" hidden="1" x14ac:dyDescent="0.25">
      <c r="A801">
        <v>0</v>
      </c>
      <c r="B801">
        <v>20000</v>
      </c>
      <c r="C801">
        <f>1.225 * (1 - 0.00000687559 * B801) ^ 4.2561</f>
        <v>0.65267221054298263</v>
      </c>
      <c r="D801">
        <f>E801*(SQRT($C$2/C801))</f>
        <v>136.99997360832069</v>
      </c>
      <c r="E801">
        <v>100</v>
      </c>
      <c r="F801">
        <v>1150</v>
      </c>
      <c r="G801">
        <v>500</v>
      </c>
      <c r="H801">
        <f>CONVERT(G801,"HP","kW")</f>
        <v>372.84993579113512</v>
      </c>
      <c r="I801">
        <v>0.82320000000000004</v>
      </c>
      <c r="J801">
        <v>0.92800000000000005</v>
      </c>
      <c r="K801">
        <v>0.57330000000000003</v>
      </c>
      <c r="L801">
        <v>8.3099999999999993E-2</v>
      </c>
      <c r="M801">
        <v>7.3700000000000002E-2</v>
      </c>
      <c r="N801">
        <f>CONVERT(O801,"lbf","N")</f>
        <v>4354.8089613400298</v>
      </c>
      <c r="O801">
        <v>979</v>
      </c>
      <c r="P801">
        <f t="shared" si="12"/>
        <v>0.88688327316486171</v>
      </c>
    </row>
    <row r="802" spans="1:16" hidden="1" x14ac:dyDescent="0.25">
      <c r="A802">
        <v>0</v>
      </c>
      <c r="B802">
        <v>20000</v>
      </c>
      <c r="C802">
        <f>1.225 * (1 - 0.00000687559 * B802) ^ 4.2561</f>
        <v>0.65267221054298263</v>
      </c>
      <c r="D802">
        <f>E802*(SQRT($C$2/C802))</f>
        <v>164.3999683299848</v>
      </c>
      <c r="E802">
        <v>120</v>
      </c>
      <c r="F802">
        <v>1150</v>
      </c>
      <c r="G802">
        <v>500</v>
      </c>
      <c r="H802">
        <f>CONVERT(G802,"HP","kW")</f>
        <v>372.84993579113512</v>
      </c>
      <c r="I802">
        <v>0.83179999999999998</v>
      </c>
      <c r="J802">
        <v>1.1135999999999999</v>
      </c>
      <c r="K802">
        <v>0.59219999999999995</v>
      </c>
      <c r="L802">
        <v>8.3099999999999993E-2</v>
      </c>
      <c r="M802">
        <v>6.2E-2</v>
      </c>
      <c r="N802">
        <f>CONVERT(O802,"lbf","N")</f>
        <v>3667.113899620756</v>
      </c>
      <c r="O802">
        <v>824.4</v>
      </c>
      <c r="P802">
        <f t="shared" si="12"/>
        <v>0.7460890493381469</v>
      </c>
    </row>
    <row r="803" spans="1:16" hidden="1" x14ac:dyDescent="0.25">
      <c r="A803">
        <v>0</v>
      </c>
      <c r="B803">
        <v>20000</v>
      </c>
      <c r="C803">
        <f>1.225 * (1 - 0.00000687559 * B803) ^ 4.2561</f>
        <v>0.65267221054298263</v>
      </c>
      <c r="D803">
        <f>E803*(SQRT($C$2/C803))</f>
        <v>191.79996305164894</v>
      </c>
      <c r="E803">
        <v>140</v>
      </c>
      <c r="F803">
        <v>1150</v>
      </c>
      <c r="G803">
        <v>500</v>
      </c>
      <c r="H803">
        <f>CONVERT(G803,"HP","kW")</f>
        <v>372.84993579113512</v>
      </c>
      <c r="I803">
        <v>0.82679999999999998</v>
      </c>
      <c r="J803">
        <v>1.2991999999999999</v>
      </c>
      <c r="K803">
        <v>0.61370000000000002</v>
      </c>
      <c r="L803">
        <v>8.3099999999999993E-2</v>
      </c>
      <c r="M803">
        <v>5.2900000000000003E-2</v>
      </c>
      <c r="N803">
        <f>CONVERT(O803,"lbf","N")</f>
        <v>3124.4308625589752</v>
      </c>
      <c r="O803">
        <v>702.4</v>
      </c>
      <c r="P803">
        <f t="shared" si="12"/>
        <v>0.63658243080625765</v>
      </c>
    </row>
    <row r="804" spans="1:16" hidden="1" x14ac:dyDescent="0.25">
      <c r="A804">
        <v>0</v>
      </c>
      <c r="B804">
        <v>20000</v>
      </c>
      <c r="C804">
        <f>1.225 * (1 - 0.00000687559 * B804) ^ 4.2561</f>
        <v>0.65267221054298263</v>
      </c>
      <c r="D804">
        <f>E804*(SQRT($C$2/C804))</f>
        <v>246.59995249497723</v>
      </c>
      <c r="E804">
        <v>180</v>
      </c>
      <c r="F804">
        <v>1150</v>
      </c>
      <c r="G804">
        <v>500</v>
      </c>
      <c r="H804">
        <f>CONVERT(G804,"HP","kW")</f>
        <v>372.84993579113512</v>
      </c>
      <c r="I804">
        <v>0.76980000000000004</v>
      </c>
      <c r="J804">
        <v>1.6704000000000001</v>
      </c>
      <c r="K804">
        <v>0.66359999999999997</v>
      </c>
      <c r="L804">
        <v>8.3099999999999993E-2</v>
      </c>
      <c r="M804">
        <v>3.8300000000000001E-2</v>
      </c>
      <c r="N804">
        <f>CONVERT(O804,"lbf","N")</f>
        <v>2262.3655135214904</v>
      </c>
      <c r="O804">
        <v>508.6</v>
      </c>
      <c r="P804">
        <f t="shared" si="12"/>
        <v>0.46089049338146815</v>
      </c>
    </row>
    <row r="805" spans="1:16" hidden="1" x14ac:dyDescent="0.25">
      <c r="A805">
        <v>0</v>
      </c>
      <c r="B805">
        <v>20000</v>
      </c>
      <c r="C805">
        <f>1.225 * (1 - 0.00000687559 * B805) ^ 4.2561</f>
        <v>0.65267221054298263</v>
      </c>
      <c r="D805">
        <f>E805*(SQRT($C$2/C805))</f>
        <v>273.99994721664137</v>
      </c>
      <c r="E805">
        <v>200</v>
      </c>
      <c r="F805">
        <v>1150</v>
      </c>
      <c r="G805">
        <v>500</v>
      </c>
      <c r="H805">
        <f>CONVERT(G805,"HP","kW")</f>
        <v>372.84993579113512</v>
      </c>
      <c r="I805">
        <v>0.70289999999999997</v>
      </c>
      <c r="J805">
        <v>1.8560000000000001</v>
      </c>
      <c r="K805">
        <v>0.6915</v>
      </c>
      <c r="L805">
        <v>8.3099999999999993E-2</v>
      </c>
      <c r="M805">
        <v>3.15E-2</v>
      </c>
      <c r="N805">
        <f>CONVERT(O805,"lbf","N")</f>
        <v>1859.3566351788891</v>
      </c>
      <c r="O805">
        <v>418</v>
      </c>
      <c r="P805">
        <f t="shared" si="12"/>
        <v>0.37906137184115529</v>
      </c>
    </row>
    <row r="806" spans="1:16" hidden="1" x14ac:dyDescent="0.25">
      <c r="A806">
        <v>0</v>
      </c>
      <c r="B806">
        <v>20000</v>
      </c>
      <c r="C806">
        <f>1.225 * (1 - 0.00000687559 * B806) ^ 4.2561</f>
        <v>0.65267221054298263</v>
      </c>
      <c r="D806">
        <f>E806*(SQRT($C$2/C806))</f>
        <v>328.7999366599696</v>
      </c>
      <c r="E806">
        <v>240</v>
      </c>
      <c r="F806">
        <v>1150</v>
      </c>
      <c r="G806">
        <v>500</v>
      </c>
      <c r="H806">
        <f>CONVERT(G806,"HP","kW")</f>
        <v>372.84993579113512</v>
      </c>
      <c r="I806">
        <v>0.40300000000000002</v>
      </c>
      <c r="J806">
        <v>2.2271999999999998</v>
      </c>
      <c r="K806">
        <v>0.75209999999999999</v>
      </c>
      <c r="L806">
        <v>8.3099999999999993E-2</v>
      </c>
      <c r="M806">
        <v>1.4999999999999999E-2</v>
      </c>
      <c r="N806">
        <f>CONVERT(O806,"lbf","N")</f>
        <v>888.30985656752182</v>
      </c>
      <c r="O806">
        <v>199.7</v>
      </c>
      <c r="P806">
        <f t="shared" si="12"/>
        <v>0.18050541516245489</v>
      </c>
    </row>
    <row r="807" spans="1:16" hidden="1" x14ac:dyDescent="0.25">
      <c r="A807">
        <v>0</v>
      </c>
      <c r="B807">
        <v>20000</v>
      </c>
      <c r="C807">
        <f>1.225 * (1 - 0.00000687559 * B807) ^ 4.2561</f>
        <v>0.65267221054298263</v>
      </c>
      <c r="D807">
        <f>E807*(SQRT($C$2/C807))</f>
        <v>356.19993138163375</v>
      </c>
      <c r="E807">
        <v>260</v>
      </c>
      <c r="F807">
        <v>1150</v>
      </c>
      <c r="G807">
        <v>500</v>
      </c>
      <c r="H807">
        <f>CONVERT(G807,"HP","kW")</f>
        <v>372.84993579113512</v>
      </c>
      <c r="I807">
        <v>0.13400000000000001</v>
      </c>
      <c r="J807">
        <v>2.4127999999999998</v>
      </c>
      <c r="K807">
        <v>0.78449999999999998</v>
      </c>
      <c r="L807">
        <v>8.3099999999999993E-2</v>
      </c>
      <c r="M807">
        <v>4.5999999999999999E-3</v>
      </c>
      <c r="N807">
        <f>CONVERT(O807,"lbf","N")</f>
        <v>272.67598501546865</v>
      </c>
      <c r="O807">
        <v>61.3</v>
      </c>
      <c r="P807">
        <f t="shared" si="12"/>
        <v>5.5354993983152828E-2</v>
      </c>
    </row>
    <row r="808" spans="1:16" hidden="1" x14ac:dyDescent="0.25">
      <c r="A808">
        <v>0</v>
      </c>
      <c r="B808">
        <v>25000</v>
      </c>
      <c r="C808">
        <f>1.225 * (1 - 0.00000687559 * B808) ^ 4.2561</f>
        <v>0.54892259437885793</v>
      </c>
      <c r="D808">
        <f>E808*(SQRT($C$2/C808))</f>
        <v>149.38689160910337</v>
      </c>
      <c r="E808">
        <v>100</v>
      </c>
      <c r="F808">
        <v>1215</v>
      </c>
      <c r="G808">
        <v>500</v>
      </c>
      <c r="H808">
        <f>CONVERT(G808,"HP","kW")</f>
        <v>372.84993579113512</v>
      </c>
      <c r="I808">
        <v>0.81730000000000003</v>
      </c>
      <c r="J808">
        <v>0.95779999999999998</v>
      </c>
      <c r="K808">
        <v>0.62119999999999997</v>
      </c>
      <c r="L808">
        <v>8.3699999999999997E-2</v>
      </c>
      <c r="M808">
        <v>7.1499999999999994E-2</v>
      </c>
      <c r="N808">
        <f>CONVERT(O808,"lbf","N")</f>
        <v>3965.1447478432096</v>
      </c>
      <c r="O808">
        <v>891.4</v>
      </c>
      <c r="P808">
        <f t="shared" si="12"/>
        <v>0.85424133811230585</v>
      </c>
    </row>
    <row r="809" spans="1:16" hidden="1" x14ac:dyDescent="0.25">
      <c r="A809">
        <v>0</v>
      </c>
      <c r="B809">
        <v>25000</v>
      </c>
      <c r="C809">
        <f>1.225 * (1 - 0.00000687559 * B809) ^ 4.2561</f>
        <v>0.54892259437885793</v>
      </c>
      <c r="D809">
        <f>E809*(SQRT($C$2/C809))</f>
        <v>179.26426993092403</v>
      </c>
      <c r="E809">
        <v>120</v>
      </c>
      <c r="F809">
        <v>1215</v>
      </c>
      <c r="G809">
        <v>500</v>
      </c>
      <c r="H809">
        <f>CONVERT(G809,"HP","kW")</f>
        <v>372.84993579113512</v>
      </c>
      <c r="I809">
        <v>0.8145</v>
      </c>
      <c r="J809">
        <v>1.1493</v>
      </c>
      <c r="K809">
        <v>0.64270000000000005</v>
      </c>
      <c r="L809">
        <v>8.3699999999999997E-2</v>
      </c>
      <c r="M809">
        <v>5.9299999999999999E-2</v>
      </c>
      <c r="N809">
        <f>CONVERT(O809,"lbf","N")</f>
        <v>3293.018461777348</v>
      </c>
      <c r="O809">
        <v>740.3</v>
      </c>
      <c r="P809">
        <f t="shared" si="12"/>
        <v>0.7084826762246117</v>
      </c>
    </row>
    <row r="810" spans="1:16" hidden="1" x14ac:dyDescent="0.25">
      <c r="A810">
        <v>0</v>
      </c>
      <c r="B810">
        <v>25000</v>
      </c>
      <c r="C810">
        <f>1.225 * (1 - 0.00000687559 * B810) ^ 4.2561</f>
        <v>0.54892259437885793</v>
      </c>
      <c r="D810">
        <f>E810*(SQRT($C$2/C810))</f>
        <v>239.01902657456537</v>
      </c>
      <c r="E810">
        <v>160</v>
      </c>
      <c r="F810">
        <v>1215</v>
      </c>
      <c r="G810">
        <v>500</v>
      </c>
      <c r="H810">
        <f>CONVERT(G810,"HP","kW")</f>
        <v>372.84993579113512</v>
      </c>
      <c r="I810">
        <v>0.74299999999999999</v>
      </c>
      <c r="J810">
        <v>1.5324</v>
      </c>
      <c r="K810">
        <v>0.69440000000000002</v>
      </c>
      <c r="L810">
        <v>8.3699999999999997E-2</v>
      </c>
      <c r="M810">
        <v>4.0599999999999997E-2</v>
      </c>
      <c r="N810">
        <f>CONVERT(O810,"lbf","N")</f>
        <v>2253.0242481294431</v>
      </c>
      <c r="O810">
        <v>506.5</v>
      </c>
      <c r="P810">
        <f t="shared" si="12"/>
        <v>0.48506571087216249</v>
      </c>
    </row>
    <row r="811" spans="1:16" hidden="1" x14ac:dyDescent="0.25">
      <c r="A811">
        <v>0</v>
      </c>
      <c r="B811">
        <v>25000</v>
      </c>
      <c r="C811">
        <f>1.225 * (1 - 0.00000687559 * B811) ^ 4.2561</f>
        <v>0.54892259437885793</v>
      </c>
      <c r="D811">
        <f>E811*(SQRT($C$2/C811))</f>
        <v>268.89640489638606</v>
      </c>
      <c r="E811">
        <v>180</v>
      </c>
      <c r="F811">
        <v>1215</v>
      </c>
      <c r="G811">
        <v>500</v>
      </c>
      <c r="H811">
        <f>CONVERT(G811,"HP","kW")</f>
        <v>372.84993579113512</v>
      </c>
      <c r="I811">
        <v>0.64749999999999996</v>
      </c>
      <c r="J811">
        <v>1.724</v>
      </c>
      <c r="K811">
        <v>0.72399999999999998</v>
      </c>
      <c r="L811">
        <v>8.3699999999999997E-2</v>
      </c>
      <c r="M811">
        <v>3.15E-2</v>
      </c>
      <c r="N811">
        <f>CONVERT(O811,"lbf","N")</f>
        <v>1745.4821618282201</v>
      </c>
      <c r="O811">
        <v>392.4</v>
      </c>
      <c r="P811">
        <f t="shared" si="12"/>
        <v>0.37634408602150538</v>
      </c>
    </row>
    <row r="812" spans="1:16" hidden="1" x14ac:dyDescent="0.25">
      <c r="A812">
        <v>0</v>
      </c>
      <c r="B812">
        <v>25000</v>
      </c>
      <c r="C812">
        <f>1.225 * (1 - 0.00000687559 * B812) ^ 4.2561</f>
        <v>0.54892259437885793</v>
      </c>
      <c r="D812">
        <f>E812*(SQRT($C$2/C812))</f>
        <v>298.77378321820675</v>
      </c>
      <c r="E812">
        <v>200</v>
      </c>
      <c r="F812">
        <v>1215</v>
      </c>
      <c r="G812">
        <v>500</v>
      </c>
      <c r="H812">
        <f>CONVERT(G812,"HP","kW")</f>
        <v>372.84993579113512</v>
      </c>
      <c r="I812">
        <v>0.52</v>
      </c>
      <c r="J812">
        <v>1.9155</v>
      </c>
      <c r="K812">
        <v>0.75560000000000005</v>
      </c>
      <c r="L812">
        <v>8.3699999999999997E-2</v>
      </c>
      <c r="M812">
        <v>2.2700000000000001E-2</v>
      </c>
      <c r="N812">
        <f>CONVERT(O812,"lbf","N")</f>
        <v>1261.5156500878779</v>
      </c>
      <c r="O812">
        <v>283.60000000000002</v>
      </c>
      <c r="P812">
        <f t="shared" si="12"/>
        <v>0.2712066905615293</v>
      </c>
    </row>
    <row r="813" spans="1:16" hidden="1" x14ac:dyDescent="0.25">
      <c r="A813">
        <v>0</v>
      </c>
      <c r="B813">
        <v>25000</v>
      </c>
      <c r="C813">
        <f>1.225 * (1 - 0.00000687559 * B813) ^ 4.2561</f>
        <v>0.54892259437885793</v>
      </c>
      <c r="D813">
        <f>E813*(SQRT($C$2/C813))</f>
        <v>328.65116154002743</v>
      </c>
      <c r="E813">
        <v>220</v>
      </c>
      <c r="F813">
        <v>1215</v>
      </c>
      <c r="G813">
        <v>500</v>
      </c>
      <c r="H813">
        <f>CONVERT(G813,"HP","kW")</f>
        <v>372.84993579113512</v>
      </c>
      <c r="I813">
        <v>0.32729999999999998</v>
      </c>
      <c r="J813">
        <v>2.1071</v>
      </c>
      <c r="K813">
        <v>0.78910000000000002</v>
      </c>
      <c r="L813">
        <v>8.3699999999999997E-2</v>
      </c>
      <c r="M813">
        <v>1.2999999999999999E-2</v>
      </c>
      <c r="N813">
        <f>CONVERT(O813,"lbf","N")</f>
        <v>721.94636815677927</v>
      </c>
      <c r="O813">
        <v>162.30000000000001</v>
      </c>
      <c r="P813">
        <f t="shared" si="12"/>
        <v>0.15531660692951016</v>
      </c>
    </row>
    <row r="814" spans="1:16" hidden="1" x14ac:dyDescent="0.25">
      <c r="A814">
        <v>0</v>
      </c>
      <c r="B814">
        <v>25000</v>
      </c>
      <c r="C814">
        <f>1.225 * (1 - 0.00000687559 * B814) ^ 4.2561</f>
        <v>0.54892259437885793</v>
      </c>
      <c r="D814">
        <f>E814*(SQRT($C$2/C814))</f>
        <v>358.52853986184806</v>
      </c>
      <c r="E814">
        <v>240</v>
      </c>
      <c r="F814">
        <v>1215</v>
      </c>
      <c r="G814">
        <v>500</v>
      </c>
      <c r="H814">
        <f>CONVERT(G814,"HP","kW")</f>
        <v>372.84993579113512</v>
      </c>
      <c r="I814">
        <v>7.9500000000000001E-2</v>
      </c>
      <c r="J814">
        <v>2.2986</v>
      </c>
      <c r="K814">
        <v>0.82430000000000003</v>
      </c>
      <c r="L814">
        <v>8.3699999999999997E-2</v>
      </c>
      <c r="M814">
        <v>2.8999999999999998E-3</v>
      </c>
      <c r="N814">
        <f>CONVERT(O814,"lbf","N")</f>
        <v>160.58080031090407</v>
      </c>
      <c r="O814">
        <v>36.1</v>
      </c>
      <c r="P814">
        <f t="shared" si="12"/>
        <v>3.4647550776583033E-2</v>
      </c>
    </row>
    <row r="815" spans="1:16" hidden="1" x14ac:dyDescent="0.25">
      <c r="A815">
        <v>0</v>
      </c>
      <c r="B815">
        <v>25000</v>
      </c>
      <c r="C815">
        <f>1.225 * (1 - 0.00000687559 * B815) ^ 4.2561</f>
        <v>0.54892259437885793</v>
      </c>
      <c r="D815">
        <f>E815*(SQRT($C$2/C815))</f>
        <v>388.40591818366875</v>
      </c>
      <c r="E815">
        <v>260</v>
      </c>
      <c r="F815">
        <v>1215</v>
      </c>
      <c r="G815">
        <v>500</v>
      </c>
      <c r="H815">
        <f>CONVERT(G815,"HP","kW")</f>
        <v>372.84993579113512</v>
      </c>
      <c r="I815">
        <v>-0.39200000000000002</v>
      </c>
      <c r="J815">
        <v>2.4902000000000002</v>
      </c>
      <c r="K815">
        <v>0.86080000000000001</v>
      </c>
      <c r="L815">
        <v>8.3699999999999997E-2</v>
      </c>
      <c r="M815">
        <v>-1.32E-2</v>
      </c>
      <c r="N815">
        <f>CONVERT(O815,"lbf","N")</f>
        <v>-731.73245571035216</v>
      </c>
      <c r="O815">
        <v>-164.5</v>
      </c>
      <c r="P815">
        <f t="shared" si="12"/>
        <v>-0.15770609318996417</v>
      </c>
    </row>
    <row r="816" spans="1:16" hidden="1" x14ac:dyDescent="0.25">
      <c r="A816">
        <v>0</v>
      </c>
      <c r="B816">
        <v>25000</v>
      </c>
      <c r="C816">
        <f>1.225 * (1 - 0.00000687559 * B816) ^ 4.2561</f>
        <v>0.54892259437885793</v>
      </c>
      <c r="D816">
        <f>E816*(SQRT($C$2/C816))</f>
        <v>0</v>
      </c>
      <c r="E816">
        <v>0</v>
      </c>
      <c r="F816">
        <v>1215</v>
      </c>
      <c r="G816">
        <v>500</v>
      </c>
      <c r="H816">
        <f>CONVERT(G816,"HP","kW")</f>
        <v>372.84993579113512</v>
      </c>
      <c r="I816">
        <v>0</v>
      </c>
      <c r="J816">
        <v>0</v>
      </c>
      <c r="K816">
        <v>0.55910000000000004</v>
      </c>
      <c r="L816">
        <v>8.3799999999999999E-2</v>
      </c>
      <c r="M816">
        <v>0.18640000000000001</v>
      </c>
      <c r="N816">
        <f>CONVERT(O816,"lbf","N")</f>
        <v>10340.780788996084</v>
      </c>
      <c r="O816">
        <v>2324.6999999999998</v>
      </c>
      <c r="P816">
        <f t="shared" si="12"/>
        <v>2.2243436754176611</v>
      </c>
    </row>
    <row r="817" spans="1:16" hidden="1" x14ac:dyDescent="0.25">
      <c r="A817">
        <v>0</v>
      </c>
      <c r="B817">
        <v>25000</v>
      </c>
      <c r="C817">
        <f>1.225 * (1 - 0.00000687559 * B817) ^ 4.2561</f>
        <v>0.54892259437885793</v>
      </c>
      <c r="D817">
        <f>E817*(SQRT($C$2/C817))</f>
        <v>29.877378321820672</v>
      </c>
      <c r="E817">
        <v>20</v>
      </c>
      <c r="F817">
        <v>1215</v>
      </c>
      <c r="G817">
        <v>500</v>
      </c>
      <c r="H817">
        <f>CONVERT(G817,"HP","kW")</f>
        <v>372.84993579113512</v>
      </c>
      <c r="I817">
        <v>0.36599999999999999</v>
      </c>
      <c r="J817">
        <v>0.19159999999999999</v>
      </c>
      <c r="K817">
        <v>0.5665</v>
      </c>
      <c r="L817">
        <v>8.3799999999999999E-2</v>
      </c>
      <c r="M817">
        <v>0.16009999999999999</v>
      </c>
      <c r="N817">
        <f>CONVERT(O817,"lbf","N")</f>
        <v>8878.2055218984333</v>
      </c>
      <c r="O817">
        <v>1995.9</v>
      </c>
      <c r="P817">
        <f t="shared" si="12"/>
        <v>1.9105011933174223</v>
      </c>
    </row>
    <row r="818" spans="1:16" hidden="1" x14ac:dyDescent="0.25">
      <c r="A818">
        <v>0</v>
      </c>
      <c r="B818">
        <v>25000</v>
      </c>
      <c r="C818">
        <f>1.225 * (1 - 0.00000687559 * B818) ^ 4.2561</f>
        <v>0.54892259437885793</v>
      </c>
      <c r="D818">
        <f>E818*(SQRT($C$2/C818))</f>
        <v>59.754756643641343</v>
      </c>
      <c r="E818">
        <v>40</v>
      </c>
      <c r="F818">
        <v>1215</v>
      </c>
      <c r="G818">
        <v>500</v>
      </c>
      <c r="H818">
        <f>CONVERT(G818,"HP","kW")</f>
        <v>372.84993579113512</v>
      </c>
      <c r="I818">
        <v>0.60580000000000001</v>
      </c>
      <c r="J818">
        <v>0.3831</v>
      </c>
      <c r="K818">
        <v>0.57579999999999998</v>
      </c>
      <c r="L818">
        <v>8.3799999999999999E-2</v>
      </c>
      <c r="M818">
        <v>0.13250000000000001</v>
      </c>
      <c r="N818">
        <f>CONVERT(O818,"lbf","N")</f>
        <v>7348.0172862488207</v>
      </c>
      <c r="O818">
        <v>1651.9</v>
      </c>
      <c r="P818">
        <f t="shared" si="12"/>
        <v>1.5811455847255371</v>
      </c>
    </row>
    <row r="819" spans="1:16" hidden="1" x14ac:dyDescent="0.25">
      <c r="A819">
        <v>0</v>
      </c>
      <c r="B819">
        <v>25000</v>
      </c>
      <c r="C819">
        <f>1.225 * (1 - 0.00000687559 * B819) ^ 4.2561</f>
        <v>0.54892259437885793</v>
      </c>
      <c r="D819">
        <f>E819*(SQRT($C$2/C819))</f>
        <v>89.632134965462015</v>
      </c>
      <c r="E819">
        <v>60</v>
      </c>
      <c r="F819">
        <v>1215</v>
      </c>
      <c r="G819">
        <v>500</v>
      </c>
      <c r="H819">
        <f>CONVERT(G819,"HP","kW")</f>
        <v>372.84993579113512</v>
      </c>
      <c r="I819">
        <v>0.7349</v>
      </c>
      <c r="J819">
        <v>0.57469999999999999</v>
      </c>
      <c r="K819">
        <v>0.5877</v>
      </c>
      <c r="L819">
        <v>8.3799999999999999E-2</v>
      </c>
      <c r="M819">
        <v>0.1072</v>
      </c>
      <c r="N819">
        <f>CONVERT(O819,"lbf","N")</f>
        <v>5942.3792558265031</v>
      </c>
      <c r="O819">
        <v>1335.9</v>
      </c>
      <c r="P819">
        <f t="shared" si="12"/>
        <v>1.2792362768496421</v>
      </c>
    </row>
    <row r="820" spans="1:16" hidden="1" x14ac:dyDescent="0.25">
      <c r="A820">
        <v>0</v>
      </c>
      <c r="B820">
        <v>25000</v>
      </c>
      <c r="C820">
        <f>1.225 * (1 - 0.00000687559 * B820) ^ 4.2561</f>
        <v>0.54892259437885793</v>
      </c>
      <c r="D820">
        <f>E820*(SQRT($C$2/C820))</f>
        <v>119.50951328728269</v>
      </c>
      <c r="E820">
        <v>80</v>
      </c>
      <c r="F820">
        <v>1215</v>
      </c>
      <c r="G820">
        <v>500</v>
      </c>
      <c r="H820">
        <f>CONVERT(G820,"HP","kW")</f>
        <v>372.84993579113512</v>
      </c>
      <c r="I820">
        <v>0.79569999999999996</v>
      </c>
      <c r="J820">
        <v>0.76619999999999999</v>
      </c>
      <c r="K820">
        <v>0.6028</v>
      </c>
      <c r="L820">
        <v>8.3799999999999999E-2</v>
      </c>
      <c r="M820">
        <v>8.6999999999999994E-2</v>
      </c>
      <c r="N820">
        <f>CONVERT(O820,"lbf","N")</f>
        <v>4825.8756303961172</v>
      </c>
      <c r="O820">
        <v>1084.9000000000001</v>
      </c>
      <c r="P820">
        <f t="shared" si="12"/>
        <v>1.0381861575178997</v>
      </c>
    </row>
    <row r="821" spans="1:16" hidden="1" x14ac:dyDescent="0.25">
      <c r="A821">
        <v>0</v>
      </c>
      <c r="B821">
        <v>25000</v>
      </c>
      <c r="C821">
        <f>1.225 * (1 - 0.00000687559 * B821) ^ 4.2561</f>
        <v>0.54892259437885793</v>
      </c>
      <c r="D821">
        <f>E821*(SQRT($C$2/C821))</f>
        <v>209.14164825274472</v>
      </c>
      <c r="E821">
        <v>140</v>
      </c>
      <c r="F821">
        <v>1215</v>
      </c>
      <c r="G821">
        <v>500</v>
      </c>
      <c r="H821">
        <f>CONVERT(G821,"HP","kW")</f>
        <v>372.84993579113512</v>
      </c>
      <c r="I821">
        <v>0.79249999999999998</v>
      </c>
      <c r="J821">
        <v>1.3409</v>
      </c>
      <c r="K821">
        <v>0.6673</v>
      </c>
      <c r="L821">
        <v>8.3799999999999999E-2</v>
      </c>
      <c r="M821">
        <v>4.9500000000000002E-2</v>
      </c>
      <c r="N821">
        <f>CONVERT(O821,"lbf","N")</f>
        <v>2746.3320252618323</v>
      </c>
      <c r="O821">
        <v>617.4</v>
      </c>
      <c r="P821">
        <f t="shared" si="12"/>
        <v>0.59069212410501193</v>
      </c>
    </row>
    <row r="822" spans="1:16" hidden="1" x14ac:dyDescent="0.25">
      <c r="A822">
        <v>0</v>
      </c>
      <c r="B822">
        <v>5000</v>
      </c>
      <c r="C822">
        <f>1.225 * (1 - 0.00000687559 * B822) ^ 4.2561</f>
        <v>1.0555380742846066</v>
      </c>
      <c r="D822">
        <f>E822*(SQRT($C$2/C822))</f>
        <v>237.00296186700291</v>
      </c>
      <c r="E822">
        <v>220</v>
      </c>
      <c r="F822">
        <v>1215</v>
      </c>
      <c r="G822">
        <v>1000</v>
      </c>
      <c r="H822">
        <f>CONVERT(G822,"HP","kW")</f>
        <v>745.69987158227025</v>
      </c>
      <c r="I822">
        <v>0.81520000000000004</v>
      </c>
      <c r="J822">
        <v>1.5195000000000001</v>
      </c>
      <c r="K822">
        <v>0.64129999999999998</v>
      </c>
      <c r="L822">
        <v>8.6999999999999994E-2</v>
      </c>
      <c r="M822">
        <v>4.6699999999999998E-2</v>
      </c>
      <c r="N822">
        <f>CONVERT(O822,"lbf","N")</f>
        <v>4986.0116085454956</v>
      </c>
      <c r="O822">
        <v>1120.9000000000001</v>
      </c>
      <c r="P822">
        <f t="shared" si="12"/>
        <v>0.5367816091954023</v>
      </c>
    </row>
    <row r="823" spans="1:16" hidden="1" x14ac:dyDescent="0.25">
      <c r="A823">
        <v>0</v>
      </c>
      <c r="B823">
        <v>5000</v>
      </c>
      <c r="C823">
        <f>1.225 * (1 - 0.00000687559 * B823) ^ 4.2561</f>
        <v>1.0555380742846066</v>
      </c>
      <c r="D823">
        <f>E823*(SQRT($C$2/C823))</f>
        <v>0</v>
      </c>
      <c r="E823">
        <v>0</v>
      </c>
      <c r="F823">
        <v>1215</v>
      </c>
      <c r="G823">
        <v>1000</v>
      </c>
      <c r="H823">
        <f>CONVERT(G823,"HP","kW")</f>
        <v>745.69987158227025</v>
      </c>
      <c r="I823">
        <v>0</v>
      </c>
      <c r="J823">
        <v>0</v>
      </c>
      <c r="K823">
        <v>0.51749999999999996</v>
      </c>
      <c r="L823">
        <v>8.7099999999999997E-2</v>
      </c>
      <c r="M823">
        <v>0.192</v>
      </c>
      <c r="N823">
        <f>CONVERT(O823,"lbf","N")</f>
        <v>20486.284649082234</v>
      </c>
      <c r="O823">
        <v>4605.5</v>
      </c>
      <c r="P823">
        <f t="shared" si="12"/>
        <v>2.204362801377727</v>
      </c>
    </row>
    <row r="824" spans="1:16" hidden="1" x14ac:dyDescent="0.25">
      <c r="A824">
        <v>0</v>
      </c>
      <c r="B824">
        <v>5000</v>
      </c>
      <c r="C824">
        <f>1.225 * (1 - 0.00000687559 * B824) ^ 4.2561</f>
        <v>1.0555380742846066</v>
      </c>
      <c r="D824">
        <f>E824*(SQRT($C$2/C824))</f>
        <v>21.545723806091175</v>
      </c>
      <c r="E824">
        <v>20</v>
      </c>
      <c r="F824">
        <v>1215</v>
      </c>
      <c r="G824">
        <v>1000</v>
      </c>
      <c r="H824">
        <f>CONVERT(G824,"HP","kW")</f>
        <v>745.69987158227025</v>
      </c>
      <c r="I824">
        <v>0.27379999999999999</v>
      </c>
      <c r="J824">
        <v>0.1381</v>
      </c>
      <c r="K824">
        <v>0.52239999999999998</v>
      </c>
      <c r="L824">
        <v>8.7099999999999997E-2</v>
      </c>
      <c r="M824">
        <v>0.17269999999999999</v>
      </c>
      <c r="N824">
        <f>CONVERT(O824,"lbf","N")</f>
        <v>18418.30642014763</v>
      </c>
      <c r="O824">
        <v>4140.6000000000004</v>
      </c>
      <c r="P824">
        <f t="shared" si="12"/>
        <v>1.9827784156142365</v>
      </c>
    </row>
    <row r="825" spans="1:16" hidden="1" x14ac:dyDescent="0.25">
      <c r="A825">
        <v>0</v>
      </c>
      <c r="B825">
        <v>5000</v>
      </c>
      <c r="C825">
        <f>1.225 * (1 - 0.00000687559 * B825) ^ 4.2561</f>
        <v>1.0555380742846066</v>
      </c>
      <c r="D825">
        <f>E825*(SQRT($C$2/C825))</f>
        <v>43.09144761218235</v>
      </c>
      <c r="E825">
        <v>40</v>
      </c>
      <c r="F825">
        <v>1215</v>
      </c>
      <c r="G825">
        <v>1000</v>
      </c>
      <c r="H825">
        <f>CONVERT(G825,"HP","kW")</f>
        <v>745.69987158227025</v>
      </c>
      <c r="I825">
        <v>0.48499999999999999</v>
      </c>
      <c r="J825">
        <v>0.27629999999999999</v>
      </c>
      <c r="K825">
        <v>0.52810000000000001</v>
      </c>
      <c r="L825">
        <v>8.7099999999999997E-2</v>
      </c>
      <c r="M825">
        <v>0.15290000000000001</v>
      </c>
      <c r="N825">
        <f>CONVERT(O825,"lbf","N")</f>
        <v>16313.407951806359</v>
      </c>
      <c r="O825">
        <v>3667.4</v>
      </c>
      <c r="P825">
        <f t="shared" si="12"/>
        <v>1.7554535017221586</v>
      </c>
    </row>
    <row r="826" spans="1:16" hidden="1" x14ac:dyDescent="0.25">
      <c r="A826">
        <v>0</v>
      </c>
      <c r="B826">
        <v>5000</v>
      </c>
      <c r="C826">
        <f>1.225 * (1 - 0.00000687559 * B826) ^ 4.2561</f>
        <v>1.0555380742846066</v>
      </c>
      <c r="D826">
        <f>E826*(SQRT($C$2/C826))</f>
        <v>64.637171418273525</v>
      </c>
      <c r="E826">
        <v>60</v>
      </c>
      <c r="F826">
        <v>1215</v>
      </c>
      <c r="G826">
        <v>1000</v>
      </c>
      <c r="H826">
        <f>CONVERT(G826,"HP","kW")</f>
        <v>745.69987158227025</v>
      </c>
      <c r="I826">
        <v>0.63180000000000003</v>
      </c>
      <c r="J826">
        <v>0.41439999999999999</v>
      </c>
      <c r="K826">
        <v>0.53480000000000005</v>
      </c>
      <c r="L826">
        <v>8.7099999999999997E-2</v>
      </c>
      <c r="M826">
        <v>0.1328</v>
      </c>
      <c r="N826">
        <f>CONVERT(O826,"lbf","N")</f>
        <v>14168.475488927743</v>
      </c>
      <c r="O826">
        <v>3185.2</v>
      </c>
      <c r="P826">
        <f t="shared" si="12"/>
        <v>1.5246842709529278</v>
      </c>
    </row>
    <row r="827" spans="1:16" hidden="1" x14ac:dyDescent="0.25">
      <c r="A827">
        <v>0</v>
      </c>
      <c r="B827">
        <v>5000</v>
      </c>
      <c r="C827">
        <f>1.225 * (1 - 0.00000687559 * B827) ^ 4.2561</f>
        <v>1.0555380742846066</v>
      </c>
      <c r="D827">
        <f>E827*(SQRT($C$2/C827))</f>
        <v>86.1828952243647</v>
      </c>
      <c r="E827">
        <v>80</v>
      </c>
      <c r="F827">
        <v>1215</v>
      </c>
      <c r="G827">
        <v>1000</v>
      </c>
      <c r="H827">
        <f>CONVERT(G827,"HP","kW")</f>
        <v>745.69987158227025</v>
      </c>
      <c r="I827">
        <v>0.72560000000000002</v>
      </c>
      <c r="J827">
        <v>0.55259999999999998</v>
      </c>
      <c r="K827">
        <v>0.54279999999999995</v>
      </c>
      <c r="L827">
        <v>8.7099999999999997E-2</v>
      </c>
      <c r="M827">
        <v>0.1144</v>
      </c>
      <c r="N827">
        <f>CONVERT(O827,"lbf","N")</f>
        <v>12204.140823628706</v>
      </c>
      <c r="O827">
        <v>2743.6</v>
      </c>
      <c r="P827">
        <f t="shared" si="12"/>
        <v>1.3134328358208955</v>
      </c>
    </row>
    <row r="828" spans="1:16" hidden="1" x14ac:dyDescent="0.25">
      <c r="A828">
        <v>0</v>
      </c>
      <c r="B828">
        <v>5000</v>
      </c>
      <c r="C828">
        <f>1.225 * (1 - 0.00000687559 * B828) ^ 4.2561</f>
        <v>1.0555380742846066</v>
      </c>
      <c r="D828">
        <f>E828*(SQRT($C$2/C828))</f>
        <v>107.72861903045587</v>
      </c>
      <c r="E828">
        <v>100</v>
      </c>
      <c r="F828">
        <v>1215</v>
      </c>
      <c r="G828">
        <v>1000</v>
      </c>
      <c r="H828">
        <f>CONVERT(G828,"HP","kW")</f>
        <v>745.69987158227025</v>
      </c>
      <c r="I828">
        <v>0.78259999999999996</v>
      </c>
      <c r="J828">
        <v>0.69069999999999998</v>
      </c>
      <c r="K828">
        <v>0.55230000000000001</v>
      </c>
      <c r="L828">
        <v>8.7099999999999997E-2</v>
      </c>
      <c r="M828">
        <v>9.8699999999999996E-2</v>
      </c>
      <c r="N828">
        <f>CONVERT(O828,"lbf","N")</f>
        <v>10529.830207644654</v>
      </c>
      <c r="O828">
        <v>2367.1999999999998</v>
      </c>
      <c r="P828">
        <f t="shared" si="12"/>
        <v>1.1331802525832377</v>
      </c>
    </row>
    <row r="829" spans="1:16" hidden="1" x14ac:dyDescent="0.25">
      <c r="A829">
        <v>0</v>
      </c>
      <c r="B829">
        <v>5000</v>
      </c>
      <c r="C829">
        <f>1.225 * (1 - 0.00000687559 * B829) ^ 4.2561</f>
        <v>1.0555380742846066</v>
      </c>
      <c r="D829">
        <f>E829*(SQRT($C$2/C829))</f>
        <v>129.27434283654705</v>
      </c>
      <c r="E829">
        <v>120</v>
      </c>
      <c r="F829">
        <v>1215</v>
      </c>
      <c r="G829">
        <v>1000</v>
      </c>
      <c r="H829">
        <f>CONVERT(G829,"HP","kW")</f>
        <v>745.69987158227025</v>
      </c>
      <c r="I829">
        <v>0.81499999999999995</v>
      </c>
      <c r="J829">
        <v>0.82879999999999998</v>
      </c>
      <c r="K829">
        <v>0.56340000000000001</v>
      </c>
      <c r="L829">
        <v>8.7099999999999997E-2</v>
      </c>
      <c r="M829">
        <v>8.5699999999999998E-2</v>
      </c>
      <c r="N829">
        <f>CONVERT(O829,"lbf","N")</f>
        <v>9138.8713085526979</v>
      </c>
      <c r="O829">
        <v>2054.5</v>
      </c>
      <c r="P829">
        <f t="shared" si="12"/>
        <v>0.98392652123995405</v>
      </c>
    </row>
    <row r="830" spans="1:16" hidden="1" x14ac:dyDescent="0.25">
      <c r="A830">
        <v>0</v>
      </c>
      <c r="B830">
        <v>5000</v>
      </c>
      <c r="C830">
        <f>1.225 * (1 - 0.00000687559 * B830) ^ 4.2561</f>
        <v>1.0555380742846066</v>
      </c>
      <c r="D830">
        <f>E830*(SQRT($C$2/C830))</f>
        <v>172.3657904487294</v>
      </c>
      <c r="E830">
        <v>160</v>
      </c>
      <c r="F830">
        <v>1215</v>
      </c>
      <c r="G830">
        <v>1000</v>
      </c>
      <c r="H830">
        <f>CONVERT(G830,"HP","kW")</f>
        <v>745.69987158227025</v>
      </c>
      <c r="I830">
        <v>0.83889999999999998</v>
      </c>
      <c r="J830">
        <v>1.1051</v>
      </c>
      <c r="K830">
        <v>0.59030000000000005</v>
      </c>
      <c r="L830">
        <v>8.7099999999999997E-2</v>
      </c>
      <c r="M830">
        <v>6.6100000000000006E-2</v>
      </c>
      <c r="N830">
        <f>CONVERT(O830,"lbf","N")</f>
        <v>7054.8794818031538</v>
      </c>
      <c r="O830">
        <v>1586</v>
      </c>
      <c r="P830">
        <f t="shared" si="12"/>
        <v>0.75889781859931127</v>
      </c>
    </row>
    <row r="831" spans="1:16" hidden="1" x14ac:dyDescent="0.25">
      <c r="A831">
        <v>0</v>
      </c>
      <c r="B831">
        <v>5000</v>
      </c>
      <c r="C831">
        <f>1.225 * (1 - 0.00000687559 * B831) ^ 4.2561</f>
        <v>1.0555380742846066</v>
      </c>
      <c r="D831">
        <f>E831*(SQRT($C$2/C831))</f>
        <v>193.91151425482059</v>
      </c>
      <c r="E831">
        <v>180</v>
      </c>
      <c r="F831">
        <v>1215</v>
      </c>
      <c r="G831">
        <v>1000</v>
      </c>
      <c r="H831">
        <f>CONVERT(G831,"HP","kW")</f>
        <v>745.69987158227025</v>
      </c>
      <c r="I831">
        <v>0.83850000000000002</v>
      </c>
      <c r="J831">
        <v>1.2432000000000001</v>
      </c>
      <c r="K831">
        <v>0.60599999999999998</v>
      </c>
      <c r="L831">
        <v>8.7099999999999997E-2</v>
      </c>
      <c r="M831">
        <v>5.8799999999999998E-2</v>
      </c>
      <c r="N831">
        <f>CONVERT(O831,"lbf","N")</f>
        <v>6267.9890780635706</v>
      </c>
      <c r="O831">
        <v>1409.1</v>
      </c>
      <c r="P831">
        <f t="shared" si="12"/>
        <v>0.6750861079219288</v>
      </c>
    </row>
    <row r="832" spans="1:16" hidden="1" x14ac:dyDescent="0.25">
      <c r="A832">
        <v>0</v>
      </c>
      <c r="B832">
        <v>5000</v>
      </c>
      <c r="C832">
        <f>1.225 * (1 - 0.00000687559 * B832) ^ 4.2561</f>
        <v>1.0555380742846066</v>
      </c>
      <c r="D832">
        <f>E832*(SQRT($C$2/C832))</f>
        <v>215.45723806091175</v>
      </c>
      <c r="E832">
        <v>200</v>
      </c>
      <c r="F832">
        <v>1215</v>
      </c>
      <c r="G832">
        <v>1000</v>
      </c>
      <c r="H832">
        <f>CONVERT(G832,"HP","kW")</f>
        <v>745.69987158227025</v>
      </c>
      <c r="I832">
        <v>0.83079999999999998</v>
      </c>
      <c r="J832">
        <v>1.3814</v>
      </c>
      <c r="K832">
        <v>0.623</v>
      </c>
      <c r="L832">
        <v>8.7099999999999997E-2</v>
      </c>
      <c r="M832">
        <v>5.2400000000000002E-2</v>
      </c>
      <c r="N832">
        <f>CONVERT(O832,"lbf","N")</f>
        <v>5589.1904595748183</v>
      </c>
      <c r="O832">
        <v>1256.5</v>
      </c>
      <c r="P832">
        <f t="shared" si="12"/>
        <v>0.60160734787600467</v>
      </c>
    </row>
    <row r="833" spans="1:16" hidden="1" x14ac:dyDescent="0.25">
      <c r="A833">
        <v>0</v>
      </c>
      <c r="B833">
        <v>5000</v>
      </c>
      <c r="C833">
        <f>1.225 * (1 - 0.00000687559 * B833) ^ 4.2561</f>
        <v>1.0555380742846066</v>
      </c>
      <c r="D833">
        <f>E833*(SQRT($C$2/C833))</f>
        <v>258.5486856730941</v>
      </c>
      <c r="E833">
        <v>240</v>
      </c>
      <c r="F833">
        <v>1215</v>
      </c>
      <c r="G833">
        <v>1000</v>
      </c>
      <c r="H833">
        <f>CONVERT(G833,"HP","kW")</f>
        <v>745.69987158227025</v>
      </c>
      <c r="I833">
        <v>0.78849999999999998</v>
      </c>
      <c r="J833">
        <v>1.6577</v>
      </c>
      <c r="K833">
        <v>0.66069999999999995</v>
      </c>
      <c r="L833">
        <v>8.7099999999999997E-2</v>
      </c>
      <c r="M833">
        <v>4.1399999999999999E-2</v>
      </c>
      <c r="N833">
        <f>CONVERT(O833,"lbf","N")</f>
        <v>4420.1978190843593</v>
      </c>
      <c r="O833">
        <v>993.7</v>
      </c>
      <c r="P833">
        <f t="shared" si="12"/>
        <v>0.47531572904707237</v>
      </c>
    </row>
    <row r="834" spans="1:16" hidden="1" x14ac:dyDescent="0.25">
      <c r="A834">
        <v>0</v>
      </c>
      <c r="B834">
        <v>5000</v>
      </c>
      <c r="C834">
        <f>1.225 * (1 - 0.00000687559 * B834) ^ 4.2561</f>
        <v>1.0555380742846066</v>
      </c>
      <c r="D834">
        <f>E834*(SQRT($C$2/C834))</f>
        <v>280.09440947918529</v>
      </c>
      <c r="E834">
        <v>260</v>
      </c>
      <c r="F834">
        <v>1215</v>
      </c>
      <c r="G834">
        <v>1000</v>
      </c>
      <c r="H834">
        <f>CONVERT(G834,"HP","kW")</f>
        <v>745.69987158227025</v>
      </c>
      <c r="I834">
        <v>0.74870000000000003</v>
      </c>
      <c r="J834">
        <v>1.7958000000000001</v>
      </c>
      <c r="K834">
        <v>0.68120000000000003</v>
      </c>
      <c r="L834">
        <v>8.7099999999999997E-2</v>
      </c>
      <c r="M834">
        <v>3.6299999999999999E-2</v>
      </c>
      <c r="N834">
        <f>CONVERT(O834,"lbf","N")</f>
        <v>3874.8458490534217</v>
      </c>
      <c r="O834">
        <v>871.1</v>
      </c>
      <c r="P834">
        <f t="shared" si="12"/>
        <v>0.41676234213547647</v>
      </c>
    </row>
    <row r="835" spans="1:16" hidden="1" x14ac:dyDescent="0.25">
      <c r="A835">
        <v>0</v>
      </c>
      <c r="B835">
        <v>5000</v>
      </c>
      <c r="C835">
        <f>1.225 * (1 - 0.00000687559 * B835) ^ 4.2561</f>
        <v>1.0555380742846066</v>
      </c>
      <c r="D835">
        <f>E835*(SQRT($C$2/C835))</f>
        <v>150.82006664263821</v>
      </c>
      <c r="E835">
        <v>140</v>
      </c>
      <c r="F835">
        <v>1215</v>
      </c>
      <c r="G835">
        <v>1000</v>
      </c>
      <c r="H835">
        <f>CONVERT(G835,"HP","kW")</f>
        <v>745.69987158227025</v>
      </c>
      <c r="I835">
        <v>0.83220000000000005</v>
      </c>
      <c r="J835">
        <v>0.96699999999999997</v>
      </c>
      <c r="K835">
        <v>0.57609999999999995</v>
      </c>
      <c r="L835">
        <v>8.72E-2</v>
      </c>
      <c r="M835">
        <v>7.4999999999999997E-2</v>
      </c>
      <c r="N835">
        <f>CONVERT(O835,"lbf","N")</f>
        <v>7998.3472863999041</v>
      </c>
      <c r="O835">
        <v>1798.1</v>
      </c>
      <c r="P835">
        <f t="shared" ref="P835:P898" si="13">M835/L835</f>
        <v>0.86009174311926606</v>
      </c>
    </row>
    <row r="836" spans="1:16" hidden="1" x14ac:dyDescent="0.25">
      <c r="A836">
        <v>0</v>
      </c>
      <c r="B836">
        <v>0</v>
      </c>
      <c r="C836">
        <f>1.225 * (1 - 0.00000687559 * B836) ^ 4.2561</f>
        <v>1.2250000000000001</v>
      </c>
      <c r="D836">
        <f>E836*(SQRT($C$2/C836))</f>
        <v>0</v>
      </c>
      <c r="E836">
        <v>0</v>
      </c>
      <c r="F836">
        <v>1150</v>
      </c>
      <c r="G836">
        <v>1000</v>
      </c>
      <c r="H836">
        <f>CONVERT(G836,"HP","kW")</f>
        <v>745.69987158227025</v>
      </c>
      <c r="I836">
        <v>0</v>
      </c>
      <c r="J836">
        <v>0</v>
      </c>
      <c r="K836">
        <v>0.48130000000000001</v>
      </c>
      <c r="L836">
        <v>8.8499999999999995E-2</v>
      </c>
      <c r="M836">
        <v>0.19439999999999999</v>
      </c>
      <c r="N836">
        <f>CONVERT(O836,"lbf","N")</f>
        <v>21567.202501590535</v>
      </c>
      <c r="O836">
        <v>4848.5</v>
      </c>
      <c r="P836">
        <f t="shared" si="13"/>
        <v>2.1966101694915254</v>
      </c>
    </row>
    <row r="837" spans="1:16" hidden="1" x14ac:dyDescent="0.25">
      <c r="A837">
        <v>0</v>
      </c>
      <c r="B837">
        <v>0</v>
      </c>
      <c r="C837">
        <f>1.225 * (1 - 0.00000687559 * B837) ^ 4.2561</f>
        <v>1.2250000000000001</v>
      </c>
      <c r="D837">
        <f>E837*(SQRT($C$2/C837))</f>
        <v>20</v>
      </c>
      <c r="E837">
        <v>20</v>
      </c>
      <c r="F837">
        <v>1150</v>
      </c>
      <c r="G837">
        <v>1000</v>
      </c>
      <c r="H837">
        <f>CONVERT(G837,"HP","kW")</f>
        <v>745.69987158227025</v>
      </c>
      <c r="I837">
        <v>0.26819999999999999</v>
      </c>
      <c r="J837">
        <v>0.13550000000000001</v>
      </c>
      <c r="K837">
        <v>0.48580000000000001</v>
      </c>
      <c r="L837">
        <v>8.8499999999999995E-2</v>
      </c>
      <c r="M837">
        <v>0.17519999999999999</v>
      </c>
      <c r="N837">
        <f>CONVERT(O837,"lbf","N")</f>
        <v>19435.614703557705</v>
      </c>
      <c r="O837">
        <v>4369.3</v>
      </c>
      <c r="P837">
        <f t="shared" si="13"/>
        <v>1.9796610169491526</v>
      </c>
    </row>
    <row r="838" spans="1:16" hidden="1" x14ac:dyDescent="0.25">
      <c r="A838">
        <v>0</v>
      </c>
      <c r="B838">
        <v>0</v>
      </c>
      <c r="C838">
        <f>1.225 * (1 - 0.00000687559 * B838) ^ 4.2561</f>
        <v>1.2250000000000001</v>
      </c>
      <c r="D838">
        <f>E838*(SQRT($C$2/C838))</f>
        <v>40</v>
      </c>
      <c r="E838">
        <v>40</v>
      </c>
      <c r="F838">
        <v>1150</v>
      </c>
      <c r="G838">
        <v>1000</v>
      </c>
      <c r="H838">
        <f>CONVERT(G838,"HP","kW")</f>
        <v>745.69987158227025</v>
      </c>
      <c r="I838">
        <v>0.47689999999999999</v>
      </c>
      <c r="J838">
        <v>0.27100000000000002</v>
      </c>
      <c r="K838">
        <v>0.4909</v>
      </c>
      <c r="L838">
        <v>8.8499999999999995E-2</v>
      </c>
      <c r="M838">
        <v>0.15579999999999999</v>
      </c>
      <c r="N838">
        <f>CONVERT(O838,"lbf","N")</f>
        <v>17280.451330963991</v>
      </c>
      <c r="O838">
        <v>3884.8</v>
      </c>
      <c r="P838">
        <f t="shared" si="13"/>
        <v>1.76045197740113</v>
      </c>
    </row>
    <row r="839" spans="1:16" hidden="1" x14ac:dyDescent="0.25">
      <c r="A839">
        <v>0</v>
      </c>
      <c r="B839">
        <v>0</v>
      </c>
      <c r="C839">
        <f>1.225 * (1 - 0.00000687559 * B839) ^ 4.2561</f>
        <v>1.2250000000000001</v>
      </c>
      <c r="D839">
        <f>E839*(SQRT($C$2/C839))</f>
        <v>60</v>
      </c>
      <c r="E839">
        <v>60</v>
      </c>
      <c r="F839">
        <v>1150</v>
      </c>
      <c r="G839">
        <v>1000</v>
      </c>
      <c r="H839">
        <f>CONVERT(G839,"HP","kW")</f>
        <v>745.69987158227025</v>
      </c>
      <c r="I839">
        <v>0.62429999999999997</v>
      </c>
      <c r="J839">
        <v>0.40639999999999998</v>
      </c>
      <c r="K839">
        <v>0.497</v>
      </c>
      <c r="L839">
        <v>8.8499999999999995E-2</v>
      </c>
      <c r="M839">
        <v>0.13600000000000001</v>
      </c>
      <c r="N839">
        <f>CONVERT(O839,"lbf","N")</f>
        <v>15083.47467518683</v>
      </c>
      <c r="O839">
        <v>3390.9</v>
      </c>
      <c r="P839">
        <f t="shared" si="13"/>
        <v>1.5367231638418082</v>
      </c>
    </row>
    <row r="840" spans="1:16" hidden="1" x14ac:dyDescent="0.25">
      <c r="A840">
        <v>0</v>
      </c>
      <c r="B840">
        <v>0</v>
      </c>
      <c r="C840">
        <f>1.225 * (1 - 0.00000687559 * B840) ^ 4.2561</f>
        <v>1.2250000000000001</v>
      </c>
      <c r="D840">
        <f>E840*(SQRT($C$2/C840))</f>
        <v>80</v>
      </c>
      <c r="E840">
        <v>80</v>
      </c>
      <c r="F840">
        <v>1150</v>
      </c>
      <c r="G840">
        <v>1000</v>
      </c>
      <c r="H840">
        <f>CONVERT(G840,"HP","kW")</f>
        <v>745.69987158227025</v>
      </c>
      <c r="I840">
        <v>0.72050000000000003</v>
      </c>
      <c r="J840">
        <v>0.54190000000000005</v>
      </c>
      <c r="K840">
        <v>0.50419999999999998</v>
      </c>
      <c r="L840">
        <v>8.8499999999999995E-2</v>
      </c>
      <c r="M840">
        <v>0.1177</v>
      </c>
      <c r="N840">
        <f>CONVERT(O840,"lbf","N")</f>
        <v>13054.195974304988</v>
      </c>
      <c r="O840">
        <v>2934.7</v>
      </c>
      <c r="P840">
        <f t="shared" si="13"/>
        <v>1.3299435028248587</v>
      </c>
    </row>
    <row r="841" spans="1:16" hidden="1" x14ac:dyDescent="0.25">
      <c r="A841">
        <v>0</v>
      </c>
      <c r="B841">
        <v>0</v>
      </c>
      <c r="C841">
        <f>1.225 * (1 - 0.00000687559 * B841) ^ 4.2561</f>
        <v>1.2250000000000001</v>
      </c>
      <c r="D841">
        <f>E841*(SQRT($C$2/C841))</f>
        <v>100</v>
      </c>
      <c r="E841">
        <v>100</v>
      </c>
      <c r="F841">
        <v>1150</v>
      </c>
      <c r="G841">
        <v>1000</v>
      </c>
      <c r="H841">
        <f>CONVERT(G841,"HP","kW")</f>
        <v>745.69987158227025</v>
      </c>
      <c r="I841">
        <v>0.78059999999999996</v>
      </c>
      <c r="J841">
        <v>0.6774</v>
      </c>
      <c r="K841">
        <v>0.51280000000000003</v>
      </c>
      <c r="L841">
        <v>8.8499999999999995E-2</v>
      </c>
      <c r="M841">
        <v>0.10199999999999999</v>
      </c>
      <c r="N841">
        <f>CONVERT(O841,"lbf","N")</f>
        <v>11315.386144899661</v>
      </c>
      <c r="O841">
        <v>2543.8000000000002</v>
      </c>
      <c r="P841">
        <f t="shared" si="13"/>
        <v>1.152542372881356</v>
      </c>
    </row>
    <row r="842" spans="1:16" hidden="1" x14ac:dyDescent="0.25">
      <c r="A842">
        <v>0</v>
      </c>
      <c r="B842">
        <v>0</v>
      </c>
      <c r="C842">
        <f>1.225 * (1 - 0.00000687559 * B842) ^ 4.2561</f>
        <v>1.2250000000000001</v>
      </c>
      <c r="D842">
        <f>E842*(SQRT($C$2/C842))</f>
        <v>120</v>
      </c>
      <c r="E842">
        <v>120</v>
      </c>
      <c r="F842">
        <v>1150</v>
      </c>
      <c r="G842">
        <v>1000</v>
      </c>
      <c r="H842">
        <f>CONVERT(G842,"HP","kW")</f>
        <v>745.69987158227025</v>
      </c>
      <c r="I842">
        <v>0.81659999999999999</v>
      </c>
      <c r="J842">
        <v>0.81289999999999996</v>
      </c>
      <c r="K842">
        <v>0.52280000000000004</v>
      </c>
      <c r="L842">
        <v>8.8499999999999995E-2</v>
      </c>
      <c r="M842">
        <v>8.8900000000000007E-2</v>
      </c>
      <c r="N842">
        <f>CONVERT(O842,"lbf","N")</f>
        <v>9864.3762540016851</v>
      </c>
      <c r="O842">
        <v>2217.6</v>
      </c>
      <c r="P842">
        <f t="shared" si="13"/>
        <v>1.0045197740112997</v>
      </c>
    </row>
    <row r="843" spans="1:16" hidden="1" x14ac:dyDescent="0.25">
      <c r="A843">
        <v>0</v>
      </c>
      <c r="B843">
        <v>0</v>
      </c>
      <c r="C843">
        <f>1.225 * (1 - 0.00000687559 * B843) ^ 4.2561</f>
        <v>1.2250000000000001</v>
      </c>
      <c r="D843">
        <f>E843*(SQRT($C$2/C843))</f>
        <v>160</v>
      </c>
      <c r="E843">
        <v>160</v>
      </c>
      <c r="F843">
        <v>1150</v>
      </c>
      <c r="G843">
        <v>1000</v>
      </c>
      <c r="H843">
        <f>CONVERT(G843,"HP","kW")</f>
        <v>745.69987158227025</v>
      </c>
      <c r="I843">
        <v>0.84589999999999999</v>
      </c>
      <c r="J843">
        <v>1.0838000000000001</v>
      </c>
      <c r="K843">
        <v>0.54690000000000005</v>
      </c>
      <c r="L843">
        <v>8.8499999999999995E-2</v>
      </c>
      <c r="M843">
        <v>6.9099999999999995E-2</v>
      </c>
      <c r="N843">
        <f>CONVERT(O843,"lbf","N")</f>
        <v>7663.8410209323156</v>
      </c>
      <c r="O843">
        <v>1722.9</v>
      </c>
      <c r="P843">
        <f t="shared" si="13"/>
        <v>0.78079096045197738</v>
      </c>
    </row>
    <row r="844" spans="1:16" hidden="1" x14ac:dyDescent="0.25">
      <c r="A844">
        <v>0</v>
      </c>
      <c r="B844">
        <v>0</v>
      </c>
      <c r="C844">
        <f>1.225 * (1 - 0.00000687559 * B844) ^ 4.2561</f>
        <v>1.2250000000000001</v>
      </c>
      <c r="D844">
        <f>E844*(SQRT($C$2/C844))</f>
        <v>180</v>
      </c>
      <c r="E844">
        <v>180</v>
      </c>
      <c r="F844">
        <v>1150</v>
      </c>
      <c r="G844">
        <v>1000</v>
      </c>
      <c r="H844">
        <f>CONVERT(G844,"HP","kW")</f>
        <v>745.69987158227025</v>
      </c>
      <c r="I844">
        <v>0.8478</v>
      </c>
      <c r="J844">
        <v>1.2193000000000001</v>
      </c>
      <c r="K844">
        <v>0.56100000000000005</v>
      </c>
      <c r="L844">
        <v>8.8499999999999995E-2</v>
      </c>
      <c r="M844">
        <v>6.1600000000000002E-2</v>
      </c>
      <c r="N844">
        <f>CONVERT(O844,"lbf","N")</f>
        <v>6827.1305351018154</v>
      </c>
      <c r="O844">
        <v>1534.8</v>
      </c>
      <c r="P844">
        <f t="shared" si="13"/>
        <v>0.69604519774011309</v>
      </c>
    </row>
    <row r="845" spans="1:16" hidden="1" x14ac:dyDescent="0.25">
      <c r="A845">
        <v>0</v>
      </c>
      <c r="B845">
        <v>0</v>
      </c>
      <c r="C845">
        <f>1.225 * (1 - 0.00000687559 * B845) ^ 4.2561</f>
        <v>1.2250000000000001</v>
      </c>
      <c r="D845">
        <f>E845*(SQRT($C$2/C845))</f>
        <v>200</v>
      </c>
      <c r="E845">
        <v>200</v>
      </c>
      <c r="F845">
        <v>1150</v>
      </c>
      <c r="G845">
        <v>1000</v>
      </c>
      <c r="H845">
        <f>CONVERT(G845,"HP","kW")</f>
        <v>745.69987158227025</v>
      </c>
      <c r="I845">
        <v>0.84340000000000004</v>
      </c>
      <c r="J845">
        <v>1.3548</v>
      </c>
      <c r="K845">
        <v>0.57630000000000003</v>
      </c>
      <c r="L845">
        <v>8.8499999999999995E-2</v>
      </c>
      <c r="M845">
        <v>5.5100000000000003E-2</v>
      </c>
      <c r="N845">
        <f>CONVERT(O845,"lbf","N")</f>
        <v>6112.7461436909798</v>
      </c>
      <c r="O845">
        <v>1374.2</v>
      </c>
      <c r="P845">
        <f t="shared" si="13"/>
        <v>0.62259887005649728</v>
      </c>
    </row>
    <row r="846" spans="1:16" hidden="1" x14ac:dyDescent="0.25">
      <c r="A846">
        <v>0</v>
      </c>
      <c r="B846">
        <v>0</v>
      </c>
      <c r="C846">
        <f>1.225 * (1 - 0.00000687559 * B846) ^ 4.2561</f>
        <v>1.2250000000000001</v>
      </c>
      <c r="D846">
        <f>E846*(SQRT($C$2/C846))</f>
        <v>220</v>
      </c>
      <c r="E846">
        <v>220</v>
      </c>
      <c r="F846">
        <v>1150</v>
      </c>
      <c r="G846">
        <v>1000</v>
      </c>
      <c r="H846">
        <f>CONVERT(G846,"HP","kW")</f>
        <v>745.69987158227025</v>
      </c>
      <c r="I846">
        <v>0.83350000000000002</v>
      </c>
      <c r="J846">
        <v>1.4902</v>
      </c>
      <c r="K846">
        <v>0.59279999999999999</v>
      </c>
      <c r="L846">
        <v>8.8499999999999995E-2</v>
      </c>
      <c r="M846">
        <v>4.9500000000000002E-2</v>
      </c>
      <c r="N846">
        <f>CONVERT(O846,"lbf","N")</f>
        <v>5491.7744062006132</v>
      </c>
      <c r="O846">
        <v>1234.5999999999999</v>
      </c>
      <c r="P846">
        <f t="shared" si="13"/>
        <v>0.55932203389830515</v>
      </c>
    </row>
    <row r="847" spans="1:16" hidden="1" x14ac:dyDescent="0.25">
      <c r="A847">
        <v>0</v>
      </c>
      <c r="B847">
        <v>0</v>
      </c>
      <c r="C847">
        <f>1.225 * (1 - 0.00000687559 * B847) ^ 4.2561</f>
        <v>1.2250000000000001</v>
      </c>
      <c r="D847">
        <f>E847*(SQRT($C$2/C847))</f>
        <v>240</v>
      </c>
      <c r="E847">
        <v>240</v>
      </c>
      <c r="F847">
        <v>1150</v>
      </c>
      <c r="G847">
        <v>1000</v>
      </c>
      <c r="H847">
        <f>CONVERT(G847,"HP","kW")</f>
        <v>745.69987158227025</v>
      </c>
      <c r="I847">
        <v>0.81669999999999998</v>
      </c>
      <c r="J847">
        <v>1.6256999999999999</v>
      </c>
      <c r="K847">
        <v>0.61029999999999995</v>
      </c>
      <c r="L847">
        <v>8.8499999999999995E-2</v>
      </c>
      <c r="M847">
        <v>4.4499999999999998E-2</v>
      </c>
      <c r="N847">
        <f>CONVERT(O847,"lbf","N")</f>
        <v>4932.6329491623692</v>
      </c>
      <c r="O847">
        <v>1108.9000000000001</v>
      </c>
      <c r="P847">
        <f t="shared" si="13"/>
        <v>0.50282485875706218</v>
      </c>
    </row>
    <row r="848" spans="1:16" hidden="1" x14ac:dyDescent="0.25">
      <c r="A848">
        <v>0</v>
      </c>
      <c r="B848">
        <v>0</v>
      </c>
      <c r="C848">
        <f>1.225 * (1 - 0.00000687559 * B848) ^ 4.2561</f>
        <v>1.2250000000000001</v>
      </c>
      <c r="D848">
        <f>E848*(SQRT($C$2/C848))</f>
        <v>260</v>
      </c>
      <c r="E848">
        <v>260</v>
      </c>
      <c r="F848">
        <v>1150</v>
      </c>
      <c r="G848">
        <v>1000</v>
      </c>
      <c r="H848">
        <f>CONVERT(G848,"HP","kW")</f>
        <v>745.69987158227025</v>
      </c>
      <c r="I848">
        <v>0.79200000000000004</v>
      </c>
      <c r="J848">
        <v>1.7612000000000001</v>
      </c>
      <c r="K848">
        <v>0.62870000000000004</v>
      </c>
      <c r="L848">
        <v>8.8499999999999995E-2</v>
      </c>
      <c r="M848">
        <v>3.9800000000000002E-2</v>
      </c>
      <c r="N848">
        <f>CONVERT(O848,"lbf","N")</f>
        <v>4415.3047753075725</v>
      </c>
      <c r="O848">
        <v>992.6</v>
      </c>
      <c r="P848">
        <f t="shared" si="13"/>
        <v>0.44971751412429384</v>
      </c>
    </row>
    <row r="849" spans="1:16" hidden="1" x14ac:dyDescent="0.25">
      <c r="A849">
        <v>0</v>
      </c>
      <c r="B849">
        <v>0</v>
      </c>
      <c r="C849">
        <f>1.225 * (1 - 0.00000687559 * B849) ^ 4.2561</f>
        <v>1.2250000000000001</v>
      </c>
      <c r="D849">
        <f>E849*(SQRT($C$2/C849))</f>
        <v>140</v>
      </c>
      <c r="E849">
        <v>140</v>
      </c>
      <c r="F849">
        <v>1150</v>
      </c>
      <c r="G849">
        <v>1000</v>
      </c>
      <c r="H849">
        <f>CONVERT(G849,"HP","kW")</f>
        <v>745.69987158227025</v>
      </c>
      <c r="I849">
        <v>0.8367</v>
      </c>
      <c r="J849">
        <v>0.94830000000000003</v>
      </c>
      <c r="K849">
        <v>0.53420000000000001</v>
      </c>
      <c r="L849">
        <v>8.8599999999999998E-2</v>
      </c>
      <c r="M849">
        <v>7.8200000000000006E-2</v>
      </c>
      <c r="N849">
        <f>CONVERT(O849,"lbf","N")</f>
        <v>8663.3564178813485</v>
      </c>
      <c r="O849">
        <v>1947.6</v>
      </c>
      <c r="P849">
        <f t="shared" si="13"/>
        <v>0.88261851015801362</v>
      </c>
    </row>
    <row r="850" spans="1:16" hidden="1" x14ac:dyDescent="0.25">
      <c r="A850">
        <v>0</v>
      </c>
      <c r="B850">
        <v>15000</v>
      </c>
      <c r="C850">
        <f>1.225 * (1 - 0.00000687559 * B850) ^ 4.2561</f>
        <v>0.77079726910167001</v>
      </c>
      <c r="D850">
        <f>E850*(SQRT($C$2/C850))</f>
        <v>176.49239494273141</v>
      </c>
      <c r="E850">
        <v>140</v>
      </c>
      <c r="F850">
        <v>1215</v>
      </c>
      <c r="G850">
        <v>750</v>
      </c>
      <c r="H850">
        <f>CONVERT(G850,"HP","kW")</f>
        <v>559.27490368670271</v>
      </c>
      <c r="I850">
        <v>0.84040000000000004</v>
      </c>
      <c r="J850">
        <v>1.1315</v>
      </c>
      <c r="K850">
        <v>0.61550000000000005</v>
      </c>
      <c r="L850">
        <v>8.9399999999999993E-2</v>
      </c>
      <c r="M850">
        <v>6.6400000000000001E-2</v>
      </c>
      <c r="N850">
        <f>CONVERT(O850,"lbf","N")</f>
        <v>5176.395493678644</v>
      </c>
      <c r="O850">
        <v>1163.7</v>
      </c>
      <c r="P850">
        <f t="shared" si="13"/>
        <v>0.74272930648769586</v>
      </c>
    </row>
    <row r="851" spans="1:16" hidden="1" x14ac:dyDescent="0.25">
      <c r="A851">
        <v>0</v>
      </c>
      <c r="B851">
        <v>15000</v>
      </c>
      <c r="C851">
        <f>1.225 * (1 - 0.00000687559 * B851) ^ 4.2561</f>
        <v>0.77079726910167001</v>
      </c>
      <c r="D851">
        <f>E851*(SQRT($C$2/C851))</f>
        <v>302.55839133039672</v>
      </c>
      <c r="E851">
        <v>240</v>
      </c>
      <c r="F851">
        <v>1215</v>
      </c>
      <c r="G851">
        <v>750</v>
      </c>
      <c r="H851">
        <f>CONVERT(G851,"HP","kW")</f>
        <v>559.27490368670271</v>
      </c>
      <c r="I851">
        <v>0.62150000000000005</v>
      </c>
      <c r="J851">
        <v>1.9398</v>
      </c>
      <c r="K851">
        <v>0.73009999999999997</v>
      </c>
      <c r="L851">
        <v>8.9399999999999993E-2</v>
      </c>
      <c r="M851">
        <v>2.86E-2</v>
      </c>
      <c r="N851">
        <f>CONVERT(O851,"lbf","N")</f>
        <v>2233.0072508607709</v>
      </c>
      <c r="O851">
        <v>502</v>
      </c>
      <c r="P851">
        <f t="shared" si="13"/>
        <v>0.31991051454138703</v>
      </c>
    </row>
    <row r="852" spans="1:16" hidden="1" x14ac:dyDescent="0.25">
      <c r="A852">
        <v>0</v>
      </c>
      <c r="B852">
        <v>15000</v>
      </c>
      <c r="C852">
        <f>1.225 * (1 - 0.00000687559 * B852) ^ 4.2561</f>
        <v>0.77079726910167001</v>
      </c>
      <c r="D852">
        <f>E852*(SQRT($C$2/C852))</f>
        <v>327.77159060792974</v>
      </c>
      <c r="E852">
        <v>260</v>
      </c>
      <c r="F852">
        <v>1215</v>
      </c>
      <c r="G852">
        <v>750</v>
      </c>
      <c r="H852">
        <f>CONVERT(G852,"HP","kW")</f>
        <v>559.27490368670271</v>
      </c>
      <c r="I852">
        <v>0.4924</v>
      </c>
      <c r="J852">
        <v>2.1013999999999999</v>
      </c>
      <c r="K852">
        <v>0.75729999999999997</v>
      </c>
      <c r="L852">
        <v>8.9399999999999993E-2</v>
      </c>
      <c r="M852">
        <v>2.1000000000000001E-2</v>
      </c>
      <c r="N852">
        <f>CONVERT(O852,"lbf","N")</f>
        <v>1633.3869771236557</v>
      </c>
      <c r="O852">
        <v>367.2</v>
      </c>
      <c r="P852">
        <f t="shared" si="13"/>
        <v>0.23489932885906042</v>
      </c>
    </row>
    <row r="853" spans="1:16" hidden="1" x14ac:dyDescent="0.25">
      <c r="A853">
        <v>0</v>
      </c>
      <c r="B853">
        <v>15000</v>
      </c>
      <c r="C853">
        <f>1.225 * (1 - 0.00000687559 * B853) ^ 4.2561</f>
        <v>0.77079726910167001</v>
      </c>
      <c r="D853">
        <f>E853*(SQRT($C$2/C853))</f>
        <v>0</v>
      </c>
      <c r="E853">
        <v>0</v>
      </c>
      <c r="F853">
        <v>1215</v>
      </c>
      <c r="G853">
        <v>750</v>
      </c>
      <c r="H853">
        <f>CONVERT(G853,"HP","kW")</f>
        <v>559.27490368670271</v>
      </c>
      <c r="I853">
        <v>0</v>
      </c>
      <c r="J853">
        <v>0</v>
      </c>
      <c r="K853">
        <v>0.53669999999999995</v>
      </c>
      <c r="L853">
        <v>8.9499999999999996E-2</v>
      </c>
      <c r="M853">
        <v>0.19520000000000001</v>
      </c>
      <c r="N853">
        <f>CONVERT(O853,"lbf","N")</f>
        <v>15209.359346898702</v>
      </c>
      <c r="O853">
        <v>3419.2</v>
      </c>
      <c r="P853">
        <f t="shared" si="13"/>
        <v>2.1810055865921791</v>
      </c>
    </row>
    <row r="854" spans="1:16" hidden="1" x14ac:dyDescent="0.25">
      <c r="A854">
        <v>0</v>
      </c>
      <c r="B854">
        <v>15000</v>
      </c>
      <c r="C854">
        <f>1.225 * (1 - 0.00000687559 * B854) ^ 4.2561</f>
        <v>0.77079726910167001</v>
      </c>
      <c r="D854">
        <f>E854*(SQRT($C$2/C854))</f>
        <v>25.213199277533057</v>
      </c>
      <c r="E854">
        <v>20</v>
      </c>
      <c r="F854">
        <v>1215</v>
      </c>
      <c r="G854">
        <v>750</v>
      </c>
      <c r="H854">
        <f>CONVERT(G854,"HP","kW")</f>
        <v>559.27490368670271</v>
      </c>
      <c r="I854">
        <v>0.31159999999999999</v>
      </c>
      <c r="J854">
        <v>0.16159999999999999</v>
      </c>
      <c r="K854">
        <v>0.54279999999999995</v>
      </c>
      <c r="L854">
        <v>8.9499999999999996E-2</v>
      </c>
      <c r="M854">
        <v>0.17249999999999999</v>
      </c>
      <c r="N854">
        <f>CONVERT(O854,"lbf","N")</f>
        <v>13437.632677540445</v>
      </c>
      <c r="O854">
        <v>3020.9</v>
      </c>
      <c r="P854">
        <f t="shared" si="13"/>
        <v>1.9273743016759777</v>
      </c>
    </row>
    <row r="855" spans="1:16" hidden="1" x14ac:dyDescent="0.25">
      <c r="A855">
        <v>0</v>
      </c>
      <c r="B855">
        <v>15000</v>
      </c>
      <c r="C855">
        <f>1.225 * (1 - 0.00000687559 * B855) ^ 4.2561</f>
        <v>0.77079726910167001</v>
      </c>
      <c r="D855">
        <f>E855*(SQRT($C$2/C855))</f>
        <v>50.426398555066115</v>
      </c>
      <c r="E855">
        <v>40</v>
      </c>
      <c r="F855">
        <v>1215</v>
      </c>
      <c r="G855">
        <v>750</v>
      </c>
      <c r="H855">
        <f>CONVERT(G855,"HP","kW")</f>
        <v>559.27490368670271</v>
      </c>
      <c r="I855">
        <v>0.53910000000000002</v>
      </c>
      <c r="J855">
        <v>0.32329999999999998</v>
      </c>
      <c r="K855">
        <v>0.55000000000000004</v>
      </c>
      <c r="L855">
        <v>8.9499999999999996E-2</v>
      </c>
      <c r="M855">
        <v>0.1492</v>
      </c>
      <c r="N855">
        <f>CONVERT(O855,"lbf","N")</f>
        <v>11621.868614191108</v>
      </c>
      <c r="O855">
        <v>2612.6999999999998</v>
      </c>
      <c r="P855">
        <f t="shared" si="13"/>
        <v>1.6670391061452514</v>
      </c>
    </row>
    <row r="856" spans="1:16" hidden="1" x14ac:dyDescent="0.25">
      <c r="A856">
        <v>0</v>
      </c>
      <c r="B856">
        <v>15000</v>
      </c>
      <c r="C856">
        <f>1.225 * (1 - 0.00000687559 * B856) ^ 4.2561</f>
        <v>0.77079726910167001</v>
      </c>
      <c r="D856">
        <f>E856*(SQRT($C$2/C856))</f>
        <v>75.639597832599179</v>
      </c>
      <c r="E856">
        <v>60</v>
      </c>
      <c r="F856">
        <v>1215</v>
      </c>
      <c r="G856">
        <v>750</v>
      </c>
      <c r="H856">
        <f>CONVERT(G856,"HP","kW")</f>
        <v>559.27490368670271</v>
      </c>
      <c r="I856">
        <v>0.68330000000000002</v>
      </c>
      <c r="J856">
        <v>0.4849</v>
      </c>
      <c r="K856">
        <v>0.55889999999999995</v>
      </c>
      <c r="L856">
        <v>8.9499999999999996E-2</v>
      </c>
      <c r="M856">
        <v>0.12609999999999999</v>
      </c>
      <c r="N856">
        <f>CONVERT(O856,"lbf","N")</f>
        <v>9820.7836821721321</v>
      </c>
      <c r="O856">
        <v>2207.8000000000002</v>
      </c>
      <c r="P856">
        <f t="shared" si="13"/>
        <v>1.4089385474860334</v>
      </c>
    </row>
    <row r="857" spans="1:16" hidden="1" x14ac:dyDescent="0.25">
      <c r="A857">
        <v>0</v>
      </c>
      <c r="B857">
        <v>15000</v>
      </c>
      <c r="C857">
        <f>1.225 * (1 - 0.00000687559 * B857) ^ 4.2561</f>
        <v>0.77079726910167001</v>
      </c>
      <c r="D857">
        <f>E857*(SQRT($C$2/C857))</f>
        <v>100.85279711013223</v>
      </c>
      <c r="E857">
        <v>80</v>
      </c>
      <c r="F857">
        <v>1215</v>
      </c>
      <c r="G857">
        <v>750</v>
      </c>
      <c r="H857">
        <f>CONVERT(G857,"HP","kW")</f>
        <v>559.27490368670271</v>
      </c>
      <c r="I857">
        <v>0.76670000000000005</v>
      </c>
      <c r="J857">
        <v>0.64659999999999995</v>
      </c>
      <c r="K857">
        <v>0.56969999999999998</v>
      </c>
      <c r="L857">
        <v>8.9499999999999996E-2</v>
      </c>
      <c r="M857">
        <v>0.1061</v>
      </c>
      <c r="N857">
        <f>CONVERT(O857,"lbf","N")</f>
        <v>8264.7957611540096</v>
      </c>
      <c r="O857">
        <v>1858</v>
      </c>
      <c r="P857">
        <f t="shared" si="13"/>
        <v>1.1854748603351957</v>
      </c>
    </row>
    <row r="858" spans="1:16" hidden="1" x14ac:dyDescent="0.25">
      <c r="A858">
        <v>0</v>
      </c>
      <c r="B858">
        <v>15000</v>
      </c>
      <c r="C858">
        <f>1.225 * (1 - 0.00000687559 * B858) ^ 4.2561</f>
        <v>0.77079726910167001</v>
      </c>
      <c r="D858">
        <f>E858*(SQRT($C$2/C858))</f>
        <v>126.06599638766529</v>
      </c>
      <c r="E858">
        <v>100</v>
      </c>
      <c r="F858">
        <v>1215</v>
      </c>
      <c r="G858">
        <v>750</v>
      </c>
      <c r="H858">
        <f>CONVERT(G858,"HP","kW")</f>
        <v>559.27490368670271</v>
      </c>
      <c r="I858">
        <v>0.81140000000000001</v>
      </c>
      <c r="J858">
        <v>0.80820000000000003</v>
      </c>
      <c r="K858">
        <v>0.58279999999999998</v>
      </c>
      <c r="L858">
        <v>8.9499999999999996E-2</v>
      </c>
      <c r="M858">
        <v>8.9800000000000005E-2</v>
      </c>
      <c r="N858">
        <f>CONVERT(O858,"lbf","N")</f>
        <v>6997.0526008047664</v>
      </c>
      <c r="O858">
        <v>1573</v>
      </c>
      <c r="P858">
        <f t="shared" si="13"/>
        <v>1.0033519553072627</v>
      </c>
    </row>
    <row r="859" spans="1:16" hidden="1" x14ac:dyDescent="0.25">
      <c r="A859">
        <v>0</v>
      </c>
      <c r="B859">
        <v>15000</v>
      </c>
      <c r="C859">
        <f>1.225 * (1 - 0.00000687559 * B859) ^ 4.2561</f>
        <v>0.77079726910167001</v>
      </c>
      <c r="D859">
        <f>E859*(SQRT($C$2/C859))</f>
        <v>151.27919566519836</v>
      </c>
      <c r="E859">
        <v>120</v>
      </c>
      <c r="F859">
        <v>1215</v>
      </c>
      <c r="G859">
        <v>750</v>
      </c>
      <c r="H859">
        <f>CONVERT(G859,"HP","kW")</f>
        <v>559.27490368670271</v>
      </c>
      <c r="I859">
        <v>0.83330000000000004</v>
      </c>
      <c r="J859">
        <v>0.96989999999999998</v>
      </c>
      <c r="K859">
        <v>0.59809999999999997</v>
      </c>
      <c r="L859">
        <v>8.9499999999999996E-2</v>
      </c>
      <c r="M859">
        <v>7.6899999999999996E-2</v>
      </c>
      <c r="N859">
        <f>CONVERT(O859,"lbf","N")</f>
        <v>5988.1959384636857</v>
      </c>
      <c r="O859">
        <v>1346.2</v>
      </c>
      <c r="P859">
        <f t="shared" si="13"/>
        <v>0.8592178770949721</v>
      </c>
    </row>
    <row r="860" spans="1:16" hidden="1" x14ac:dyDescent="0.25">
      <c r="A860">
        <v>0</v>
      </c>
      <c r="B860">
        <v>15000</v>
      </c>
      <c r="C860">
        <f>1.225 * (1 - 0.00000687559 * B860) ^ 4.2561</f>
        <v>0.77079726910167001</v>
      </c>
      <c r="D860">
        <f>E860*(SQRT($C$2/C860))</f>
        <v>201.70559422026446</v>
      </c>
      <c r="E860">
        <v>160</v>
      </c>
      <c r="F860">
        <v>1215</v>
      </c>
      <c r="G860">
        <v>750</v>
      </c>
      <c r="H860">
        <f>CONVERT(G860,"HP","kW")</f>
        <v>559.27490368670271</v>
      </c>
      <c r="I860">
        <v>0.83489999999999998</v>
      </c>
      <c r="J860">
        <v>1.2931999999999999</v>
      </c>
      <c r="K860">
        <v>0.63500000000000001</v>
      </c>
      <c r="L860">
        <v>8.9499999999999996E-2</v>
      </c>
      <c r="M860">
        <v>5.7799999999999997E-2</v>
      </c>
      <c r="N860">
        <f>CONVERT(O860,"lbf","N")</f>
        <v>4499.8209859975223</v>
      </c>
      <c r="O860">
        <v>1011.6</v>
      </c>
      <c r="P860">
        <f t="shared" si="13"/>
        <v>0.64581005586592177</v>
      </c>
    </row>
    <row r="861" spans="1:16" hidden="1" x14ac:dyDescent="0.25">
      <c r="A861">
        <v>0</v>
      </c>
      <c r="B861">
        <v>15000</v>
      </c>
      <c r="C861">
        <f>1.225 * (1 - 0.00000687559 * B861) ^ 4.2561</f>
        <v>0.77079726910167001</v>
      </c>
      <c r="D861">
        <f>E861*(SQRT($C$2/C861))</f>
        <v>226.91879349779754</v>
      </c>
      <c r="E861">
        <v>180</v>
      </c>
      <c r="F861">
        <v>1215</v>
      </c>
      <c r="G861">
        <v>750</v>
      </c>
      <c r="H861">
        <f>CONVERT(G861,"HP","kW")</f>
        <v>559.27490368670271</v>
      </c>
      <c r="I861">
        <v>0.81720000000000004</v>
      </c>
      <c r="J861">
        <v>1.4548000000000001</v>
      </c>
      <c r="K861">
        <v>0.65639999999999998</v>
      </c>
      <c r="L861">
        <v>8.9499999999999996E-2</v>
      </c>
      <c r="M861">
        <v>5.0299999999999997E-2</v>
      </c>
      <c r="N861">
        <f>CONVERT(O861,"lbf","N")</f>
        <v>3915.3246657522923</v>
      </c>
      <c r="O861">
        <v>880.2</v>
      </c>
      <c r="P861">
        <f t="shared" si="13"/>
        <v>0.56201117318435756</v>
      </c>
    </row>
    <row r="862" spans="1:16" hidden="1" x14ac:dyDescent="0.25">
      <c r="A862">
        <v>0</v>
      </c>
      <c r="B862">
        <v>15000</v>
      </c>
      <c r="C862">
        <f>1.225 * (1 - 0.00000687559 * B862) ^ 4.2561</f>
        <v>0.77079726910167001</v>
      </c>
      <c r="D862">
        <f>E862*(SQRT($C$2/C862))</f>
        <v>252.13199277533059</v>
      </c>
      <c r="E862">
        <v>200</v>
      </c>
      <c r="F862">
        <v>1215</v>
      </c>
      <c r="G862">
        <v>750</v>
      </c>
      <c r="H862">
        <f>CONVERT(G862,"HP","kW")</f>
        <v>559.27490368670271</v>
      </c>
      <c r="I862">
        <v>0.78320000000000001</v>
      </c>
      <c r="J862">
        <v>1.6165</v>
      </c>
      <c r="K862">
        <v>0.67949999999999999</v>
      </c>
      <c r="L862">
        <v>8.9499999999999996E-2</v>
      </c>
      <c r="M862">
        <v>4.3299999999999998E-2</v>
      </c>
      <c r="N862">
        <f>CONVERT(O862,"lbf","N")</f>
        <v>3377.089850305772</v>
      </c>
      <c r="O862">
        <v>759.2</v>
      </c>
      <c r="P862">
        <f t="shared" si="13"/>
        <v>0.48379888268156424</v>
      </c>
    </row>
    <row r="863" spans="1:16" hidden="1" x14ac:dyDescent="0.25">
      <c r="A863">
        <v>0</v>
      </c>
      <c r="B863">
        <v>15000</v>
      </c>
      <c r="C863">
        <f>1.225 * (1 - 0.00000687559 * B863) ^ 4.2561</f>
        <v>0.77079726910167001</v>
      </c>
      <c r="D863">
        <f>E863*(SQRT($C$2/C863))</f>
        <v>277.34519205286364</v>
      </c>
      <c r="E863">
        <v>220</v>
      </c>
      <c r="F863">
        <v>1215</v>
      </c>
      <c r="G863">
        <v>750</v>
      </c>
      <c r="H863">
        <f>CONVERT(G863,"HP","kW")</f>
        <v>559.27490368670271</v>
      </c>
      <c r="I863">
        <v>0.72030000000000005</v>
      </c>
      <c r="J863">
        <v>1.7781</v>
      </c>
      <c r="K863">
        <v>0.70409999999999995</v>
      </c>
      <c r="L863">
        <v>8.9499999999999996E-2</v>
      </c>
      <c r="M863">
        <v>3.6200000000000003E-2</v>
      </c>
      <c r="N863">
        <f>CONVERT(O863,"lbf","N")</f>
        <v>2823.7310813673653</v>
      </c>
      <c r="O863">
        <v>634.79999999999995</v>
      </c>
      <c r="P863">
        <f t="shared" si="13"/>
        <v>0.40446927374301683</v>
      </c>
    </row>
    <row r="864" spans="1:16" hidden="1" x14ac:dyDescent="0.25">
      <c r="A864">
        <v>0</v>
      </c>
      <c r="B864">
        <v>10000</v>
      </c>
      <c r="C864">
        <f>1.225 * (1 - 0.00000687559 * B864) ^ 4.2561</f>
        <v>0.90462252368600637</v>
      </c>
      <c r="D864">
        <f>E864*(SQRT($C$2/C864))</f>
        <v>279.28369884784883</v>
      </c>
      <c r="E864">
        <v>240</v>
      </c>
      <c r="F864">
        <v>1150</v>
      </c>
      <c r="G864">
        <v>750</v>
      </c>
      <c r="H864">
        <f>CONVERT(G864,"HP","kW")</f>
        <v>559.27490368670271</v>
      </c>
      <c r="I864">
        <v>0.75109999999999999</v>
      </c>
      <c r="J864">
        <v>1.8917999999999999</v>
      </c>
      <c r="K864">
        <v>0.67079999999999995</v>
      </c>
      <c r="L864">
        <v>8.9800000000000005E-2</v>
      </c>
      <c r="M864">
        <v>3.56E-2</v>
      </c>
      <c r="N864">
        <f>CONVERT(O864,"lbf","N")</f>
        <v>2923.8160677107262</v>
      </c>
      <c r="O864">
        <v>657.3</v>
      </c>
      <c r="P864">
        <f t="shared" si="13"/>
        <v>0.39643652561247211</v>
      </c>
    </row>
    <row r="865" spans="1:16" hidden="1" x14ac:dyDescent="0.25">
      <c r="A865">
        <v>0</v>
      </c>
      <c r="B865">
        <v>10000</v>
      </c>
      <c r="C865">
        <f>1.225 * (1 - 0.00000687559 * B865) ^ 4.2561</f>
        <v>0.90462252368600637</v>
      </c>
      <c r="D865">
        <f>E865*(SQRT($C$2/C865))</f>
        <v>0</v>
      </c>
      <c r="E865">
        <v>0</v>
      </c>
      <c r="F865">
        <v>1150</v>
      </c>
      <c r="G865">
        <v>750</v>
      </c>
      <c r="H865">
        <f>CONVERT(G865,"HP","kW")</f>
        <v>559.27490368670271</v>
      </c>
      <c r="I865">
        <v>0</v>
      </c>
      <c r="J865">
        <v>0</v>
      </c>
      <c r="K865">
        <v>0.49859999999999999</v>
      </c>
      <c r="L865">
        <v>8.9899999999999994E-2</v>
      </c>
      <c r="M865">
        <v>0.19639999999999999</v>
      </c>
      <c r="N865">
        <f>CONVERT(O865,"lbf","N")</f>
        <v>16086.993471589598</v>
      </c>
      <c r="O865">
        <v>3616.5</v>
      </c>
      <c r="P865">
        <f t="shared" si="13"/>
        <v>2.1846496106785316</v>
      </c>
    </row>
    <row r="866" spans="1:16" hidden="1" x14ac:dyDescent="0.25">
      <c r="A866">
        <v>0</v>
      </c>
      <c r="B866">
        <v>10000</v>
      </c>
      <c r="C866">
        <f>1.225 * (1 - 0.00000687559 * B866) ^ 4.2561</f>
        <v>0.90462252368600637</v>
      </c>
      <c r="D866">
        <f>E866*(SQRT($C$2/C866))</f>
        <v>23.273641570654068</v>
      </c>
      <c r="E866">
        <v>20</v>
      </c>
      <c r="F866">
        <v>1150</v>
      </c>
      <c r="G866">
        <v>750</v>
      </c>
      <c r="H866">
        <f>CONVERT(G866,"HP","kW")</f>
        <v>559.27490368670271</v>
      </c>
      <c r="I866">
        <v>0.30509999999999998</v>
      </c>
      <c r="J866">
        <v>0.15759999999999999</v>
      </c>
      <c r="K866">
        <v>0.50409999999999999</v>
      </c>
      <c r="L866">
        <v>8.9899999999999994E-2</v>
      </c>
      <c r="M866">
        <v>0.17399999999999999</v>
      </c>
      <c r="N866">
        <f>CONVERT(O866,"lbf","N")</f>
        <v>14250.322766648538</v>
      </c>
      <c r="O866">
        <v>3203.6</v>
      </c>
      <c r="P866">
        <f t="shared" si="13"/>
        <v>1.935483870967742</v>
      </c>
    </row>
    <row r="867" spans="1:16" hidden="1" x14ac:dyDescent="0.25">
      <c r="A867">
        <v>0</v>
      </c>
      <c r="B867">
        <v>10000</v>
      </c>
      <c r="C867">
        <f>1.225 * (1 - 0.00000687559 * B867) ^ 4.2561</f>
        <v>0.90462252368600637</v>
      </c>
      <c r="D867">
        <f>E867*(SQRT($C$2/C867))</f>
        <v>46.547283141308135</v>
      </c>
      <c r="E867">
        <v>40</v>
      </c>
      <c r="F867">
        <v>1150</v>
      </c>
      <c r="G867">
        <v>750</v>
      </c>
      <c r="H867">
        <f>CONVERT(G867,"HP","kW")</f>
        <v>559.27490368670271</v>
      </c>
      <c r="I867">
        <v>0.53010000000000002</v>
      </c>
      <c r="J867">
        <v>0.31530000000000002</v>
      </c>
      <c r="K867">
        <v>0.51060000000000005</v>
      </c>
      <c r="L867">
        <v>8.9899999999999994E-2</v>
      </c>
      <c r="M867">
        <v>0.15110000000000001</v>
      </c>
      <c r="N867">
        <f>CONVERT(O867,"lbf","N")</f>
        <v>12379.845577431497</v>
      </c>
      <c r="O867">
        <v>2783.1</v>
      </c>
      <c r="P867">
        <f t="shared" si="13"/>
        <v>1.6807563959955509</v>
      </c>
    </row>
    <row r="868" spans="1:16" hidden="1" x14ac:dyDescent="0.25">
      <c r="A868">
        <v>0</v>
      </c>
      <c r="B868">
        <v>10000</v>
      </c>
      <c r="C868">
        <f>1.225 * (1 - 0.00000687559 * B868) ^ 4.2561</f>
        <v>0.90462252368600637</v>
      </c>
      <c r="D868">
        <f>E868*(SQRT($C$2/C868))</f>
        <v>69.820924711962206</v>
      </c>
      <c r="E868">
        <v>60</v>
      </c>
      <c r="F868">
        <v>1150</v>
      </c>
      <c r="G868">
        <v>750</v>
      </c>
      <c r="H868">
        <f>CONVERT(G868,"HP","kW")</f>
        <v>559.27490368670271</v>
      </c>
      <c r="I868">
        <v>0.67559999999999998</v>
      </c>
      <c r="J868">
        <v>0.47289999999999999</v>
      </c>
      <c r="K868">
        <v>0.51849999999999996</v>
      </c>
      <c r="L868">
        <v>8.9899999999999994E-2</v>
      </c>
      <c r="M868">
        <v>0.12839999999999999</v>
      </c>
      <c r="N868">
        <f>CONVERT(O868,"lbf","N")</f>
        <v>10519.599297929557</v>
      </c>
      <c r="O868">
        <v>2364.9</v>
      </c>
      <c r="P868">
        <f t="shared" si="13"/>
        <v>1.4282536151279199</v>
      </c>
    </row>
    <row r="869" spans="1:16" hidden="1" x14ac:dyDescent="0.25">
      <c r="A869">
        <v>0</v>
      </c>
      <c r="B869">
        <v>10000</v>
      </c>
      <c r="C869">
        <f>1.225 * (1 - 0.00000687559 * B869) ^ 4.2561</f>
        <v>0.90462252368600637</v>
      </c>
      <c r="D869">
        <f>E869*(SQRT($C$2/C869))</f>
        <v>93.09456628261627</v>
      </c>
      <c r="E869">
        <v>80</v>
      </c>
      <c r="F869">
        <v>1150</v>
      </c>
      <c r="G869">
        <v>750</v>
      </c>
      <c r="H869">
        <f>CONVERT(G869,"HP","kW")</f>
        <v>559.27490368670271</v>
      </c>
      <c r="I869">
        <v>0.76219999999999999</v>
      </c>
      <c r="J869">
        <v>0.63060000000000005</v>
      </c>
      <c r="K869">
        <v>0.52810000000000001</v>
      </c>
      <c r="L869">
        <v>8.9899999999999994E-2</v>
      </c>
      <c r="M869">
        <v>0.1087</v>
      </c>
      <c r="N869">
        <f>CONVERT(O869,"lbf","N")</f>
        <v>8900.8914521362603</v>
      </c>
      <c r="O869">
        <v>2001</v>
      </c>
      <c r="P869">
        <f t="shared" si="13"/>
        <v>1.2091212458286986</v>
      </c>
    </row>
    <row r="870" spans="1:16" hidden="1" x14ac:dyDescent="0.25">
      <c r="A870">
        <v>0</v>
      </c>
      <c r="B870">
        <v>10000</v>
      </c>
      <c r="C870">
        <f>1.225 * (1 - 0.00000687559 * B870) ^ 4.2561</f>
        <v>0.90462252368600637</v>
      </c>
      <c r="D870">
        <f>E870*(SQRT($C$2/C870))</f>
        <v>116.36820785327033</v>
      </c>
      <c r="E870">
        <v>100</v>
      </c>
      <c r="F870">
        <v>1150</v>
      </c>
      <c r="G870">
        <v>750</v>
      </c>
      <c r="H870">
        <f>CONVERT(G870,"HP","kW")</f>
        <v>559.27490368670271</v>
      </c>
      <c r="I870">
        <v>0.81079999999999997</v>
      </c>
      <c r="J870">
        <v>0.78820000000000001</v>
      </c>
      <c r="K870">
        <v>0.53969999999999996</v>
      </c>
      <c r="L870">
        <v>8.9899999999999994E-2</v>
      </c>
      <c r="M870">
        <v>9.2499999999999999E-2</v>
      </c>
      <c r="N870">
        <f>CONVERT(O870,"lbf","N")</f>
        <v>7574.4317664655791</v>
      </c>
      <c r="O870">
        <v>1702.8</v>
      </c>
      <c r="P870">
        <f t="shared" si="13"/>
        <v>1.0289210233592883</v>
      </c>
    </row>
    <row r="871" spans="1:16" hidden="1" x14ac:dyDescent="0.25">
      <c r="A871">
        <v>0</v>
      </c>
      <c r="B871">
        <v>10000</v>
      </c>
      <c r="C871">
        <f>1.225 * (1 - 0.00000687559 * B871) ^ 4.2561</f>
        <v>0.90462252368600637</v>
      </c>
      <c r="D871">
        <f>E871*(SQRT($C$2/C871))</f>
        <v>162.91549099457848</v>
      </c>
      <c r="E871">
        <v>140</v>
      </c>
      <c r="F871">
        <v>1150</v>
      </c>
      <c r="G871">
        <v>750</v>
      </c>
      <c r="H871">
        <f>CONVERT(G871,"HP","kW")</f>
        <v>559.27490368670271</v>
      </c>
      <c r="I871">
        <v>0.84560000000000002</v>
      </c>
      <c r="J871">
        <v>1.1034999999999999</v>
      </c>
      <c r="K871">
        <v>0.56879999999999997</v>
      </c>
      <c r="L871">
        <v>8.9899999999999994E-2</v>
      </c>
      <c r="M871">
        <v>6.8900000000000003E-2</v>
      </c>
      <c r="N871">
        <f>CONVERT(O871,"lbf","N")</f>
        <v>5643.0139411194705</v>
      </c>
      <c r="O871">
        <v>1268.5999999999999</v>
      </c>
      <c r="P871">
        <f t="shared" si="13"/>
        <v>0.76640711902113468</v>
      </c>
    </row>
    <row r="872" spans="1:16" hidden="1" x14ac:dyDescent="0.25">
      <c r="A872">
        <v>0</v>
      </c>
      <c r="B872">
        <v>10000</v>
      </c>
      <c r="C872">
        <f>1.225 * (1 - 0.00000687559 * B872) ^ 4.2561</f>
        <v>0.90462252368600637</v>
      </c>
      <c r="D872">
        <f>E872*(SQRT($C$2/C872))</f>
        <v>186.18913256523254</v>
      </c>
      <c r="E872">
        <v>160</v>
      </c>
      <c r="F872">
        <v>1150</v>
      </c>
      <c r="G872">
        <v>750</v>
      </c>
      <c r="H872">
        <f>CONVERT(G872,"HP","kW")</f>
        <v>559.27490368670271</v>
      </c>
      <c r="I872">
        <v>0.84599999999999997</v>
      </c>
      <c r="J872">
        <v>1.2612000000000001</v>
      </c>
      <c r="K872">
        <v>0.58609999999999995</v>
      </c>
      <c r="L872">
        <v>8.9899999999999994E-2</v>
      </c>
      <c r="M872">
        <v>6.0299999999999999E-2</v>
      </c>
      <c r="N872">
        <f>CONVERT(O872,"lbf","N")</f>
        <v>4939.7501037467855</v>
      </c>
      <c r="O872">
        <v>1110.5</v>
      </c>
      <c r="P872">
        <f t="shared" si="13"/>
        <v>0.6707452725250278</v>
      </c>
    </row>
    <row r="873" spans="1:16" hidden="1" x14ac:dyDescent="0.25">
      <c r="A873">
        <v>0</v>
      </c>
      <c r="B873">
        <v>10000</v>
      </c>
      <c r="C873">
        <f>1.225 * (1 - 0.00000687559 * B873) ^ 4.2561</f>
        <v>0.90462252368600637</v>
      </c>
      <c r="D873">
        <f>E873*(SQRT($C$2/C873))</f>
        <v>209.4627741358866</v>
      </c>
      <c r="E873">
        <v>180</v>
      </c>
      <c r="F873">
        <v>1150</v>
      </c>
      <c r="G873">
        <v>750</v>
      </c>
      <c r="H873">
        <f>CONVERT(G873,"HP","kW")</f>
        <v>559.27490368670271</v>
      </c>
      <c r="I873">
        <v>0.83830000000000005</v>
      </c>
      <c r="J873">
        <v>1.4188000000000001</v>
      </c>
      <c r="K873">
        <v>0.60509999999999997</v>
      </c>
      <c r="L873">
        <v>8.9899999999999994E-2</v>
      </c>
      <c r="M873">
        <v>5.3100000000000001E-2</v>
      </c>
      <c r="N873">
        <f>CONVERT(O873,"lbf","N")</f>
        <v>4351.2503840478212</v>
      </c>
      <c r="O873">
        <v>978.2</v>
      </c>
      <c r="P873">
        <f t="shared" si="13"/>
        <v>0.59065628476084542</v>
      </c>
    </row>
    <row r="874" spans="1:16" hidden="1" x14ac:dyDescent="0.25">
      <c r="A874">
        <v>0</v>
      </c>
      <c r="B874">
        <v>10000</v>
      </c>
      <c r="C874">
        <f>1.225 * (1 - 0.00000687559 * B874) ^ 4.2561</f>
        <v>0.90462252368600637</v>
      </c>
      <c r="D874">
        <f>E874*(SQRT($C$2/C874))</f>
        <v>232.73641570654067</v>
      </c>
      <c r="E874">
        <v>200</v>
      </c>
      <c r="F874">
        <v>1150</v>
      </c>
      <c r="G874">
        <v>750</v>
      </c>
      <c r="H874">
        <f>CONVERT(G874,"HP","kW")</f>
        <v>559.27490368670271</v>
      </c>
      <c r="I874">
        <v>0.82179999999999997</v>
      </c>
      <c r="J874">
        <v>1.5765</v>
      </c>
      <c r="K874">
        <v>0.62570000000000003</v>
      </c>
      <c r="L874">
        <v>8.9899999999999994E-2</v>
      </c>
      <c r="M874">
        <v>4.6899999999999997E-2</v>
      </c>
      <c r="N874">
        <f>CONVERT(O874,"lbf","N")</f>
        <v>3838.8152539698117</v>
      </c>
      <c r="O874">
        <v>863</v>
      </c>
      <c r="P874">
        <f t="shared" si="13"/>
        <v>0.52169076751946608</v>
      </c>
    </row>
    <row r="875" spans="1:16" hidden="1" x14ac:dyDescent="0.25">
      <c r="A875">
        <v>0</v>
      </c>
      <c r="B875">
        <v>10000</v>
      </c>
      <c r="C875">
        <f>1.225 * (1 - 0.00000687559 * B875) ^ 4.2561</f>
        <v>0.90462252368600637</v>
      </c>
      <c r="D875">
        <f>E875*(SQRT($C$2/C875))</f>
        <v>256.01005727719473</v>
      </c>
      <c r="E875">
        <v>220</v>
      </c>
      <c r="F875">
        <v>1150</v>
      </c>
      <c r="G875">
        <v>750</v>
      </c>
      <c r="H875">
        <f>CONVERT(G875,"HP","kW")</f>
        <v>559.27490368670271</v>
      </c>
      <c r="I875">
        <v>0.79349999999999998</v>
      </c>
      <c r="J875">
        <v>1.7341</v>
      </c>
      <c r="K875">
        <v>0.64759999999999995</v>
      </c>
      <c r="L875">
        <v>8.9899999999999994E-2</v>
      </c>
      <c r="M875">
        <v>4.1099999999999998E-2</v>
      </c>
      <c r="N875">
        <f>CONVERT(O875,"lbf","N")</f>
        <v>3369.527873559829</v>
      </c>
      <c r="O875">
        <v>757.5</v>
      </c>
      <c r="P875">
        <f t="shared" si="13"/>
        <v>0.45717463848720802</v>
      </c>
    </row>
    <row r="876" spans="1:16" hidden="1" x14ac:dyDescent="0.25">
      <c r="A876">
        <v>0</v>
      </c>
      <c r="B876">
        <v>10000</v>
      </c>
      <c r="C876">
        <f>1.225 * (1 - 0.00000687559 * B876) ^ 4.2561</f>
        <v>0.90462252368600637</v>
      </c>
      <c r="D876">
        <f>E876*(SQRT($C$2/C876))</f>
        <v>302.55734041850286</v>
      </c>
      <c r="E876">
        <v>260</v>
      </c>
      <c r="F876">
        <v>1150</v>
      </c>
      <c r="G876">
        <v>750</v>
      </c>
      <c r="H876">
        <f>CONVERT(G876,"HP","kW")</f>
        <v>559.27490368670271</v>
      </c>
      <c r="I876">
        <v>0.68530000000000002</v>
      </c>
      <c r="J876">
        <v>2.0493999999999999</v>
      </c>
      <c r="K876">
        <v>0.69520000000000004</v>
      </c>
      <c r="L876">
        <v>8.9899999999999994E-2</v>
      </c>
      <c r="M876">
        <v>0.03</v>
      </c>
      <c r="N876">
        <f>CONVERT(O876,"lbf","N")</f>
        <v>2462.5354862082131</v>
      </c>
      <c r="O876">
        <v>553.6</v>
      </c>
      <c r="P876">
        <f t="shared" si="13"/>
        <v>0.33370411568409347</v>
      </c>
    </row>
    <row r="877" spans="1:16" hidden="1" x14ac:dyDescent="0.25">
      <c r="A877">
        <v>0</v>
      </c>
      <c r="B877">
        <v>10000</v>
      </c>
      <c r="C877">
        <f>1.225 * (1 - 0.00000687559 * B877) ^ 4.2561</f>
        <v>0.90462252368600637</v>
      </c>
      <c r="D877">
        <f>E877*(SQRT($C$2/C877))</f>
        <v>139.64184942392441</v>
      </c>
      <c r="E877">
        <v>120</v>
      </c>
      <c r="F877">
        <v>1150</v>
      </c>
      <c r="G877">
        <v>750</v>
      </c>
      <c r="H877">
        <f>CONVERT(G877,"HP","kW")</f>
        <v>559.27490368670271</v>
      </c>
      <c r="I877">
        <v>0.83560000000000001</v>
      </c>
      <c r="J877">
        <v>0.94589999999999996</v>
      </c>
      <c r="K877">
        <v>0.55330000000000001</v>
      </c>
      <c r="L877">
        <v>0.09</v>
      </c>
      <c r="M877">
        <v>7.9500000000000001E-2</v>
      </c>
      <c r="N877">
        <f>CONVERT(O877,"lbf","N")</f>
        <v>6505.5241123184815</v>
      </c>
      <c r="O877">
        <v>1462.5</v>
      </c>
      <c r="P877">
        <f t="shared" si="13"/>
        <v>0.88333333333333341</v>
      </c>
    </row>
    <row r="878" spans="1:16" hidden="1" x14ac:dyDescent="0.25">
      <c r="A878">
        <v>0</v>
      </c>
      <c r="B878">
        <v>30000</v>
      </c>
      <c r="C878">
        <f>1.225 * (1 - 0.00000687559 * B878) ^ 4.2561</f>
        <v>0.45828836225470948</v>
      </c>
      <c r="D878">
        <f>E878*(SQRT($C$2/C878))</f>
        <v>196.19135918703881</v>
      </c>
      <c r="E878">
        <v>120</v>
      </c>
      <c r="F878">
        <v>987</v>
      </c>
      <c r="G878">
        <v>250</v>
      </c>
      <c r="H878">
        <f>CONVERT(G878,"HP","kW")</f>
        <v>186.42496789556756</v>
      </c>
      <c r="I878">
        <v>0.84199999999999997</v>
      </c>
      <c r="J878">
        <v>1.5484</v>
      </c>
      <c r="K878">
        <v>0.57820000000000005</v>
      </c>
      <c r="L878">
        <v>9.35E-2</v>
      </c>
      <c r="M878">
        <v>5.0799999999999998E-2</v>
      </c>
      <c r="N878">
        <f>CONVERT(O878,"lbf","N")</f>
        <v>1555.0982766950708</v>
      </c>
      <c r="O878">
        <v>349.6</v>
      </c>
      <c r="P878">
        <f t="shared" si="13"/>
        <v>0.54331550802139039</v>
      </c>
    </row>
    <row r="879" spans="1:16" hidden="1" x14ac:dyDescent="0.25">
      <c r="A879">
        <v>0</v>
      </c>
      <c r="B879">
        <v>30000</v>
      </c>
      <c r="C879">
        <f>1.225 * (1 - 0.00000687559 * B879) ^ 4.2561</f>
        <v>0.45828836225470948</v>
      </c>
      <c r="D879">
        <f>E879*(SQRT($C$2/C879))</f>
        <v>261.58847891605171</v>
      </c>
      <c r="E879">
        <v>160</v>
      </c>
      <c r="F879">
        <v>987</v>
      </c>
      <c r="G879">
        <v>250</v>
      </c>
      <c r="H879">
        <f>CONVERT(G879,"HP","kW")</f>
        <v>186.42496789556756</v>
      </c>
      <c r="I879">
        <v>0.7369</v>
      </c>
      <c r="J879">
        <v>2.0644999999999998</v>
      </c>
      <c r="K879">
        <v>0.64849999999999997</v>
      </c>
      <c r="L879">
        <v>9.35E-2</v>
      </c>
      <c r="M879">
        <v>3.3399999999999999E-2</v>
      </c>
      <c r="N879">
        <f>CONVERT(O879,"lbf","N")</f>
        <v>1020.8668607022847</v>
      </c>
      <c r="O879">
        <v>229.5</v>
      </c>
      <c r="P879">
        <f t="shared" si="13"/>
        <v>0.35721925133689841</v>
      </c>
    </row>
    <row r="880" spans="1:16" hidden="1" x14ac:dyDescent="0.25">
      <c r="A880">
        <v>0</v>
      </c>
      <c r="B880">
        <v>30000</v>
      </c>
      <c r="C880">
        <f>1.225 * (1 - 0.00000687559 * B880) ^ 4.2561</f>
        <v>0.45828836225470948</v>
      </c>
      <c r="D880">
        <f>E880*(SQRT($C$2/C880))</f>
        <v>294.28703878055819</v>
      </c>
      <c r="E880">
        <v>180</v>
      </c>
      <c r="F880">
        <v>987</v>
      </c>
      <c r="G880">
        <v>250</v>
      </c>
      <c r="H880">
        <f>CONVERT(G880,"HP","kW")</f>
        <v>186.42496789556756</v>
      </c>
      <c r="I880">
        <v>0.62629999999999997</v>
      </c>
      <c r="J880">
        <v>2.3226</v>
      </c>
      <c r="K880">
        <v>0.68769999999999998</v>
      </c>
      <c r="L880">
        <v>9.35E-2</v>
      </c>
      <c r="M880">
        <v>2.52E-2</v>
      </c>
      <c r="N880">
        <f>CONVERT(O880,"lbf","N")</f>
        <v>771.32162808617068</v>
      </c>
      <c r="O880">
        <v>173.4</v>
      </c>
      <c r="P880">
        <f t="shared" si="13"/>
        <v>0.26951871657754012</v>
      </c>
    </row>
    <row r="881" spans="1:16" hidden="1" x14ac:dyDescent="0.25">
      <c r="A881">
        <v>0</v>
      </c>
      <c r="B881">
        <v>30000</v>
      </c>
      <c r="C881">
        <f>1.225 * (1 - 0.00000687559 * B881) ^ 4.2561</f>
        <v>0.45828836225470948</v>
      </c>
      <c r="D881">
        <f>E881*(SQRT($C$2/C881))</f>
        <v>392.38271837407763</v>
      </c>
      <c r="E881">
        <v>240</v>
      </c>
      <c r="F881">
        <v>987</v>
      </c>
      <c r="G881">
        <v>250</v>
      </c>
      <c r="H881">
        <f>CONVERT(G881,"HP","kW")</f>
        <v>186.42496789556756</v>
      </c>
      <c r="I881">
        <v>-0.82509999999999994</v>
      </c>
      <c r="J881">
        <v>3.0968</v>
      </c>
      <c r="K881">
        <v>0.81659999999999999</v>
      </c>
      <c r="L881">
        <v>9.35E-2</v>
      </c>
      <c r="M881">
        <v>-2.4899999999999999E-2</v>
      </c>
      <c r="N881">
        <f>CONVERT(O881,"lbf","N")</f>
        <v>-761.98036269412364</v>
      </c>
      <c r="O881">
        <v>-171.3</v>
      </c>
      <c r="P881">
        <f t="shared" si="13"/>
        <v>-0.26631016042780747</v>
      </c>
    </row>
    <row r="882" spans="1:16" hidden="1" x14ac:dyDescent="0.25">
      <c r="A882">
        <v>0</v>
      </c>
      <c r="B882">
        <v>30000</v>
      </c>
      <c r="C882">
        <f>1.225 * (1 - 0.00000687559 * B882) ^ 4.2561</f>
        <v>0.45828836225470948</v>
      </c>
      <c r="D882">
        <f>E882*(SQRT($C$2/C882))</f>
        <v>425.08127823858405</v>
      </c>
      <c r="E882">
        <v>260</v>
      </c>
      <c r="F882">
        <v>987</v>
      </c>
      <c r="G882">
        <v>250</v>
      </c>
      <c r="H882">
        <f>CONVERT(G882,"HP","kW")</f>
        <v>186.42496789556756</v>
      </c>
      <c r="I882">
        <v>0</v>
      </c>
      <c r="J882">
        <v>3.3548</v>
      </c>
      <c r="K882">
        <v>0.86240000000000006</v>
      </c>
      <c r="L882">
        <v>9.35E-2</v>
      </c>
      <c r="M882">
        <v>-6.3600000000000004E-2</v>
      </c>
      <c r="N882">
        <f>CONVERT(O882,"lbf","N")</f>
        <v>-1943.4280237073124</v>
      </c>
      <c r="O882">
        <v>-436.9</v>
      </c>
      <c r="P882">
        <f t="shared" si="13"/>
        <v>-0.68021390374331558</v>
      </c>
    </row>
    <row r="883" spans="1:16" hidden="1" x14ac:dyDescent="0.25">
      <c r="A883">
        <v>0</v>
      </c>
      <c r="B883">
        <v>30000</v>
      </c>
      <c r="C883">
        <f>1.225 * (1 - 0.00000687559 * B883) ^ 4.2561</f>
        <v>0.45828836225470948</v>
      </c>
      <c r="D883">
        <f>E883*(SQRT($C$2/C883))</f>
        <v>0</v>
      </c>
      <c r="E883">
        <v>0</v>
      </c>
      <c r="F883">
        <v>987</v>
      </c>
      <c r="G883">
        <v>250</v>
      </c>
      <c r="H883">
        <f>CONVERT(G883,"HP","kW")</f>
        <v>186.42496789556756</v>
      </c>
      <c r="I883">
        <v>0</v>
      </c>
      <c r="J883">
        <v>0</v>
      </c>
      <c r="K883">
        <v>0.4632</v>
      </c>
      <c r="L883">
        <v>9.3600000000000003E-2</v>
      </c>
      <c r="M883">
        <v>0.2019</v>
      </c>
      <c r="N883">
        <f>CONVERT(O883,"lbf","N")</f>
        <v>6171.4626690124178</v>
      </c>
      <c r="O883">
        <v>1387.4</v>
      </c>
      <c r="P883">
        <f t="shared" si="13"/>
        <v>2.1570512820512819</v>
      </c>
    </row>
    <row r="884" spans="1:16" hidden="1" x14ac:dyDescent="0.25">
      <c r="A884">
        <v>0</v>
      </c>
      <c r="B884">
        <v>30000</v>
      </c>
      <c r="C884">
        <f>1.225 * (1 - 0.00000687559 * B884) ^ 4.2561</f>
        <v>0.45828836225470948</v>
      </c>
      <c r="D884">
        <f>E884*(SQRT($C$2/C884))</f>
        <v>32.698559864506464</v>
      </c>
      <c r="E884">
        <v>20</v>
      </c>
      <c r="F884">
        <v>987</v>
      </c>
      <c r="G884">
        <v>250</v>
      </c>
      <c r="H884">
        <f>CONVERT(G884,"HP","kW")</f>
        <v>186.42496789556756</v>
      </c>
      <c r="I884">
        <v>0.45390000000000003</v>
      </c>
      <c r="J884">
        <v>0.2581</v>
      </c>
      <c r="K884">
        <v>0.47220000000000001</v>
      </c>
      <c r="L884">
        <v>9.3600000000000003E-2</v>
      </c>
      <c r="M884">
        <v>0.1646</v>
      </c>
      <c r="N884">
        <f>CONVERT(O884,"lbf","N")</f>
        <v>5030.9386468596258</v>
      </c>
      <c r="O884">
        <v>1131</v>
      </c>
      <c r="P884">
        <f t="shared" si="13"/>
        <v>1.7585470085470085</v>
      </c>
    </row>
    <row r="885" spans="1:16" hidden="1" x14ac:dyDescent="0.25">
      <c r="A885">
        <v>0</v>
      </c>
      <c r="B885">
        <v>30000</v>
      </c>
      <c r="C885">
        <f>1.225 * (1 - 0.00000687559 * B885) ^ 4.2561</f>
        <v>0.45828836225470948</v>
      </c>
      <c r="D885">
        <f>E885*(SQRT($C$2/C885))</f>
        <v>65.397119729012928</v>
      </c>
      <c r="E885">
        <v>40</v>
      </c>
      <c r="F885">
        <v>987</v>
      </c>
      <c r="G885">
        <v>250</v>
      </c>
      <c r="H885">
        <f>CONVERT(G885,"HP","kW")</f>
        <v>186.42496789556756</v>
      </c>
      <c r="I885">
        <v>0.70250000000000001</v>
      </c>
      <c r="J885">
        <v>0.5161</v>
      </c>
      <c r="K885">
        <v>0.48420000000000002</v>
      </c>
      <c r="L885">
        <v>9.3600000000000003E-2</v>
      </c>
      <c r="M885">
        <v>0.12740000000000001</v>
      </c>
      <c r="N885">
        <f>CONVERT(O885,"lbf","N")</f>
        <v>3893.0835576759901</v>
      </c>
      <c r="O885">
        <v>875.2</v>
      </c>
      <c r="P885">
        <f t="shared" si="13"/>
        <v>1.3611111111111112</v>
      </c>
    </row>
    <row r="886" spans="1:16" hidden="1" x14ac:dyDescent="0.25">
      <c r="A886">
        <v>0</v>
      </c>
      <c r="B886">
        <v>30000</v>
      </c>
      <c r="C886">
        <f>1.225 * (1 - 0.00000687559 * B886) ^ 4.2561</f>
        <v>0.45828836225470948</v>
      </c>
      <c r="D886">
        <f>E886*(SQRT($C$2/C886))</f>
        <v>98.095679593519407</v>
      </c>
      <c r="E886">
        <v>60</v>
      </c>
      <c r="F886">
        <v>987</v>
      </c>
      <c r="G886">
        <v>250</v>
      </c>
      <c r="H886">
        <f>CONVERT(G886,"HP","kW")</f>
        <v>186.42496789556756</v>
      </c>
      <c r="I886">
        <v>0.81020000000000003</v>
      </c>
      <c r="J886">
        <v>0.7742</v>
      </c>
      <c r="K886">
        <v>0.50070000000000003</v>
      </c>
      <c r="L886">
        <v>9.3600000000000003E-2</v>
      </c>
      <c r="M886">
        <v>9.7900000000000001E-2</v>
      </c>
      <c r="N886">
        <f>CONVERT(O886,"lbf","N")</f>
        <v>2993.2083249087905</v>
      </c>
      <c r="O886">
        <v>672.9</v>
      </c>
      <c r="P886">
        <f t="shared" si="13"/>
        <v>1.045940170940171</v>
      </c>
    </row>
    <row r="887" spans="1:16" hidden="1" x14ac:dyDescent="0.25">
      <c r="A887">
        <v>0</v>
      </c>
      <c r="B887">
        <v>30000</v>
      </c>
      <c r="C887">
        <f>1.225 * (1 - 0.00000687559 * B887) ^ 4.2561</f>
        <v>0.45828836225470948</v>
      </c>
      <c r="D887">
        <f>E887*(SQRT($C$2/C887))</f>
        <v>130.79423945802586</v>
      </c>
      <c r="E887">
        <v>80</v>
      </c>
      <c r="F887">
        <v>987</v>
      </c>
      <c r="G887">
        <v>250</v>
      </c>
      <c r="H887">
        <f>CONVERT(G887,"HP","kW")</f>
        <v>186.42496789556756</v>
      </c>
      <c r="I887">
        <v>0.84970000000000001</v>
      </c>
      <c r="J887">
        <v>1.0323</v>
      </c>
      <c r="K887">
        <v>0.52200000000000002</v>
      </c>
      <c r="L887">
        <v>9.3600000000000003E-2</v>
      </c>
      <c r="M887">
        <v>7.6999999999999999E-2</v>
      </c>
      <c r="N887">
        <f>CONVERT(O887,"lbf","N")</f>
        <v>2353.9988787958569</v>
      </c>
      <c r="O887">
        <v>529.20000000000005</v>
      </c>
      <c r="P887">
        <f t="shared" si="13"/>
        <v>0.82264957264957261</v>
      </c>
    </row>
    <row r="888" spans="1:16" hidden="1" x14ac:dyDescent="0.25">
      <c r="A888">
        <v>0</v>
      </c>
      <c r="B888">
        <v>30000</v>
      </c>
      <c r="C888">
        <f>1.225 * (1 - 0.00000687559 * B888) ^ 4.2561</f>
        <v>0.45828836225470948</v>
      </c>
      <c r="D888">
        <f>E888*(SQRT($C$2/C888))</f>
        <v>163.49279932253233</v>
      </c>
      <c r="E888">
        <v>100</v>
      </c>
      <c r="F888">
        <v>987</v>
      </c>
      <c r="G888">
        <v>250</v>
      </c>
      <c r="H888">
        <f>CONVERT(G888,"HP","kW")</f>
        <v>186.42496789556756</v>
      </c>
      <c r="I888">
        <v>0.85660000000000003</v>
      </c>
      <c r="J888">
        <v>1.2903</v>
      </c>
      <c r="K888">
        <v>0.54800000000000004</v>
      </c>
      <c r="L888">
        <v>9.3600000000000003E-2</v>
      </c>
      <c r="M888">
        <v>6.2100000000000002E-2</v>
      </c>
      <c r="N888">
        <f>CONVERT(O888,"lbf","N")</f>
        <v>1898.5009853931815</v>
      </c>
      <c r="O888">
        <v>426.8</v>
      </c>
      <c r="P888">
        <f t="shared" si="13"/>
        <v>0.66346153846153844</v>
      </c>
    </row>
    <row r="889" spans="1:16" hidden="1" x14ac:dyDescent="0.25">
      <c r="A889">
        <v>0</v>
      </c>
      <c r="B889">
        <v>30000</v>
      </c>
      <c r="C889">
        <f>1.225 * (1 - 0.00000687559 * B889) ^ 4.2561</f>
        <v>0.45828836225470948</v>
      </c>
      <c r="D889">
        <f>E889*(SQRT($C$2/C889))</f>
        <v>228.88991905154526</v>
      </c>
      <c r="E889">
        <v>140</v>
      </c>
      <c r="F889">
        <v>987</v>
      </c>
      <c r="G889">
        <v>250</v>
      </c>
      <c r="H889">
        <f>CONVERT(G889,"HP","kW")</f>
        <v>186.42496789556756</v>
      </c>
      <c r="I889">
        <v>0.8044</v>
      </c>
      <c r="J889">
        <v>1.8065</v>
      </c>
      <c r="K889">
        <v>0.61180000000000001</v>
      </c>
      <c r="L889">
        <v>9.3600000000000003E-2</v>
      </c>
      <c r="M889">
        <v>4.1700000000000001E-2</v>
      </c>
      <c r="N889">
        <f>CONVERT(O889,"lbf","N")</f>
        <v>1273.5258484490812</v>
      </c>
      <c r="O889">
        <v>286.3</v>
      </c>
      <c r="P889">
        <f t="shared" si="13"/>
        <v>0.44551282051282048</v>
      </c>
    </row>
    <row r="890" spans="1:16" hidden="1" x14ac:dyDescent="0.25">
      <c r="A890">
        <v>0</v>
      </c>
      <c r="B890">
        <v>30000</v>
      </c>
      <c r="C890">
        <f>1.225 * (1 - 0.00000687559 * B890) ^ 4.2561</f>
        <v>0.45828836225470948</v>
      </c>
      <c r="D890">
        <f>E890*(SQRT($C$2/C890))</f>
        <v>326.98559864506467</v>
      </c>
      <c r="E890">
        <v>200</v>
      </c>
      <c r="F890">
        <v>987</v>
      </c>
      <c r="G890">
        <v>250</v>
      </c>
      <c r="H890">
        <f>CONVERT(G890,"HP","kW")</f>
        <v>186.42496789556756</v>
      </c>
      <c r="I890">
        <v>0.40329999999999999</v>
      </c>
      <c r="J890">
        <v>2.5807000000000002</v>
      </c>
      <c r="K890">
        <v>0.72899999999999998</v>
      </c>
      <c r="L890">
        <v>9.3600000000000003E-2</v>
      </c>
      <c r="M890">
        <v>1.46E-2</v>
      </c>
      <c r="N890">
        <f>CONVERT(O890,"lbf","N")</f>
        <v>447.04627233368024</v>
      </c>
      <c r="O890">
        <v>100.5</v>
      </c>
      <c r="P890">
        <f t="shared" si="13"/>
        <v>0.15598290598290598</v>
      </c>
    </row>
    <row r="891" spans="1:16" hidden="1" x14ac:dyDescent="0.25">
      <c r="A891">
        <v>0</v>
      </c>
      <c r="B891">
        <v>30000</v>
      </c>
      <c r="C891">
        <f>1.225 * (1 - 0.00000687559 * B891) ^ 4.2561</f>
        <v>0.45828836225470948</v>
      </c>
      <c r="D891">
        <f>E891*(SQRT($C$2/C891))</f>
        <v>359.68415850957115</v>
      </c>
      <c r="E891">
        <v>220</v>
      </c>
      <c r="F891">
        <v>987</v>
      </c>
      <c r="G891">
        <v>250</v>
      </c>
      <c r="H891">
        <f>CONVERT(G891,"HP","kW")</f>
        <v>186.42496789556756</v>
      </c>
      <c r="I891">
        <v>-4.2700000000000002E-2</v>
      </c>
      <c r="J891">
        <v>2.8386999999999998</v>
      </c>
      <c r="K891">
        <v>0.77200000000000002</v>
      </c>
      <c r="L891">
        <v>9.3600000000000003E-2</v>
      </c>
      <c r="M891">
        <v>-1.4E-3</v>
      </c>
      <c r="N891">
        <f>CONVERT(O891,"lbf","N")</f>
        <v>-43.147749668026847</v>
      </c>
      <c r="O891">
        <v>-9.6999999999999993</v>
      </c>
      <c r="P891">
        <f t="shared" si="13"/>
        <v>-1.4957264957264956E-2</v>
      </c>
    </row>
    <row r="892" spans="1:16" hidden="1" x14ac:dyDescent="0.25">
      <c r="A892">
        <v>0</v>
      </c>
      <c r="B892">
        <v>0</v>
      </c>
      <c r="C892">
        <f>1.225 * (1 - 0.00000687559 * B892) ^ 4.2561</f>
        <v>1.2250000000000001</v>
      </c>
      <c r="D892">
        <f>E892*(SQRT($C$2/C892))</f>
        <v>0</v>
      </c>
      <c r="E892">
        <v>0</v>
      </c>
      <c r="F892">
        <v>1215</v>
      </c>
      <c r="G892">
        <v>1250</v>
      </c>
      <c r="H892">
        <f>CONVERT(G892,"HP","kW")</f>
        <v>932.12483947783778</v>
      </c>
      <c r="I892">
        <v>0</v>
      </c>
      <c r="J892">
        <v>0</v>
      </c>
      <c r="K892">
        <v>0.50800000000000001</v>
      </c>
      <c r="L892">
        <v>9.3799999999999994E-2</v>
      </c>
      <c r="M892">
        <v>0.20200000000000001</v>
      </c>
      <c r="N892">
        <f>CONVERT(O892,"lbf","N")</f>
        <v>25008.34674315606</v>
      </c>
      <c r="O892">
        <v>5622.1</v>
      </c>
      <c r="P892">
        <f t="shared" si="13"/>
        <v>2.1535181236673777</v>
      </c>
    </row>
    <row r="893" spans="1:16" hidden="1" x14ac:dyDescent="0.25">
      <c r="A893">
        <v>0</v>
      </c>
      <c r="B893">
        <v>0</v>
      </c>
      <c r="C893">
        <f>1.225 * (1 - 0.00000687559 * B893) ^ 4.2561</f>
        <v>1.2250000000000001</v>
      </c>
      <c r="D893">
        <f>E893*(SQRT($C$2/C893))</f>
        <v>20</v>
      </c>
      <c r="E893">
        <v>20</v>
      </c>
      <c r="F893">
        <v>1215</v>
      </c>
      <c r="G893">
        <v>1250</v>
      </c>
      <c r="H893">
        <f>CONVERT(G893,"HP","kW")</f>
        <v>932.12483947783778</v>
      </c>
      <c r="I893">
        <v>0.25090000000000001</v>
      </c>
      <c r="J893">
        <v>0.12820000000000001</v>
      </c>
      <c r="K893">
        <v>0.51249999999999996</v>
      </c>
      <c r="L893">
        <v>9.3799999999999994E-2</v>
      </c>
      <c r="M893">
        <v>0.18360000000000001</v>
      </c>
      <c r="N893">
        <f>CONVERT(O893,"lbf","N")</f>
        <v>22727.298698850474</v>
      </c>
      <c r="O893">
        <v>5109.3</v>
      </c>
      <c r="P893">
        <f t="shared" si="13"/>
        <v>1.9573560767590621</v>
      </c>
    </row>
    <row r="894" spans="1:16" hidden="1" x14ac:dyDescent="0.25">
      <c r="A894">
        <v>0</v>
      </c>
      <c r="B894">
        <v>0</v>
      </c>
      <c r="C894">
        <f>1.225 * (1 - 0.00000687559 * B894) ^ 4.2561</f>
        <v>1.2250000000000001</v>
      </c>
      <c r="D894">
        <f>E894*(SQRT($C$2/C894))</f>
        <v>40</v>
      </c>
      <c r="E894">
        <v>40</v>
      </c>
      <c r="F894">
        <v>1215</v>
      </c>
      <c r="G894">
        <v>1250</v>
      </c>
      <c r="H894">
        <f>CONVERT(G894,"HP","kW")</f>
        <v>932.12483947783778</v>
      </c>
      <c r="I894">
        <v>0.4511</v>
      </c>
      <c r="J894">
        <v>0.25650000000000001</v>
      </c>
      <c r="K894">
        <v>0.51770000000000005</v>
      </c>
      <c r="L894">
        <v>9.3799999999999994E-2</v>
      </c>
      <c r="M894">
        <v>0.16500000000000001</v>
      </c>
      <c r="N894">
        <f>CONVERT(O894,"lbf","N")</f>
        <v>20436.019744829788</v>
      </c>
      <c r="O894">
        <v>4594.2</v>
      </c>
      <c r="P894">
        <f t="shared" si="13"/>
        <v>1.7590618336886996</v>
      </c>
    </row>
    <row r="895" spans="1:16" hidden="1" x14ac:dyDescent="0.25">
      <c r="A895">
        <v>0</v>
      </c>
      <c r="B895">
        <v>0</v>
      </c>
      <c r="C895">
        <f>1.225 * (1 - 0.00000687559 * B895) ^ 4.2561</f>
        <v>1.2250000000000001</v>
      </c>
      <c r="D895">
        <f>E895*(SQRT($C$2/C895))</f>
        <v>60</v>
      </c>
      <c r="E895">
        <v>60</v>
      </c>
      <c r="F895">
        <v>1215</v>
      </c>
      <c r="G895">
        <v>1250</v>
      </c>
      <c r="H895">
        <f>CONVERT(G895,"HP","kW")</f>
        <v>932.12483947783778</v>
      </c>
      <c r="I895">
        <v>0.59889999999999999</v>
      </c>
      <c r="J895">
        <v>0.38469999999999999</v>
      </c>
      <c r="K895">
        <v>0.52370000000000005</v>
      </c>
      <c r="L895">
        <v>9.3799999999999994E-2</v>
      </c>
      <c r="M895">
        <v>0.14610000000000001</v>
      </c>
      <c r="N895">
        <f>CONVERT(O895,"lbf","N")</f>
        <v>18087.358731972243</v>
      </c>
      <c r="O895">
        <v>4066.2</v>
      </c>
      <c r="P895">
        <f t="shared" si="13"/>
        <v>1.5575692963752668</v>
      </c>
    </row>
    <row r="896" spans="1:16" hidden="1" x14ac:dyDescent="0.25">
      <c r="A896">
        <v>0</v>
      </c>
      <c r="B896">
        <v>0</v>
      </c>
      <c r="C896">
        <f>1.225 * (1 - 0.00000687559 * B896) ^ 4.2561</f>
        <v>1.2250000000000001</v>
      </c>
      <c r="D896">
        <f>E896*(SQRT($C$2/C896))</f>
        <v>80</v>
      </c>
      <c r="E896">
        <v>80</v>
      </c>
      <c r="F896">
        <v>1215</v>
      </c>
      <c r="G896">
        <v>1250</v>
      </c>
      <c r="H896">
        <f>CONVERT(G896,"HP","kW")</f>
        <v>932.12483947783778</v>
      </c>
      <c r="I896">
        <v>0.69950000000000001</v>
      </c>
      <c r="J896">
        <v>0.51290000000000002</v>
      </c>
      <c r="K896">
        <v>0.53080000000000005</v>
      </c>
      <c r="L896">
        <v>9.3799999999999994E-2</v>
      </c>
      <c r="M896">
        <v>0.128</v>
      </c>
      <c r="N896">
        <f>CONVERT(O896,"lbf","N")</f>
        <v>15843.230927073322</v>
      </c>
      <c r="O896">
        <v>3561.7</v>
      </c>
      <c r="P896">
        <f t="shared" si="13"/>
        <v>1.3646055437100215</v>
      </c>
    </row>
    <row r="897" spans="1:16" hidden="1" x14ac:dyDescent="0.25">
      <c r="A897">
        <v>0</v>
      </c>
      <c r="B897">
        <v>0</v>
      </c>
      <c r="C897">
        <f>1.225 * (1 - 0.00000687559 * B897) ^ 4.2561</f>
        <v>1.2250000000000001</v>
      </c>
      <c r="D897">
        <f>E897*(SQRT($C$2/C897))</f>
        <v>100</v>
      </c>
      <c r="E897">
        <v>100</v>
      </c>
      <c r="F897">
        <v>1215</v>
      </c>
      <c r="G897">
        <v>1250</v>
      </c>
      <c r="H897">
        <f>CONVERT(G897,"HP","kW")</f>
        <v>932.12483947783778</v>
      </c>
      <c r="I897">
        <v>0.76529999999999998</v>
      </c>
      <c r="J897">
        <v>0.6411</v>
      </c>
      <c r="K897">
        <v>0.53910000000000002</v>
      </c>
      <c r="L897">
        <v>9.3799999999999994E-2</v>
      </c>
      <c r="M897">
        <v>0.112</v>
      </c>
      <c r="N897">
        <f>CONVERT(O897,"lbf","N")</f>
        <v>13867.330885574611</v>
      </c>
      <c r="O897">
        <v>3117.5</v>
      </c>
      <c r="P897">
        <f t="shared" si="13"/>
        <v>1.1940298507462688</v>
      </c>
    </row>
    <row r="898" spans="1:16" hidden="1" x14ac:dyDescent="0.25">
      <c r="A898">
        <v>0</v>
      </c>
      <c r="B898">
        <v>0</v>
      </c>
      <c r="C898">
        <f>1.225 * (1 - 0.00000687559 * B898) ^ 4.2561</f>
        <v>1.2250000000000001</v>
      </c>
      <c r="D898">
        <f>E898*(SQRT($C$2/C898))</f>
        <v>120</v>
      </c>
      <c r="E898">
        <v>120</v>
      </c>
      <c r="F898">
        <v>1215</v>
      </c>
      <c r="G898">
        <v>1250</v>
      </c>
      <c r="H898">
        <f>CONVERT(G898,"HP","kW")</f>
        <v>932.12483947783778</v>
      </c>
      <c r="I898">
        <v>0.80689999999999995</v>
      </c>
      <c r="J898">
        <v>0.76939999999999997</v>
      </c>
      <c r="K898">
        <v>0.54869999999999997</v>
      </c>
      <c r="L898">
        <v>9.3799999999999994E-2</v>
      </c>
      <c r="M898">
        <v>9.8400000000000001E-2</v>
      </c>
      <c r="N898">
        <f>CONVERT(O898,"lbf","N")</f>
        <v>12183.679004198511</v>
      </c>
      <c r="O898">
        <v>2739</v>
      </c>
      <c r="P898">
        <f t="shared" si="13"/>
        <v>1.0490405117270789</v>
      </c>
    </row>
    <row r="899" spans="1:16" hidden="1" x14ac:dyDescent="0.25">
      <c r="A899">
        <v>0</v>
      </c>
      <c r="B899">
        <v>0</v>
      </c>
      <c r="C899">
        <f>1.225 * (1 - 0.00000687559 * B899) ^ 4.2561</f>
        <v>1.2250000000000001</v>
      </c>
      <c r="D899">
        <f>E899*(SQRT($C$2/C899))</f>
        <v>140</v>
      </c>
      <c r="E899">
        <v>140</v>
      </c>
      <c r="F899">
        <v>1215</v>
      </c>
      <c r="G899">
        <v>1250</v>
      </c>
      <c r="H899">
        <f>CONVERT(G899,"HP","kW")</f>
        <v>932.12483947783778</v>
      </c>
      <c r="I899">
        <v>0.83160000000000001</v>
      </c>
      <c r="J899">
        <v>0.89759999999999995</v>
      </c>
      <c r="K899">
        <v>0.55959999999999999</v>
      </c>
      <c r="L899">
        <v>9.3799999999999994E-2</v>
      </c>
      <c r="M899">
        <v>8.6900000000000005E-2</v>
      </c>
      <c r="N899">
        <f>CONVERT(O899,"lbf","N")</f>
        <v>10762.027375961254</v>
      </c>
      <c r="O899">
        <v>2419.4</v>
      </c>
      <c r="P899">
        <f t="shared" ref="P899:P962" si="14">M899/L899</f>
        <v>0.92643923240938175</v>
      </c>
    </row>
    <row r="900" spans="1:16" hidden="1" x14ac:dyDescent="0.25">
      <c r="A900">
        <v>0</v>
      </c>
      <c r="B900">
        <v>0</v>
      </c>
      <c r="C900">
        <f>1.225 * (1 - 0.00000687559 * B900) ^ 4.2561</f>
        <v>1.2250000000000001</v>
      </c>
      <c r="D900">
        <f>E900*(SQRT($C$2/C900))</f>
        <v>160</v>
      </c>
      <c r="E900">
        <v>160</v>
      </c>
      <c r="F900">
        <v>1215</v>
      </c>
      <c r="G900">
        <v>1250</v>
      </c>
      <c r="H900">
        <f>CONVERT(G900,"HP","kW")</f>
        <v>932.12483947783778</v>
      </c>
      <c r="I900">
        <v>0.84499999999999997</v>
      </c>
      <c r="J900">
        <v>1.0258</v>
      </c>
      <c r="K900">
        <v>0.57189999999999996</v>
      </c>
      <c r="L900">
        <v>9.3799999999999994E-2</v>
      </c>
      <c r="M900">
        <v>7.7299999999999994E-2</v>
      </c>
      <c r="N900">
        <f>CONVERT(O900,"lbf","N")</f>
        <v>9568.5695165868619</v>
      </c>
      <c r="O900">
        <v>2151.1</v>
      </c>
      <c r="P900">
        <f t="shared" si="14"/>
        <v>0.82409381663113002</v>
      </c>
    </row>
    <row r="901" spans="1:16" hidden="1" x14ac:dyDescent="0.25">
      <c r="A901">
        <v>0</v>
      </c>
      <c r="B901">
        <v>0</v>
      </c>
      <c r="C901">
        <f>1.225 * (1 - 0.00000687559 * B901) ^ 4.2561</f>
        <v>1.2250000000000001</v>
      </c>
      <c r="D901">
        <f>E901*(SQRT($C$2/C901))</f>
        <v>180</v>
      </c>
      <c r="E901">
        <v>180</v>
      </c>
      <c r="F901">
        <v>1215</v>
      </c>
      <c r="G901">
        <v>1250</v>
      </c>
      <c r="H901">
        <f>CONVERT(G901,"HP","kW")</f>
        <v>932.12483947783778</v>
      </c>
      <c r="I901">
        <v>0.85040000000000004</v>
      </c>
      <c r="J901">
        <v>1.1540999999999999</v>
      </c>
      <c r="K901">
        <v>0.58540000000000003</v>
      </c>
      <c r="L901">
        <v>9.3799999999999994E-2</v>
      </c>
      <c r="M901">
        <v>6.9099999999999995E-2</v>
      </c>
      <c r="N901">
        <f>CONVERT(O901,"lbf","N")</f>
        <v>8560.6024985688327</v>
      </c>
      <c r="O901">
        <v>1924.5</v>
      </c>
      <c r="P901">
        <f t="shared" si="14"/>
        <v>0.73667377398720679</v>
      </c>
    </row>
    <row r="902" spans="1:16" hidden="1" x14ac:dyDescent="0.25">
      <c r="A902">
        <v>0</v>
      </c>
      <c r="B902">
        <v>0</v>
      </c>
      <c r="C902">
        <f>1.225 * (1 - 0.00000687559 * B902) ^ 4.2561</f>
        <v>1.2250000000000001</v>
      </c>
      <c r="D902">
        <f>E902*(SQRT($C$2/C902))</f>
        <v>200</v>
      </c>
      <c r="E902">
        <v>200</v>
      </c>
      <c r="F902">
        <v>1215</v>
      </c>
      <c r="G902">
        <v>1250</v>
      </c>
      <c r="H902">
        <f>CONVERT(G902,"HP","kW")</f>
        <v>932.12483947783778</v>
      </c>
      <c r="I902">
        <v>0.85009999999999997</v>
      </c>
      <c r="J902">
        <v>1.2823</v>
      </c>
      <c r="K902">
        <v>0.60009999999999997</v>
      </c>
      <c r="L902">
        <v>9.3799999999999994E-2</v>
      </c>
      <c r="M902">
        <v>6.2199999999999998E-2</v>
      </c>
      <c r="N902">
        <f>CONVERT(O902,"lbf","N")</f>
        <v>7701.2060825005028</v>
      </c>
      <c r="O902">
        <v>1731.3</v>
      </c>
      <c r="P902">
        <f t="shared" si="14"/>
        <v>0.66311300639658854</v>
      </c>
    </row>
    <row r="903" spans="1:16" hidden="1" x14ac:dyDescent="0.25">
      <c r="A903">
        <v>0</v>
      </c>
      <c r="B903">
        <v>0</v>
      </c>
      <c r="C903">
        <f>1.225 * (1 - 0.00000687559 * B903) ^ 4.2561</f>
        <v>1.2250000000000001</v>
      </c>
      <c r="D903">
        <f>E903*(SQRT($C$2/C903))</f>
        <v>220</v>
      </c>
      <c r="E903">
        <v>220</v>
      </c>
      <c r="F903">
        <v>1215</v>
      </c>
      <c r="G903">
        <v>1250</v>
      </c>
      <c r="H903">
        <f>CONVERT(G903,"HP","kW")</f>
        <v>932.12483947783778</v>
      </c>
      <c r="I903">
        <v>0.84460000000000002</v>
      </c>
      <c r="J903">
        <v>1.4105000000000001</v>
      </c>
      <c r="K903">
        <v>0.6159</v>
      </c>
      <c r="L903">
        <v>9.3799999999999994E-2</v>
      </c>
      <c r="M903">
        <v>5.62E-2</v>
      </c>
      <c r="N903">
        <f>CONVERT(O903,"lbf","N")</f>
        <v>6955.6841397828448</v>
      </c>
      <c r="O903">
        <v>1563.7</v>
      </c>
      <c r="P903">
        <f t="shared" si="14"/>
        <v>0.59914712153518124</v>
      </c>
    </row>
    <row r="904" spans="1:16" hidden="1" x14ac:dyDescent="0.25">
      <c r="A904">
        <v>0</v>
      </c>
      <c r="B904">
        <v>0</v>
      </c>
      <c r="C904">
        <f>1.225 * (1 - 0.00000687559 * B904) ^ 4.2561</f>
        <v>1.2250000000000001</v>
      </c>
      <c r="D904">
        <f>E904*(SQRT($C$2/C904))</f>
        <v>240</v>
      </c>
      <c r="E904">
        <v>240</v>
      </c>
      <c r="F904">
        <v>1215</v>
      </c>
      <c r="G904">
        <v>1250</v>
      </c>
      <c r="H904">
        <f>CONVERT(G904,"HP","kW")</f>
        <v>932.12483947783778</v>
      </c>
      <c r="I904">
        <v>0.83289999999999997</v>
      </c>
      <c r="J904">
        <v>1.5387</v>
      </c>
      <c r="K904">
        <v>0.63280000000000003</v>
      </c>
      <c r="L904">
        <v>9.3799999999999994E-2</v>
      </c>
      <c r="M904">
        <v>5.0799999999999998E-2</v>
      </c>
      <c r="N904">
        <f>CONVERT(O904,"lbf","N")</f>
        <v>6288.0060753322423</v>
      </c>
      <c r="O904">
        <v>1413.6</v>
      </c>
      <c r="P904">
        <f t="shared" si="14"/>
        <v>0.54157782515991471</v>
      </c>
    </row>
    <row r="905" spans="1:16" hidden="1" x14ac:dyDescent="0.25">
      <c r="A905">
        <v>0</v>
      </c>
      <c r="B905">
        <v>0</v>
      </c>
      <c r="C905">
        <f>1.225 * (1 - 0.00000687559 * B905) ^ 4.2561</f>
        <v>1.2250000000000001</v>
      </c>
      <c r="D905">
        <f>E905*(SQRT($C$2/C905))</f>
        <v>260</v>
      </c>
      <c r="E905">
        <v>260</v>
      </c>
      <c r="F905">
        <v>1215</v>
      </c>
      <c r="G905">
        <v>1250</v>
      </c>
      <c r="H905">
        <f>CONVERT(G905,"HP","kW")</f>
        <v>932.12483947783778</v>
      </c>
      <c r="I905">
        <v>0.81289999999999996</v>
      </c>
      <c r="J905">
        <v>1.667</v>
      </c>
      <c r="K905">
        <v>0.65059999999999996</v>
      </c>
      <c r="L905">
        <v>9.3799999999999994E-2</v>
      </c>
      <c r="M905">
        <v>4.58E-2</v>
      </c>
      <c r="N905">
        <f>CONVERT(O905,"lbf","N")</f>
        <v>5665.2550491957727</v>
      </c>
      <c r="O905">
        <v>1273.5999999999999</v>
      </c>
      <c r="P905">
        <f t="shared" si="14"/>
        <v>0.48827292110874204</v>
      </c>
    </row>
    <row r="906" spans="1:16" hidden="1" x14ac:dyDescent="0.25">
      <c r="A906">
        <v>0</v>
      </c>
      <c r="B906">
        <v>10000</v>
      </c>
      <c r="C906">
        <f>1.225 * (1 - 0.00000687559 * B906) ^ 4.2561</f>
        <v>0.90462252368600637</v>
      </c>
      <c r="D906">
        <f>E906*(SQRT($C$2/C906))</f>
        <v>139.64184942392441</v>
      </c>
      <c r="E906">
        <v>120</v>
      </c>
      <c r="F906">
        <v>987</v>
      </c>
      <c r="G906">
        <v>500</v>
      </c>
      <c r="H906">
        <f>CONVERT(G906,"HP","kW")</f>
        <v>372.84993579113512</v>
      </c>
      <c r="I906">
        <v>0.8579</v>
      </c>
      <c r="J906">
        <v>1.1021000000000001</v>
      </c>
      <c r="K906">
        <v>0.48799999999999999</v>
      </c>
      <c r="L906">
        <v>9.4700000000000006E-2</v>
      </c>
      <c r="M906">
        <v>7.3700000000000002E-2</v>
      </c>
      <c r="N906">
        <f>CONVERT(O906,"lbf","N")</f>
        <v>4452.6698368757607</v>
      </c>
      <c r="O906">
        <v>1001</v>
      </c>
      <c r="P906">
        <f t="shared" si="14"/>
        <v>0.77824709609292497</v>
      </c>
    </row>
    <row r="907" spans="1:16" hidden="1" x14ac:dyDescent="0.25">
      <c r="A907">
        <v>0</v>
      </c>
      <c r="B907">
        <v>10000</v>
      </c>
      <c r="C907">
        <f>1.225 * (1 - 0.00000687559 * B907) ^ 4.2561</f>
        <v>0.90462252368600637</v>
      </c>
      <c r="D907">
        <f>E907*(SQRT($C$2/C907))</f>
        <v>209.4627741358866</v>
      </c>
      <c r="E907">
        <v>180</v>
      </c>
      <c r="F907">
        <v>987</v>
      </c>
      <c r="G907">
        <v>500</v>
      </c>
      <c r="H907">
        <f>CONVERT(G907,"HP","kW")</f>
        <v>372.84993579113512</v>
      </c>
      <c r="I907">
        <v>0.84079999999999999</v>
      </c>
      <c r="J907">
        <v>1.6532</v>
      </c>
      <c r="K907">
        <v>0.54600000000000004</v>
      </c>
      <c r="L907">
        <v>9.4700000000000006E-2</v>
      </c>
      <c r="M907">
        <v>4.82E-2</v>
      </c>
      <c r="N907">
        <f>CONVERT(O907,"lbf","N")</f>
        <v>2909.1369363803674</v>
      </c>
      <c r="O907">
        <v>654</v>
      </c>
      <c r="P907">
        <f t="shared" si="14"/>
        <v>0.50897571277719111</v>
      </c>
    </row>
    <row r="908" spans="1:16" hidden="1" x14ac:dyDescent="0.25">
      <c r="A908">
        <v>0</v>
      </c>
      <c r="B908">
        <v>10000</v>
      </c>
      <c r="C908">
        <f>1.225 * (1 - 0.00000687559 * B908) ^ 4.2561</f>
        <v>0.90462252368600637</v>
      </c>
      <c r="D908">
        <f>E908*(SQRT($C$2/C908))</f>
        <v>232.73641570654067</v>
      </c>
      <c r="E908">
        <v>200</v>
      </c>
      <c r="F908">
        <v>987</v>
      </c>
      <c r="G908">
        <v>500</v>
      </c>
      <c r="H908">
        <f>CONVERT(G908,"HP","kW")</f>
        <v>372.84993579113512</v>
      </c>
      <c r="I908">
        <v>0.81499999999999995</v>
      </c>
      <c r="J908">
        <v>1.8368</v>
      </c>
      <c r="K908">
        <v>0.56869999999999998</v>
      </c>
      <c r="L908">
        <v>9.4700000000000006E-2</v>
      </c>
      <c r="M908">
        <v>4.2000000000000003E-2</v>
      </c>
      <c r="N908">
        <f>CONVERT(O908,"lbf","N")</f>
        <v>2537.7104315061151</v>
      </c>
      <c r="O908">
        <v>570.5</v>
      </c>
      <c r="P908">
        <f t="shared" si="14"/>
        <v>0.44350580781414994</v>
      </c>
    </row>
    <row r="909" spans="1:16" hidden="1" x14ac:dyDescent="0.25">
      <c r="A909">
        <v>0</v>
      </c>
      <c r="B909">
        <v>10000</v>
      </c>
      <c r="C909">
        <f>1.225 * (1 - 0.00000687559 * B909) ^ 4.2561</f>
        <v>0.90462252368600637</v>
      </c>
      <c r="D909">
        <f>E909*(SQRT($C$2/C909))</f>
        <v>0</v>
      </c>
      <c r="E909">
        <v>0</v>
      </c>
      <c r="F909">
        <v>987</v>
      </c>
      <c r="G909">
        <v>500</v>
      </c>
      <c r="H909">
        <f>CONVERT(G909,"HP","kW")</f>
        <v>372.84993579113512</v>
      </c>
      <c r="I909">
        <v>0</v>
      </c>
      <c r="J909">
        <v>0</v>
      </c>
      <c r="K909">
        <v>0.42759999999999998</v>
      </c>
      <c r="L909">
        <v>9.4799999999999995E-2</v>
      </c>
      <c r="M909">
        <v>0.2036</v>
      </c>
      <c r="N909">
        <f>CONVERT(O909,"lbf","N")</f>
        <v>12284.653634864922</v>
      </c>
      <c r="O909">
        <v>2761.7</v>
      </c>
      <c r="P909">
        <f t="shared" si="14"/>
        <v>2.147679324894515</v>
      </c>
    </row>
    <row r="910" spans="1:16" hidden="1" x14ac:dyDescent="0.25">
      <c r="A910">
        <v>0</v>
      </c>
      <c r="B910">
        <v>10000</v>
      </c>
      <c r="C910">
        <f>1.225 * (1 - 0.00000687559 * B910) ^ 4.2561</f>
        <v>0.90462252368600637</v>
      </c>
      <c r="D910">
        <f>E910*(SQRT($C$2/C910))</f>
        <v>23.273641570654068</v>
      </c>
      <c r="E910">
        <v>20</v>
      </c>
      <c r="F910">
        <v>987</v>
      </c>
      <c r="G910">
        <v>500</v>
      </c>
      <c r="H910">
        <f>CONVERT(G910,"HP","kW")</f>
        <v>372.84993579113512</v>
      </c>
      <c r="I910">
        <v>0.34289999999999998</v>
      </c>
      <c r="J910">
        <v>0.1837</v>
      </c>
      <c r="K910">
        <v>0.43330000000000002</v>
      </c>
      <c r="L910">
        <v>9.4799999999999995E-2</v>
      </c>
      <c r="M910">
        <v>0.1769</v>
      </c>
      <c r="N910">
        <f>CONVERT(O910,"lbf","N")</f>
        <v>10677.511165271304</v>
      </c>
      <c r="O910">
        <v>2400.4</v>
      </c>
      <c r="P910">
        <f t="shared" si="14"/>
        <v>1.8660337552742616</v>
      </c>
    </row>
    <row r="911" spans="1:16" hidden="1" x14ac:dyDescent="0.25">
      <c r="A911">
        <v>0</v>
      </c>
      <c r="B911">
        <v>10000</v>
      </c>
      <c r="C911">
        <f>1.225 * (1 - 0.00000687559 * B911) ^ 4.2561</f>
        <v>0.90462252368600637</v>
      </c>
      <c r="D911">
        <f>E911*(SQRT($C$2/C911))</f>
        <v>46.547283141308135</v>
      </c>
      <c r="E911">
        <v>40</v>
      </c>
      <c r="F911">
        <v>987</v>
      </c>
      <c r="G911">
        <v>500</v>
      </c>
      <c r="H911">
        <f>CONVERT(G911,"HP","kW")</f>
        <v>372.84993579113512</v>
      </c>
      <c r="I911">
        <v>0.58130000000000004</v>
      </c>
      <c r="J911">
        <v>0.3674</v>
      </c>
      <c r="K911">
        <v>0.44009999999999999</v>
      </c>
      <c r="L911">
        <v>9.4799999999999995E-2</v>
      </c>
      <c r="M911">
        <v>0.15</v>
      </c>
      <c r="N911">
        <f>CONVERT(O911,"lbf","N")</f>
        <v>9050.7965205705386</v>
      </c>
      <c r="O911">
        <v>2034.7</v>
      </c>
      <c r="P911">
        <f t="shared" si="14"/>
        <v>1.5822784810126582</v>
      </c>
    </row>
    <row r="912" spans="1:16" hidden="1" x14ac:dyDescent="0.25">
      <c r="A912">
        <v>0</v>
      </c>
      <c r="B912">
        <v>10000</v>
      </c>
      <c r="C912">
        <f>1.225 * (1 - 0.00000687559 * B912) ^ 4.2561</f>
        <v>0.90462252368600637</v>
      </c>
      <c r="D912">
        <f>E912*(SQRT($C$2/C912))</f>
        <v>69.820924711962206</v>
      </c>
      <c r="E912">
        <v>60</v>
      </c>
      <c r="F912">
        <v>987</v>
      </c>
      <c r="G912">
        <v>500</v>
      </c>
      <c r="H912">
        <f>CONVERT(G912,"HP","kW")</f>
        <v>372.84993579113512</v>
      </c>
      <c r="I912">
        <v>0.72289999999999999</v>
      </c>
      <c r="J912">
        <v>0.55110000000000003</v>
      </c>
      <c r="K912">
        <v>0.44879999999999998</v>
      </c>
      <c r="L912">
        <v>9.4799999999999995E-2</v>
      </c>
      <c r="M912">
        <v>0.1244</v>
      </c>
      <c r="N912">
        <f>CONVERT(O912,"lbf","N")</f>
        <v>7503.7050427829381</v>
      </c>
      <c r="O912">
        <v>1686.9</v>
      </c>
      <c r="P912">
        <f t="shared" si="14"/>
        <v>1.3122362869198312</v>
      </c>
    </row>
    <row r="913" spans="1:16" hidden="1" x14ac:dyDescent="0.25">
      <c r="A913">
        <v>0</v>
      </c>
      <c r="B913">
        <v>10000</v>
      </c>
      <c r="C913">
        <f>1.225 * (1 - 0.00000687559 * B913) ^ 4.2561</f>
        <v>0.90462252368600637</v>
      </c>
      <c r="D913">
        <f>E913*(SQRT($C$2/C913))</f>
        <v>93.09456628261627</v>
      </c>
      <c r="E913">
        <v>80</v>
      </c>
      <c r="F913">
        <v>987</v>
      </c>
      <c r="G913">
        <v>500</v>
      </c>
      <c r="H913">
        <f>CONVERT(G913,"HP","kW")</f>
        <v>372.84993579113512</v>
      </c>
      <c r="I913">
        <v>0.80049999999999999</v>
      </c>
      <c r="J913">
        <v>0.73470000000000002</v>
      </c>
      <c r="K913">
        <v>0.45960000000000001</v>
      </c>
      <c r="L913">
        <v>9.4799999999999995E-2</v>
      </c>
      <c r="M913">
        <v>0.1033</v>
      </c>
      <c r="N913">
        <f>CONVERT(O913,"lbf","N")</f>
        <v>6232.4033051414863</v>
      </c>
      <c r="O913">
        <v>1401.1</v>
      </c>
      <c r="P913">
        <f t="shared" si="14"/>
        <v>1.0896624472573841</v>
      </c>
    </row>
    <row r="914" spans="1:16" hidden="1" x14ac:dyDescent="0.25">
      <c r="A914">
        <v>0</v>
      </c>
      <c r="B914">
        <v>10000</v>
      </c>
      <c r="C914">
        <f>1.225 * (1 - 0.00000687559 * B914) ^ 4.2561</f>
        <v>0.90462252368600637</v>
      </c>
      <c r="D914">
        <f>E914*(SQRT($C$2/C914))</f>
        <v>116.36820785327033</v>
      </c>
      <c r="E914">
        <v>100</v>
      </c>
      <c r="F914">
        <v>987</v>
      </c>
      <c r="G914">
        <v>500</v>
      </c>
      <c r="H914">
        <f>CONVERT(G914,"HP","kW")</f>
        <v>372.84993579113512</v>
      </c>
      <c r="I914">
        <v>0.84030000000000005</v>
      </c>
      <c r="J914">
        <v>0.91839999999999999</v>
      </c>
      <c r="K914">
        <v>0.47270000000000001</v>
      </c>
      <c r="L914">
        <v>9.4799999999999995E-2</v>
      </c>
      <c r="M914">
        <v>8.6800000000000002E-2</v>
      </c>
      <c r="N914">
        <f>CONVERT(O914,"lbf","N")</f>
        <v>5233.7775525155039</v>
      </c>
      <c r="O914">
        <v>1176.5999999999999</v>
      </c>
      <c r="P914">
        <f t="shared" si="14"/>
        <v>0.91561181434599159</v>
      </c>
    </row>
    <row r="915" spans="1:16" hidden="1" x14ac:dyDescent="0.25">
      <c r="A915">
        <v>0</v>
      </c>
      <c r="B915">
        <v>10000</v>
      </c>
      <c r="C915">
        <f>1.225 * (1 - 0.00000687559 * B915) ^ 4.2561</f>
        <v>0.90462252368600637</v>
      </c>
      <c r="D915">
        <f>E915*(SQRT($C$2/C915))</f>
        <v>162.91549099457848</v>
      </c>
      <c r="E915">
        <v>140</v>
      </c>
      <c r="F915">
        <v>987</v>
      </c>
      <c r="G915">
        <v>500</v>
      </c>
      <c r="H915">
        <f>CONVERT(G915,"HP","kW")</f>
        <v>372.84993579113512</v>
      </c>
      <c r="I915">
        <v>0.86219999999999997</v>
      </c>
      <c r="J915">
        <v>1.2858000000000001</v>
      </c>
      <c r="K915">
        <v>0.50549999999999995</v>
      </c>
      <c r="L915">
        <v>9.4799999999999995E-2</v>
      </c>
      <c r="M915">
        <v>6.3600000000000004E-2</v>
      </c>
      <c r="N915">
        <f>CONVERT(O915,"lbf","N")</f>
        <v>3835.7014988391293</v>
      </c>
      <c r="O915">
        <v>862.3</v>
      </c>
      <c r="P915">
        <f t="shared" si="14"/>
        <v>0.67088607594936711</v>
      </c>
    </row>
    <row r="916" spans="1:16" hidden="1" x14ac:dyDescent="0.25">
      <c r="A916">
        <v>0</v>
      </c>
      <c r="B916">
        <v>10000</v>
      </c>
      <c r="C916">
        <f>1.225 * (1 - 0.00000687559 * B916) ^ 4.2561</f>
        <v>0.90462252368600637</v>
      </c>
      <c r="D916">
        <f>E916*(SQRT($C$2/C916))</f>
        <v>186.18913256523254</v>
      </c>
      <c r="E916">
        <v>160</v>
      </c>
      <c r="F916">
        <v>987</v>
      </c>
      <c r="G916">
        <v>500</v>
      </c>
      <c r="H916">
        <f>CONVERT(G916,"HP","kW")</f>
        <v>372.84993579113512</v>
      </c>
      <c r="I916">
        <v>0.85660000000000003</v>
      </c>
      <c r="J916">
        <v>1.4695</v>
      </c>
      <c r="K916">
        <v>0.52490000000000003</v>
      </c>
      <c r="L916">
        <v>9.4799999999999995E-2</v>
      </c>
      <c r="M916">
        <v>5.5199999999999999E-2</v>
      </c>
      <c r="N916">
        <f>CONVERT(O916,"lbf","N")</f>
        <v>3334.3869227992709</v>
      </c>
      <c r="O916">
        <v>749.6</v>
      </c>
      <c r="P916">
        <f t="shared" si="14"/>
        <v>0.58227848101265822</v>
      </c>
    </row>
    <row r="917" spans="1:16" hidden="1" x14ac:dyDescent="0.25">
      <c r="A917">
        <v>0</v>
      </c>
      <c r="B917">
        <v>10000</v>
      </c>
      <c r="C917">
        <f>1.225 * (1 - 0.00000687559 * B917) ^ 4.2561</f>
        <v>0.90462252368600637</v>
      </c>
      <c r="D917">
        <f>E917*(SQRT($C$2/C917))</f>
        <v>256.01005727719473</v>
      </c>
      <c r="E917">
        <v>220</v>
      </c>
      <c r="F917">
        <v>987</v>
      </c>
      <c r="G917">
        <v>500</v>
      </c>
      <c r="H917">
        <f>CONVERT(G917,"HP","kW")</f>
        <v>372.84993579113512</v>
      </c>
      <c r="I917">
        <v>0.77600000000000002</v>
      </c>
      <c r="J917">
        <v>2.0205000000000002</v>
      </c>
      <c r="K917">
        <v>0.5927</v>
      </c>
      <c r="L917">
        <v>9.4799999999999995E-2</v>
      </c>
      <c r="M917">
        <v>3.6400000000000002E-2</v>
      </c>
      <c r="N917">
        <f>CONVERT(O917,"lbf","N")</f>
        <v>2196.9766557771609</v>
      </c>
      <c r="O917">
        <v>493.9</v>
      </c>
      <c r="P917">
        <f t="shared" si="14"/>
        <v>0.38396624472573843</v>
      </c>
    </row>
    <row r="918" spans="1:16" hidden="1" x14ac:dyDescent="0.25">
      <c r="A918">
        <v>0</v>
      </c>
      <c r="B918">
        <v>10000</v>
      </c>
      <c r="C918">
        <f>1.225 * (1 - 0.00000687559 * B918) ^ 4.2561</f>
        <v>0.90462252368600637</v>
      </c>
      <c r="D918">
        <f>E918*(SQRT($C$2/C918))</f>
        <v>279.28369884784883</v>
      </c>
      <c r="E918">
        <v>240</v>
      </c>
      <c r="F918">
        <v>987</v>
      </c>
      <c r="G918">
        <v>500</v>
      </c>
      <c r="H918">
        <f>CONVERT(G918,"HP","kW")</f>
        <v>372.84993579113512</v>
      </c>
      <c r="I918">
        <v>0.72089999999999999</v>
      </c>
      <c r="J918">
        <v>2.2042000000000002</v>
      </c>
      <c r="K918">
        <v>0.61799999999999999</v>
      </c>
      <c r="L918">
        <v>9.4799999999999995E-2</v>
      </c>
      <c r="M918">
        <v>3.1E-2</v>
      </c>
      <c r="N918">
        <f>CONVERT(O918,"lbf","N")</f>
        <v>1870.9220113785664</v>
      </c>
      <c r="O918">
        <v>420.6</v>
      </c>
      <c r="P918">
        <f t="shared" si="14"/>
        <v>0.3270042194092827</v>
      </c>
    </row>
    <row r="919" spans="1:16" hidden="1" x14ac:dyDescent="0.25">
      <c r="A919">
        <v>0</v>
      </c>
      <c r="B919">
        <v>10000</v>
      </c>
      <c r="C919">
        <f>1.225 * (1 - 0.00000687559 * B919) ^ 4.2561</f>
        <v>0.90462252368600637</v>
      </c>
      <c r="D919">
        <f>E919*(SQRT($C$2/C919))</f>
        <v>302.55734041850286</v>
      </c>
      <c r="E919">
        <v>260</v>
      </c>
      <c r="F919">
        <v>987</v>
      </c>
      <c r="G919">
        <v>500</v>
      </c>
      <c r="H919">
        <f>CONVERT(G919,"HP","kW")</f>
        <v>372.84993579113512</v>
      </c>
      <c r="I919">
        <v>0.64190000000000003</v>
      </c>
      <c r="J919">
        <v>2.3879000000000001</v>
      </c>
      <c r="K919">
        <v>0.64429999999999998</v>
      </c>
      <c r="L919">
        <v>9.4799999999999995E-2</v>
      </c>
      <c r="M919">
        <v>2.5499999999999998E-2</v>
      </c>
      <c r="N919">
        <f>CONVERT(O919,"lbf","N")</f>
        <v>1537.7502123955549</v>
      </c>
      <c r="O919">
        <v>345.7</v>
      </c>
      <c r="P919">
        <f t="shared" si="14"/>
        <v>0.26898734177215189</v>
      </c>
    </row>
    <row r="920" spans="1:16" hidden="1" x14ac:dyDescent="0.25">
      <c r="A920">
        <v>0</v>
      </c>
      <c r="B920">
        <v>25000</v>
      </c>
      <c r="C920">
        <f>1.225 * (1 - 0.00000687559 * B920) ^ 4.2561</f>
        <v>0.54892259437885793</v>
      </c>
      <c r="D920">
        <f>E920*(SQRT($C$2/C920))</f>
        <v>298.77378321820675</v>
      </c>
      <c r="E920">
        <v>200</v>
      </c>
      <c r="F920">
        <v>1150</v>
      </c>
      <c r="G920">
        <v>500</v>
      </c>
      <c r="H920">
        <f>CONVERT(G920,"HP","kW")</f>
        <v>372.84993579113512</v>
      </c>
      <c r="I920">
        <v>0.64459999999999995</v>
      </c>
      <c r="J920">
        <v>2.0238</v>
      </c>
      <c r="K920">
        <v>0.7329</v>
      </c>
      <c r="L920">
        <v>9.8699999999999996E-2</v>
      </c>
      <c r="M920">
        <v>3.1399999999999997E-2</v>
      </c>
      <c r="N920">
        <f>CONVERT(O920,"lbf","N")</f>
        <v>1563.9947199255919</v>
      </c>
      <c r="O920">
        <v>351.6</v>
      </c>
      <c r="P920">
        <f t="shared" si="14"/>
        <v>0.31813576494427559</v>
      </c>
    </row>
    <row r="921" spans="1:16" hidden="1" x14ac:dyDescent="0.25">
      <c r="A921">
        <v>0</v>
      </c>
      <c r="B921">
        <v>25000</v>
      </c>
      <c r="C921">
        <f>1.225 * (1 - 0.00000687559 * B921) ^ 4.2561</f>
        <v>0.54892259437885793</v>
      </c>
      <c r="D921">
        <f>E921*(SQRT($C$2/C921))</f>
        <v>388.40591818366875</v>
      </c>
      <c r="E921">
        <v>260</v>
      </c>
      <c r="F921">
        <v>1150</v>
      </c>
      <c r="G921">
        <v>500</v>
      </c>
      <c r="H921">
        <f>CONVERT(G921,"HP","kW")</f>
        <v>372.84993579113512</v>
      </c>
      <c r="I921">
        <v>-0.19989999999999999</v>
      </c>
      <c r="J921">
        <v>2.6309</v>
      </c>
      <c r="K921">
        <v>0.84089999999999998</v>
      </c>
      <c r="L921">
        <v>9.8699999999999996E-2</v>
      </c>
      <c r="M921">
        <v>-7.4999999999999997E-3</v>
      </c>
      <c r="N921">
        <f>CONVERT(O921,"lbf","N")</f>
        <v>-372.76097135882986</v>
      </c>
      <c r="O921">
        <v>-83.8</v>
      </c>
      <c r="P921">
        <f t="shared" si="14"/>
        <v>-7.598784194528875E-2</v>
      </c>
    </row>
    <row r="922" spans="1:16" hidden="1" x14ac:dyDescent="0.25">
      <c r="A922">
        <v>0</v>
      </c>
      <c r="B922">
        <v>25000</v>
      </c>
      <c r="C922">
        <f>1.225 * (1 - 0.00000687559 * B922) ^ 4.2561</f>
        <v>0.54892259437885793</v>
      </c>
      <c r="D922">
        <f>E922*(SQRT($C$2/C922))</f>
        <v>0</v>
      </c>
      <c r="E922">
        <v>0</v>
      </c>
      <c r="F922">
        <v>1150</v>
      </c>
      <c r="G922">
        <v>500</v>
      </c>
      <c r="H922">
        <f>CONVERT(G922,"HP","kW")</f>
        <v>372.84993579113512</v>
      </c>
      <c r="I922">
        <v>0</v>
      </c>
      <c r="J922">
        <v>0</v>
      </c>
      <c r="K922">
        <v>0.52780000000000005</v>
      </c>
      <c r="L922">
        <v>9.8799999999999999E-2</v>
      </c>
      <c r="M922">
        <v>0.2087</v>
      </c>
      <c r="N922">
        <f>CONVERT(O922,"lbf","N")</f>
        <v>10370.58387381833</v>
      </c>
      <c r="O922">
        <v>2331.4</v>
      </c>
      <c r="P922">
        <f t="shared" si="14"/>
        <v>2.1123481781376516</v>
      </c>
    </row>
    <row r="923" spans="1:16" hidden="1" x14ac:dyDescent="0.25">
      <c r="A923">
        <v>0</v>
      </c>
      <c r="B923">
        <v>25000</v>
      </c>
      <c r="C923">
        <f>1.225 * (1 - 0.00000687559 * B923) ^ 4.2561</f>
        <v>0.54892259437885793</v>
      </c>
      <c r="D923">
        <f>E923*(SQRT($C$2/C923))</f>
        <v>29.877378321820672</v>
      </c>
      <c r="E923">
        <v>20</v>
      </c>
      <c r="F923">
        <v>1150</v>
      </c>
      <c r="G923">
        <v>500</v>
      </c>
      <c r="H923">
        <f>CONVERT(G923,"HP","kW")</f>
        <v>372.84993579113512</v>
      </c>
      <c r="I923">
        <v>0.36749999999999999</v>
      </c>
      <c r="J923">
        <v>0.2024</v>
      </c>
      <c r="K923">
        <v>0.53580000000000005</v>
      </c>
      <c r="L923">
        <v>9.8799999999999999E-2</v>
      </c>
      <c r="M923">
        <v>0.17929999999999999</v>
      </c>
      <c r="N923">
        <f>CONVERT(O923,"lbf","N")</f>
        <v>8913.7912948205158</v>
      </c>
      <c r="O923">
        <v>2003.9</v>
      </c>
      <c r="P923">
        <f t="shared" si="14"/>
        <v>1.8147773279352226</v>
      </c>
    </row>
    <row r="924" spans="1:16" hidden="1" x14ac:dyDescent="0.25">
      <c r="A924">
        <v>0</v>
      </c>
      <c r="B924">
        <v>25000</v>
      </c>
      <c r="C924">
        <f>1.225 * (1 - 0.00000687559 * B924) ^ 4.2561</f>
        <v>0.54892259437885793</v>
      </c>
      <c r="D924">
        <f>E924*(SQRT($C$2/C924))</f>
        <v>59.754756643641343</v>
      </c>
      <c r="E924">
        <v>40</v>
      </c>
      <c r="F924">
        <v>1150</v>
      </c>
      <c r="G924">
        <v>500</v>
      </c>
      <c r="H924">
        <f>CONVERT(G924,"HP","kW")</f>
        <v>372.84993579113512</v>
      </c>
      <c r="I924">
        <v>0.61219999999999997</v>
      </c>
      <c r="J924">
        <v>0.40479999999999999</v>
      </c>
      <c r="K924">
        <v>0.54559999999999997</v>
      </c>
      <c r="L924">
        <v>9.8799999999999999E-2</v>
      </c>
      <c r="M924">
        <v>0.14940000000000001</v>
      </c>
      <c r="N924">
        <f>CONVERT(O924,"lbf","N")</f>
        <v>7424.9715201928266</v>
      </c>
      <c r="O924">
        <v>1669.2</v>
      </c>
      <c r="P924">
        <f t="shared" si="14"/>
        <v>1.5121457489878543</v>
      </c>
    </row>
    <row r="925" spans="1:16" hidden="1" x14ac:dyDescent="0.25">
      <c r="A925">
        <v>0</v>
      </c>
      <c r="B925">
        <v>25000</v>
      </c>
      <c r="C925">
        <f>1.225 * (1 - 0.00000687559 * B925) ^ 4.2561</f>
        <v>0.54892259437885793</v>
      </c>
      <c r="D925">
        <f>E925*(SQRT($C$2/C925))</f>
        <v>89.632134965462015</v>
      </c>
      <c r="E925">
        <v>60</v>
      </c>
      <c r="F925">
        <v>1150</v>
      </c>
      <c r="G925">
        <v>500</v>
      </c>
      <c r="H925">
        <f>CONVERT(G925,"HP","kW")</f>
        <v>372.84993579113512</v>
      </c>
      <c r="I925">
        <v>0.74809999999999999</v>
      </c>
      <c r="J925">
        <v>0.60709999999999997</v>
      </c>
      <c r="K925">
        <v>0.55820000000000003</v>
      </c>
      <c r="L925">
        <v>9.8799999999999999E-2</v>
      </c>
      <c r="M925">
        <v>0.1217</v>
      </c>
      <c r="N925">
        <f>CONVERT(O925,"lbf","N")</f>
        <v>6049.1365745927551</v>
      </c>
      <c r="O925">
        <v>1359.9</v>
      </c>
      <c r="P925">
        <f t="shared" si="14"/>
        <v>1.2317813765182186</v>
      </c>
    </row>
    <row r="926" spans="1:16" hidden="1" x14ac:dyDescent="0.25">
      <c r="A926">
        <v>0</v>
      </c>
      <c r="B926">
        <v>25000</v>
      </c>
      <c r="C926">
        <f>1.225 * (1 - 0.00000687559 * B926) ^ 4.2561</f>
        <v>0.54892259437885793</v>
      </c>
      <c r="D926">
        <f>E926*(SQRT($C$2/C926))</f>
        <v>119.50951328728269</v>
      </c>
      <c r="E926">
        <v>80</v>
      </c>
      <c r="F926">
        <v>1150</v>
      </c>
      <c r="G926">
        <v>500</v>
      </c>
      <c r="H926">
        <f>CONVERT(G926,"HP","kW")</f>
        <v>372.84993579113512</v>
      </c>
      <c r="I926">
        <v>0.81620000000000004</v>
      </c>
      <c r="J926">
        <v>0.8095</v>
      </c>
      <c r="K926">
        <v>0.57399999999999995</v>
      </c>
      <c r="L926">
        <v>9.8799999999999999E-2</v>
      </c>
      <c r="M926">
        <v>9.9599999999999994E-2</v>
      </c>
      <c r="N926">
        <f>CONVERT(O926,"lbf","N")</f>
        <v>4949.9810134618847</v>
      </c>
      <c r="O926">
        <v>1112.8</v>
      </c>
      <c r="P926">
        <f t="shared" si="14"/>
        <v>1.0080971659919027</v>
      </c>
    </row>
    <row r="927" spans="1:16" hidden="1" x14ac:dyDescent="0.25">
      <c r="A927">
        <v>0</v>
      </c>
      <c r="B927">
        <v>25000</v>
      </c>
      <c r="C927">
        <f>1.225 * (1 - 0.00000687559 * B927) ^ 4.2561</f>
        <v>0.54892259437885793</v>
      </c>
      <c r="D927">
        <f>E927*(SQRT($C$2/C927))</f>
        <v>149.38689160910337</v>
      </c>
      <c r="E927">
        <v>100</v>
      </c>
      <c r="F927">
        <v>1150</v>
      </c>
      <c r="G927">
        <v>500</v>
      </c>
      <c r="H927">
        <f>CONVERT(G927,"HP","kW")</f>
        <v>372.84993579113512</v>
      </c>
      <c r="I927">
        <v>0.84619999999999995</v>
      </c>
      <c r="J927">
        <v>1.0119</v>
      </c>
      <c r="K927">
        <v>0.59330000000000005</v>
      </c>
      <c r="L927">
        <v>9.8799999999999999E-2</v>
      </c>
      <c r="M927">
        <v>8.2600000000000007E-2</v>
      </c>
      <c r="N927">
        <f>CONVERT(O927,"lbf","N")</f>
        <v>4105.7085508854416</v>
      </c>
      <c r="O927">
        <v>923</v>
      </c>
      <c r="P927">
        <f t="shared" si="14"/>
        <v>0.83603238866396767</v>
      </c>
    </row>
    <row r="928" spans="1:16" hidden="1" x14ac:dyDescent="0.25">
      <c r="A928">
        <v>0</v>
      </c>
      <c r="B928">
        <v>25000</v>
      </c>
      <c r="C928">
        <f>1.225 * (1 - 0.00000687559 * B928) ^ 4.2561</f>
        <v>0.54892259437885793</v>
      </c>
      <c r="D928">
        <f>E928*(SQRT($C$2/C928))</f>
        <v>179.26426993092403</v>
      </c>
      <c r="E928">
        <v>120</v>
      </c>
      <c r="F928">
        <v>1150</v>
      </c>
      <c r="G928">
        <v>500</v>
      </c>
      <c r="H928">
        <f>CONVERT(G928,"HP","kW")</f>
        <v>372.84993579113512</v>
      </c>
      <c r="I928">
        <v>0.85519999999999996</v>
      </c>
      <c r="J928">
        <v>1.2142999999999999</v>
      </c>
      <c r="K928">
        <v>0.6159</v>
      </c>
      <c r="L928">
        <v>9.8799999999999999E-2</v>
      </c>
      <c r="M928">
        <v>6.9599999999999995E-2</v>
      </c>
      <c r="N928">
        <f>CONVERT(O928,"lbf","N")</f>
        <v>3457.6026615419864</v>
      </c>
      <c r="O928">
        <v>777.3</v>
      </c>
      <c r="P928">
        <f t="shared" si="14"/>
        <v>0.70445344129554655</v>
      </c>
    </row>
    <row r="929" spans="1:16" hidden="1" x14ac:dyDescent="0.25">
      <c r="A929">
        <v>0</v>
      </c>
      <c r="B929">
        <v>25000</v>
      </c>
      <c r="C929">
        <f>1.225 * (1 - 0.00000687559 * B929) ^ 4.2561</f>
        <v>0.54892259437885793</v>
      </c>
      <c r="D929">
        <f>E929*(SQRT($C$2/C929))</f>
        <v>209.14164825274472</v>
      </c>
      <c r="E929">
        <v>140</v>
      </c>
      <c r="F929">
        <v>1150</v>
      </c>
      <c r="G929">
        <v>500</v>
      </c>
      <c r="H929">
        <f>CONVERT(G929,"HP","kW")</f>
        <v>372.84993579113512</v>
      </c>
      <c r="I929">
        <v>0.84740000000000004</v>
      </c>
      <c r="J929">
        <v>1.4166000000000001</v>
      </c>
      <c r="K929">
        <v>0.64139999999999997</v>
      </c>
      <c r="L929">
        <v>9.8799999999999999E-2</v>
      </c>
      <c r="M929">
        <v>5.91E-2</v>
      </c>
      <c r="N929">
        <f>CONVERT(O929,"lbf","N")</f>
        <v>2936.7159103949821</v>
      </c>
      <c r="O929">
        <v>660.2</v>
      </c>
      <c r="P929">
        <f t="shared" si="14"/>
        <v>0.59817813765182182</v>
      </c>
    </row>
    <row r="930" spans="1:16" hidden="1" x14ac:dyDescent="0.25">
      <c r="A930">
        <v>0</v>
      </c>
      <c r="B930">
        <v>25000</v>
      </c>
      <c r="C930">
        <f>1.225 * (1 - 0.00000687559 * B930) ^ 4.2561</f>
        <v>0.54892259437885793</v>
      </c>
      <c r="D930">
        <f>E930*(SQRT($C$2/C930))</f>
        <v>239.01902657456537</v>
      </c>
      <c r="E930">
        <v>160</v>
      </c>
      <c r="F930">
        <v>1150</v>
      </c>
      <c r="G930">
        <v>500</v>
      </c>
      <c r="H930">
        <f>CONVERT(G930,"HP","kW")</f>
        <v>372.84993579113512</v>
      </c>
      <c r="I930">
        <v>0.8196</v>
      </c>
      <c r="J930">
        <v>1.619</v>
      </c>
      <c r="K930">
        <v>0.66959999999999997</v>
      </c>
      <c r="L930">
        <v>9.8799999999999999E-2</v>
      </c>
      <c r="M930">
        <v>0.05</v>
      </c>
      <c r="N930">
        <f>CONVERT(O930,"lbf","N")</f>
        <v>2485.221416446042</v>
      </c>
      <c r="O930">
        <v>558.70000000000005</v>
      </c>
      <c r="P930">
        <f t="shared" si="14"/>
        <v>0.50607287449392713</v>
      </c>
    </row>
    <row r="931" spans="1:16" hidden="1" x14ac:dyDescent="0.25">
      <c r="A931">
        <v>0</v>
      </c>
      <c r="B931">
        <v>25000</v>
      </c>
      <c r="C931">
        <f>1.225 * (1 - 0.00000687559 * B931) ^ 4.2561</f>
        <v>0.54892259437885793</v>
      </c>
      <c r="D931">
        <f>E931*(SQRT($C$2/C931))</f>
        <v>268.89640489638606</v>
      </c>
      <c r="E931">
        <v>180</v>
      </c>
      <c r="F931">
        <v>1150</v>
      </c>
      <c r="G931">
        <v>500</v>
      </c>
      <c r="H931">
        <f>CONVERT(G931,"HP","kW")</f>
        <v>372.84993579113512</v>
      </c>
      <c r="I931">
        <v>0.7591</v>
      </c>
      <c r="J931">
        <v>1.8213999999999999</v>
      </c>
      <c r="K931">
        <v>0.70020000000000004</v>
      </c>
      <c r="L931">
        <v>9.8799999999999999E-2</v>
      </c>
      <c r="M931">
        <v>4.1200000000000001E-2</v>
      </c>
      <c r="N931">
        <f>CONVERT(O931,"lbf","N")</f>
        <v>2046.18194301983</v>
      </c>
      <c r="O931">
        <v>460</v>
      </c>
      <c r="P931">
        <f t="shared" si="14"/>
        <v>0.41700404858299595</v>
      </c>
    </row>
    <row r="932" spans="1:16" hidden="1" x14ac:dyDescent="0.25">
      <c r="A932">
        <v>0</v>
      </c>
      <c r="B932">
        <v>25000</v>
      </c>
      <c r="C932">
        <f>1.225 * (1 - 0.00000687559 * B932) ^ 4.2561</f>
        <v>0.54892259437885793</v>
      </c>
      <c r="D932">
        <f>E932*(SQRT($C$2/C932))</f>
        <v>328.65116154002743</v>
      </c>
      <c r="E932">
        <v>220</v>
      </c>
      <c r="F932">
        <v>1150</v>
      </c>
      <c r="G932">
        <v>500</v>
      </c>
      <c r="H932">
        <f>CONVERT(G932,"HP","kW")</f>
        <v>372.84993579113512</v>
      </c>
      <c r="I932">
        <v>0.47470000000000001</v>
      </c>
      <c r="J932">
        <v>2.2262</v>
      </c>
      <c r="K932">
        <v>0.76739999999999997</v>
      </c>
      <c r="L932">
        <v>9.8799999999999999E-2</v>
      </c>
      <c r="M932">
        <v>2.1100000000000001E-2</v>
      </c>
      <c r="N932">
        <f>CONVERT(O932,"lbf","N")</f>
        <v>1047.1113682323216</v>
      </c>
      <c r="O932">
        <v>235.4</v>
      </c>
      <c r="P932">
        <f t="shared" si="14"/>
        <v>0.21356275303643726</v>
      </c>
    </row>
    <row r="933" spans="1:16" hidden="1" x14ac:dyDescent="0.25">
      <c r="A933">
        <v>0</v>
      </c>
      <c r="B933">
        <v>25000</v>
      </c>
      <c r="C933">
        <f>1.225 * (1 - 0.00000687559 * B933) ^ 4.2561</f>
        <v>0.54892259437885793</v>
      </c>
      <c r="D933">
        <f>E933*(SQRT($C$2/C933))</f>
        <v>358.52853986184806</v>
      </c>
      <c r="E933">
        <v>240</v>
      </c>
      <c r="F933">
        <v>1150</v>
      </c>
      <c r="G933">
        <v>500</v>
      </c>
      <c r="H933">
        <f>CONVERT(G933,"HP","kW")</f>
        <v>372.84993579113512</v>
      </c>
      <c r="I933">
        <v>0.21049999999999999</v>
      </c>
      <c r="J933">
        <v>2.4285000000000001</v>
      </c>
      <c r="K933">
        <v>0.80349999999999999</v>
      </c>
      <c r="L933">
        <v>9.8799999999999999E-2</v>
      </c>
      <c r="M933">
        <v>8.6E-3</v>
      </c>
      <c r="N933">
        <f>CONVERT(O933,"lbf","N")</f>
        <v>425.69480858042988</v>
      </c>
      <c r="O933">
        <v>95.7</v>
      </c>
      <c r="P933">
        <f t="shared" si="14"/>
        <v>8.7044534412955468E-2</v>
      </c>
    </row>
    <row r="934" spans="1:16" hidden="1" x14ac:dyDescent="0.25">
      <c r="A934">
        <v>0</v>
      </c>
      <c r="B934">
        <v>30000</v>
      </c>
      <c r="C934">
        <f>1.225 * (1 - 0.00000687559 * B934) ^ 4.2561</f>
        <v>0.45828836225470948</v>
      </c>
      <c r="D934">
        <f>E934*(SQRT($C$2/C934))</f>
        <v>228.88991905154526</v>
      </c>
      <c r="E934">
        <v>140</v>
      </c>
      <c r="F934">
        <v>1215</v>
      </c>
      <c r="G934">
        <v>500</v>
      </c>
      <c r="H934">
        <f>CONVERT(G934,"HP","kW")</f>
        <v>372.84993579113512</v>
      </c>
      <c r="I934">
        <v>0.78920000000000001</v>
      </c>
      <c r="J934">
        <v>1.4675</v>
      </c>
      <c r="K934">
        <v>0.6996</v>
      </c>
      <c r="L934">
        <v>0.1002</v>
      </c>
      <c r="M934">
        <v>5.3900000000000003E-2</v>
      </c>
      <c r="N934">
        <f>CONVERT(O934,"lbf","N")</f>
        <v>2499.0109034533489</v>
      </c>
      <c r="O934">
        <v>561.79999999999995</v>
      </c>
      <c r="P934">
        <f t="shared" si="14"/>
        <v>0.53792415169660679</v>
      </c>
    </row>
    <row r="935" spans="1:16" hidden="1" x14ac:dyDescent="0.25">
      <c r="A935">
        <v>0</v>
      </c>
      <c r="B935">
        <v>30000</v>
      </c>
      <c r="C935">
        <f>1.225 * (1 - 0.00000687559 * B935) ^ 4.2561</f>
        <v>0.45828836225470948</v>
      </c>
      <c r="D935">
        <f>E935*(SQRT($C$2/C935))</f>
        <v>0</v>
      </c>
      <c r="E935">
        <v>0</v>
      </c>
      <c r="F935">
        <v>1215</v>
      </c>
      <c r="G935">
        <v>500</v>
      </c>
      <c r="H935">
        <f>CONVERT(G935,"HP","kW")</f>
        <v>372.84993579113512</v>
      </c>
      <c r="I935">
        <v>0</v>
      </c>
      <c r="J935">
        <v>0</v>
      </c>
      <c r="K935">
        <v>0.56940000000000002</v>
      </c>
      <c r="L935">
        <v>0.1003</v>
      </c>
      <c r="M935">
        <v>0.21</v>
      </c>
      <c r="N935">
        <f>CONVERT(O935,"lbf","N")</f>
        <v>9729.1503168977652</v>
      </c>
      <c r="O935">
        <v>2187.1999999999998</v>
      </c>
      <c r="P935">
        <f t="shared" si="14"/>
        <v>2.093718843469591</v>
      </c>
    </row>
    <row r="936" spans="1:16" hidden="1" x14ac:dyDescent="0.25">
      <c r="A936">
        <v>0</v>
      </c>
      <c r="B936">
        <v>30000</v>
      </c>
      <c r="C936">
        <f>1.225 * (1 - 0.00000687559 * B936) ^ 4.2561</f>
        <v>0.45828836225470948</v>
      </c>
      <c r="D936">
        <f>E936*(SQRT($C$2/C936))</f>
        <v>32.698559864506464</v>
      </c>
      <c r="E936">
        <v>20</v>
      </c>
      <c r="F936">
        <v>1215</v>
      </c>
      <c r="G936">
        <v>500</v>
      </c>
      <c r="H936">
        <f>CONVERT(G936,"HP","kW")</f>
        <v>372.84993579113512</v>
      </c>
      <c r="I936">
        <v>0.376</v>
      </c>
      <c r="J936">
        <v>0.20960000000000001</v>
      </c>
      <c r="K936">
        <v>0.57840000000000003</v>
      </c>
      <c r="L936">
        <v>0.1003</v>
      </c>
      <c r="M936">
        <v>0.1799</v>
      </c>
      <c r="N936">
        <f>CONVERT(O936,"lbf","N")</f>
        <v>8334.1880183520716</v>
      </c>
      <c r="O936">
        <v>1873.6</v>
      </c>
      <c r="P936">
        <f t="shared" si="14"/>
        <v>1.7936191425722832</v>
      </c>
    </row>
    <row r="937" spans="1:16" hidden="1" x14ac:dyDescent="0.25">
      <c r="A937">
        <v>0</v>
      </c>
      <c r="B937">
        <v>30000</v>
      </c>
      <c r="C937">
        <f>1.225 * (1 - 0.00000687559 * B937) ^ 4.2561</f>
        <v>0.45828836225470948</v>
      </c>
      <c r="D937">
        <f>E937*(SQRT($C$2/C937))</f>
        <v>65.397119729012928</v>
      </c>
      <c r="E937">
        <v>40</v>
      </c>
      <c r="F937">
        <v>1215</v>
      </c>
      <c r="G937">
        <v>500</v>
      </c>
      <c r="H937">
        <f>CONVERT(G937,"HP","kW")</f>
        <v>372.84993579113512</v>
      </c>
      <c r="I937">
        <v>0.62270000000000003</v>
      </c>
      <c r="J937">
        <v>0.41930000000000001</v>
      </c>
      <c r="K937">
        <v>0.58960000000000001</v>
      </c>
      <c r="L937">
        <v>0.1003</v>
      </c>
      <c r="M937">
        <v>0.14899999999999999</v>
      </c>
      <c r="N937">
        <f>CONVERT(O937,"lbf","N")</f>
        <v>6901.415836076666</v>
      </c>
      <c r="O937">
        <v>1551.5</v>
      </c>
      <c r="P937">
        <f t="shared" si="14"/>
        <v>1.4855433698903289</v>
      </c>
    </row>
    <row r="938" spans="1:16" hidden="1" x14ac:dyDescent="0.25">
      <c r="A938">
        <v>0</v>
      </c>
      <c r="B938">
        <v>30000</v>
      </c>
      <c r="C938">
        <f>1.225 * (1 - 0.00000687559 * B938) ^ 4.2561</f>
        <v>0.45828836225470948</v>
      </c>
      <c r="D938">
        <f>E938*(SQRT($C$2/C938))</f>
        <v>98.095679593519407</v>
      </c>
      <c r="E938">
        <v>60</v>
      </c>
      <c r="F938">
        <v>1215</v>
      </c>
      <c r="G938">
        <v>500</v>
      </c>
      <c r="H938">
        <f>CONVERT(G938,"HP","kW")</f>
        <v>372.84993579113512</v>
      </c>
      <c r="I938">
        <v>0.75619999999999998</v>
      </c>
      <c r="J938">
        <v>0.62890000000000001</v>
      </c>
      <c r="K938">
        <v>0.60399999999999998</v>
      </c>
      <c r="L938">
        <v>0.1003</v>
      </c>
      <c r="M938">
        <v>0.1206</v>
      </c>
      <c r="N938">
        <f>CONVERT(O938,"lbf","N")</f>
        <v>5587.4111709287145</v>
      </c>
      <c r="O938">
        <v>1256.0999999999999</v>
      </c>
      <c r="P938">
        <f t="shared" si="14"/>
        <v>1.2023928215353938</v>
      </c>
    </row>
    <row r="939" spans="1:16" hidden="1" x14ac:dyDescent="0.25">
      <c r="A939">
        <v>0</v>
      </c>
      <c r="B939">
        <v>30000</v>
      </c>
      <c r="C939">
        <f>1.225 * (1 - 0.00000687559 * B939) ^ 4.2561</f>
        <v>0.45828836225470948</v>
      </c>
      <c r="D939">
        <f>E939*(SQRT($C$2/C939))</f>
        <v>130.79423945802586</v>
      </c>
      <c r="E939">
        <v>80</v>
      </c>
      <c r="F939">
        <v>1215</v>
      </c>
      <c r="G939">
        <v>500</v>
      </c>
      <c r="H939">
        <f>CONVERT(G939,"HP","kW")</f>
        <v>372.84993579113512</v>
      </c>
      <c r="I939">
        <v>0.81820000000000004</v>
      </c>
      <c r="J939">
        <v>0.83860000000000001</v>
      </c>
      <c r="K939">
        <v>0.62219999999999998</v>
      </c>
      <c r="L939">
        <v>0.1003</v>
      </c>
      <c r="M939">
        <v>9.7900000000000001E-2</v>
      </c>
      <c r="N939">
        <f>CONVERT(O939,"lbf","N")</f>
        <v>4534.0722924350275</v>
      </c>
      <c r="O939">
        <v>1019.3</v>
      </c>
      <c r="P939">
        <f t="shared" si="14"/>
        <v>0.97607178464606181</v>
      </c>
    </row>
    <row r="940" spans="1:16" hidden="1" x14ac:dyDescent="0.25">
      <c r="A940">
        <v>0</v>
      </c>
      <c r="B940">
        <v>30000</v>
      </c>
      <c r="C940">
        <f>1.225 * (1 - 0.00000687559 * B940) ^ 4.2561</f>
        <v>0.45828836225470948</v>
      </c>
      <c r="D940">
        <f>E940*(SQRT($C$2/C940))</f>
        <v>163.49279932253233</v>
      </c>
      <c r="E940">
        <v>100</v>
      </c>
      <c r="F940">
        <v>1215</v>
      </c>
      <c r="G940">
        <v>500</v>
      </c>
      <c r="H940">
        <f>CONVERT(G940,"HP","kW")</f>
        <v>372.84993579113512</v>
      </c>
      <c r="I940">
        <v>0.83809999999999996</v>
      </c>
      <c r="J940">
        <v>1.0482</v>
      </c>
      <c r="K940">
        <v>0.64439999999999997</v>
      </c>
      <c r="L940">
        <v>0.1003</v>
      </c>
      <c r="M940">
        <v>8.0199999999999994E-2</v>
      </c>
      <c r="N940">
        <f>CONVERT(O940,"lbf","N")</f>
        <v>3715.15469306557</v>
      </c>
      <c r="O940">
        <v>835.2</v>
      </c>
      <c r="P940">
        <f t="shared" si="14"/>
        <v>0.79960119641076766</v>
      </c>
    </row>
    <row r="941" spans="1:16" hidden="1" x14ac:dyDescent="0.25">
      <c r="A941">
        <v>0</v>
      </c>
      <c r="B941">
        <v>30000</v>
      </c>
      <c r="C941">
        <f>1.225 * (1 - 0.00000687559 * B941) ^ 4.2561</f>
        <v>0.45828836225470948</v>
      </c>
      <c r="D941">
        <f>E941*(SQRT($C$2/C941))</f>
        <v>196.19135918703881</v>
      </c>
      <c r="E941">
        <v>120</v>
      </c>
      <c r="F941">
        <v>1215</v>
      </c>
      <c r="G941">
        <v>500</v>
      </c>
      <c r="H941">
        <f>CONVERT(G941,"HP","kW")</f>
        <v>372.84993579113512</v>
      </c>
      <c r="I941">
        <v>0.82930000000000004</v>
      </c>
      <c r="J941">
        <v>1.2578</v>
      </c>
      <c r="K941">
        <v>0.67030000000000001</v>
      </c>
      <c r="L941">
        <v>0.1003</v>
      </c>
      <c r="M941">
        <v>6.6100000000000006E-2</v>
      </c>
      <c r="N941">
        <f>CONVERT(O941,"lbf","N")</f>
        <v>3063.4902264299067</v>
      </c>
      <c r="O941">
        <v>688.7</v>
      </c>
      <c r="P941">
        <f t="shared" si="14"/>
        <v>0.65902293120638089</v>
      </c>
    </row>
    <row r="942" spans="1:16" hidden="1" x14ac:dyDescent="0.25">
      <c r="A942">
        <v>0</v>
      </c>
      <c r="B942">
        <v>30000</v>
      </c>
      <c r="C942">
        <f>1.225 * (1 - 0.00000687559 * B942) ^ 4.2561</f>
        <v>0.45828836225470948</v>
      </c>
      <c r="D942">
        <f>E942*(SQRT($C$2/C942))</f>
        <v>261.58847891605171</v>
      </c>
      <c r="E942">
        <v>160</v>
      </c>
      <c r="F942">
        <v>1215</v>
      </c>
      <c r="G942">
        <v>500</v>
      </c>
      <c r="H942">
        <f>CONVERT(G942,"HP","kW")</f>
        <v>372.84993579113512</v>
      </c>
      <c r="I942">
        <v>0.71889999999999998</v>
      </c>
      <c r="J942">
        <v>1.6771</v>
      </c>
      <c r="K942">
        <v>0.7319</v>
      </c>
      <c r="L942">
        <v>0.1003</v>
      </c>
      <c r="M942">
        <v>4.2999999999999997E-2</v>
      </c>
      <c r="N942">
        <f>CONVERT(O942,"lbf","N")</f>
        <v>1991.9136393136519</v>
      </c>
      <c r="O942">
        <v>447.8</v>
      </c>
      <c r="P942">
        <f t="shared" si="14"/>
        <v>0.42871385842472581</v>
      </c>
    </row>
    <row r="943" spans="1:16" hidden="1" x14ac:dyDescent="0.25">
      <c r="A943">
        <v>0</v>
      </c>
      <c r="B943">
        <v>30000</v>
      </c>
      <c r="C943">
        <f>1.225 * (1 - 0.00000687559 * B943) ^ 4.2561</f>
        <v>0.45828836225470948</v>
      </c>
      <c r="D943">
        <f>E943*(SQRT($C$2/C943))</f>
        <v>294.28703878055819</v>
      </c>
      <c r="E943">
        <v>180</v>
      </c>
      <c r="F943">
        <v>1215</v>
      </c>
      <c r="G943">
        <v>500</v>
      </c>
      <c r="H943">
        <f>CONVERT(G943,"HP","kW")</f>
        <v>372.84993579113512</v>
      </c>
      <c r="I943">
        <v>0.60819999999999996</v>
      </c>
      <c r="J943">
        <v>1.8867</v>
      </c>
      <c r="K943">
        <v>0.76680000000000004</v>
      </c>
      <c r="L943">
        <v>0.1003</v>
      </c>
      <c r="M943">
        <v>3.2300000000000002E-2</v>
      </c>
      <c r="N943">
        <f>CONVERT(O943,"lbf","N")</f>
        <v>1497.7162178582103</v>
      </c>
      <c r="O943">
        <v>336.7</v>
      </c>
      <c r="P943">
        <f t="shared" si="14"/>
        <v>0.32203389830508478</v>
      </c>
    </row>
    <row r="944" spans="1:16" hidden="1" x14ac:dyDescent="0.25">
      <c r="A944">
        <v>0</v>
      </c>
      <c r="B944">
        <v>30000</v>
      </c>
      <c r="C944">
        <f>1.225 * (1 - 0.00000687559 * B944) ^ 4.2561</f>
        <v>0.45828836225470948</v>
      </c>
      <c r="D944">
        <f>E944*(SQRT($C$2/C944))</f>
        <v>326.98559864506467</v>
      </c>
      <c r="E944">
        <v>200</v>
      </c>
      <c r="F944">
        <v>1215</v>
      </c>
      <c r="G944">
        <v>500</v>
      </c>
      <c r="H944">
        <f>CONVERT(G944,"HP","kW")</f>
        <v>372.84993579113512</v>
      </c>
      <c r="I944">
        <v>0.44379999999999997</v>
      </c>
      <c r="J944">
        <v>2.0964</v>
      </c>
      <c r="K944">
        <v>0.80410000000000004</v>
      </c>
      <c r="L944">
        <v>0.1003</v>
      </c>
      <c r="M944">
        <v>2.12E-2</v>
      </c>
      <c r="N944">
        <f>CONVERT(O944,"lbf","N")</f>
        <v>983.50179913409647</v>
      </c>
      <c r="O944">
        <v>221.1</v>
      </c>
      <c r="P944">
        <f t="shared" si="14"/>
        <v>0.21136590229312063</v>
      </c>
    </row>
    <row r="945" spans="1:16" hidden="1" x14ac:dyDescent="0.25">
      <c r="A945">
        <v>0</v>
      </c>
      <c r="B945">
        <v>30000</v>
      </c>
      <c r="C945">
        <f>1.225 * (1 - 0.00000687559 * B945) ^ 4.2561</f>
        <v>0.45828836225470948</v>
      </c>
      <c r="D945">
        <f>E945*(SQRT($C$2/C945))</f>
        <v>359.68415850957115</v>
      </c>
      <c r="E945">
        <v>220</v>
      </c>
      <c r="F945">
        <v>1215</v>
      </c>
      <c r="G945">
        <v>500</v>
      </c>
      <c r="H945">
        <f>CONVERT(G945,"HP","kW")</f>
        <v>372.84993579113512</v>
      </c>
      <c r="I945">
        <v>0.15870000000000001</v>
      </c>
      <c r="J945">
        <v>2.306</v>
      </c>
      <c r="K945">
        <v>0.84330000000000005</v>
      </c>
      <c r="L945">
        <v>0.1003</v>
      </c>
      <c r="M945">
        <v>6.8999999999999999E-3</v>
      </c>
      <c r="N945">
        <f>CONVERT(O945,"lbf","N")</f>
        <v>319.82713413723002</v>
      </c>
      <c r="O945">
        <v>71.900000000000006</v>
      </c>
      <c r="P945">
        <f t="shared" si="14"/>
        <v>6.8793619142572288E-2</v>
      </c>
    </row>
    <row r="946" spans="1:16" hidden="1" x14ac:dyDescent="0.25">
      <c r="A946">
        <v>0</v>
      </c>
      <c r="B946">
        <v>30000</v>
      </c>
      <c r="C946">
        <f>1.225 * (1 - 0.00000687559 * B946) ^ 4.2561</f>
        <v>0.45828836225470948</v>
      </c>
      <c r="D946">
        <f>E946*(SQRT($C$2/C946))</f>
        <v>392.38271837407763</v>
      </c>
      <c r="E946">
        <v>240</v>
      </c>
      <c r="F946">
        <v>1215</v>
      </c>
      <c r="G946">
        <v>500</v>
      </c>
      <c r="H946">
        <f>CONVERT(G946,"HP","kW")</f>
        <v>372.84993579113512</v>
      </c>
      <c r="I946">
        <v>-0.32369999999999999</v>
      </c>
      <c r="J946">
        <v>2.5156999999999998</v>
      </c>
      <c r="K946">
        <v>0.88429999999999997</v>
      </c>
      <c r="L946">
        <v>0.1003</v>
      </c>
      <c r="M946">
        <v>-1.29E-2</v>
      </c>
      <c r="N946">
        <f>CONVERT(O946,"lbf","N")</f>
        <v>-597.84098509101125</v>
      </c>
      <c r="O946">
        <v>-134.4</v>
      </c>
      <c r="P946">
        <f t="shared" si="14"/>
        <v>-0.12861415752741776</v>
      </c>
    </row>
    <row r="947" spans="1:16" hidden="1" x14ac:dyDescent="0.25">
      <c r="A947">
        <v>0</v>
      </c>
      <c r="B947">
        <v>30000</v>
      </c>
      <c r="C947">
        <f>1.225 * (1 - 0.00000687559 * B947) ^ 4.2561</f>
        <v>0.45828836225470948</v>
      </c>
      <c r="D947">
        <f>E947*(SQRT($C$2/C947))</f>
        <v>425.08127823858405</v>
      </c>
      <c r="E947">
        <v>260</v>
      </c>
      <c r="F947">
        <v>1215</v>
      </c>
      <c r="G947">
        <v>500</v>
      </c>
      <c r="H947">
        <f>CONVERT(G947,"HP","kW")</f>
        <v>372.84993579113512</v>
      </c>
      <c r="I947">
        <v>0</v>
      </c>
      <c r="J947">
        <v>2.7252999999999998</v>
      </c>
      <c r="K947">
        <v>0.92679999999999996</v>
      </c>
      <c r="L947">
        <v>0.1003</v>
      </c>
      <c r="M947">
        <v>-3.9699999999999999E-2</v>
      </c>
      <c r="N947">
        <f>CONVERT(O947,"lbf","N")</f>
        <v>-1839.3396379102167</v>
      </c>
      <c r="O947">
        <v>-413.5</v>
      </c>
      <c r="P947">
        <f t="shared" si="14"/>
        <v>-0.39581256231306083</v>
      </c>
    </row>
    <row r="948" spans="1:16" hidden="1" x14ac:dyDescent="0.25">
      <c r="A948">
        <v>0</v>
      </c>
      <c r="B948">
        <v>10000</v>
      </c>
      <c r="C948">
        <f>1.225 * (1 - 0.00000687559 * B948) ^ 4.2561</f>
        <v>0.90462252368600637</v>
      </c>
      <c r="D948">
        <f>E948*(SQRT($C$2/C948))</f>
        <v>232.73641570654067</v>
      </c>
      <c r="E948">
        <v>200</v>
      </c>
      <c r="F948">
        <v>1215</v>
      </c>
      <c r="G948">
        <v>1000</v>
      </c>
      <c r="H948">
        <f>CONVERT(G948,"HP","kW")</f>
        <v>745.69987158227025</v>
      </c>
      <c r="I948">
        <v>0.84619999999999995</v>
      </c>
      <c r="J948">
        <v>1.4922</v>
      </c>
      <c r="K948">
        <v>0.6492</v>
      </c>
      <c r="L948">
        <v>0.10150000000000001</v>
      </c>
      <c r="M948">
        <v>5.7599999999999998E-2</v>
      </c>
      <c r="N948">
        <f>CONVERT(O948,"lbf","N")</f>
        <v>5270.2529697606406</v>
      </c>
      <c r="O948">
        <v>1184.8</v>
      </c>
      <c r="P948">
        <f t="shared" si="14"/>
        <v>0.56748768472906397</v>
      </c>
    </row>
    <row r="949" spans="1:16" hidden="1" x14ac:dyDescent="0.25">
      <c r="A949">
        <v>0</v>
      </c>
      <c r="B949">
        <v>10000</v>
      </c>
      <c r="C949">
        <f>1.225 * (1 - 0.00000687559 * B949) ^ 4.2561</f>
        <v>0.90462252368600637</v>
      </c>
      <c r="D949">
        <f>E949*(SQRT($C$2/C949))</f>
        <v>0</v>
      </c>
      <c r="E949">
        <v>0</v>
      </c>
      <c r="F949">
        <v>1215</v>
      </c>
      <c r="G949">
        <v>1000</v>
      </c>
      <c r="H949">
        <f>CONVERT(G949,"HP","kW")</f>
        <v>745.69987158227025</v>
      </c>
      <c r="I949">
        <v>0</v>
      </c>
      <c r="J949">
        <v>0</v>
      </c>
      <c r="K949">
        <v>0.52559999999999996</v>
      </c>
      <c r="L949">
        <v>0.1016</v>
      </c>
      <c r="M949">
        <v>0.21260000000000001</v>
      </c>
      <c r="N949">
        <f>CONVERT(O949,"lbf","N")</f>
        <v>19442.287035980593</v>
      </c>
      <c r="O949">
        <v>4370.8</v>
      </c>
      <c r="P949">
        <f t="shared" si="14"/>
        <v>2.0925196850393704</v>
      </c>
    </row>
    <row r="950" spans="1:16" hidden="1" x14ac:dyDescent="0.25">
      <c r="A950">
        <v>0</v>
      </c>
      <c r="B950">
        <v>10000</v>
      </c>
      <c r="C950">
        <f>1.225 * (1 - 0.00000687559 * B950) ^ 4.2561</f>
        <v>0.90462252368600637</v>
      </c>
      <c r="D950">
        <f>E950*(SQRT($C$2/C950))</f>
        <v>23.273641570654068</v>
      </c>
      <c r="E950">
        <v>20</v>
      </c>
      <c r="F950">
        <v>1215</v>
      </c>
      <c r="G950">
        <v>1000</v>
      </c>
      <c r="H950">
        <f>CONVERT(G950,"HP","kW")</f>
        <v>745.69987158227025</v>
      </c>
      <c r="I950">
        <v>0.2802</v>
      </c>
      <c r="J950">
        <v>0.1492</v>
      </c>
      <c r="K950">
        <v>0.53139999999999998</v>
      </c>
      <c r="L950">
        <v>0.1016</v>
      </c>
      <c r="M950">
        <v>0.19089999999999999</v>
      </c>
      <c r="N950">
        <f>CONVERT(O950,"lbf","N")</f>
        <v>17451.263040989994</v>
      </c>
      <c r="O950">
        <v>3923.2</v>
      </c>
      <c r="P950">
        <f t="shared" si="14"/>
        <v>1.8789370078740157</v>
      </c>
    </row>
    <row r="951" spans="1:16" hidden="1" x14ac:dyDescent="0.25">
      <c r="A951">
        <v>0</v>
      </c>
      <c r="B951">
        <v>10000</v>
      </c>
      <c r="C951">
        <f>1.225 * (1 - 0.00000687559 * B951) ^ 4.2561</f>
        <v>0.90462252368600637</v>
      </c>
      <c r="D951">
        <f>E951*(SQRT($C$2/C951))</f>
        <v>46.547283141308135</v>
      </c>
      <c r="E951">
        <v>40</v>
      </c>
      <c r="F951">
        <v>1215</v>
      </c>
      <c r="G951">
        <v>1000</v>
      </c>
      <c r="H951">
        <f>CONVERT(G951,"HP","kW")</f>
        <v>745.69987158227025</v>
      </c>
      <c r="I951">
        <v>0.49609999999999999</v>
      </c>
      <c r="J951">
        <v>0.2984</v>
      </c>
      <c r="K951">
        <v>0.53800000000000003</v>
      </c>
      <c r="L951">
        <v>0.1016</v>
      </c>
      <c r="M951">
        <v>0.16900000000000001</v>
      </c>
      <c r="N951">
        <f>CONVERT(O951,"lbf","N")</f>
        <v>15448.673669799717</v>
      </c>
      <c r="O951">
        <v>3473</v>
      </c>
      <c r="P951">
        <f t="shared" si="14"/>
        <v>1.6633858267716537</v>
      </c>
    </row>
    <row r="952" spans="1:16" hidden="1" x14ac:dyDescent="0.25">
      <c r="A952">
        <v>0</v>
      </c>
      <c r="B952">
        <v>10000</v>
      </c>
      <c r="C952">
        <f>1.225 * (1 - 0.00000687559 * B952) ^ 4.2561</f>
        <v>0.90462252368600637</v>
      </c>
      <c r="D952">
        <f>E952*(SQRT($C$2/C952))</f>
        <v>69.820924711962206</v>
      </c>
      <c r="E952">
        <v>60</v>
      </c>
      <c r="F952">
        <v>1215</v>
      </c>
      <c r="G952">
        <v>1000</v>
      </c>
      <c r="H952">
        <f>CONVERT(G952,"HP","kW")</f>
        <v>745.69987158227025</v>
      </c>
      <c r="I952">
        <v>0.64590000000000003</v>
      </c>
      <c r="J952">
        <v>0.4476</v>
      </c>
      <c r="K952">
        <v>0.54590000000000005</v>
      </c>
      <c r="L952">
        <v>0.1016</v>
      </c>
      <c r="M952">
        <v>0.1467</v>
      </c>
      <c r="N952">
        <f>CONVERT(O952,"lbf","N")</f>
        <v>13409.608881364302</v>
      </c>
      <c r="O952">
        <v>3014.6</v>
      </c>
      <c r="P952">
        <f t="shared" si="14"/>
        <v>1.4438976377952757</v>
      </c>
    </row>
    <row r="953" spans="1:16" hidden="1" x14ac:dyDescent="0.25">
      <c r="A953">
        <v>0</v>
      </c>
      <c r="B953">
        <v>10000</v>
      </c>
      <c r="C953">
        <f>1.225 * (1 - 0.00000687559 * B953) ^ 4.2561</f>
        <v>0.90462252368600637</v>
      </c>
      <c r="D953">
        <f>E953*(SQRT($C$2/C953))</f>
        <v>93.09456628261627</v>
      </c>
      <c r="E953">
        <v>80</v>
      </c>
      <c r="F953">
        <v>1215</v>
      </c>
      <c r="G953">
        <v>1000</v>
      </c>
      <c r="H953">
        <f>CONVERT(G953,"HP","kW")</f>
        <v>745.69987158227025</v>
      </c>
      <c r="I953">
        <v>0.74170000000000003</v>
      </c>
      <c r="J953">
        <v>0.59689999999999999</v>
      </c>
      <c r="K953">
        <v>0.55530000000000002</v>
      </c>
      <c r="L953">
        <v>0.1016</v>
      </c>
      <c r="M953">
        <v>0.1263</v>
      </c>
      <c r="N953">
        <f>CONVERT(O953,"lbf","N")</f>
        <v>11548.028135377785</v>
      </c>
      <c r="O953">
        <v>2596.1</v>
      </c>
      <c r="P953">
        <f t="shared" si="14"/>
        <v>1.2431102362204725</v>
      </c>
    </row>
    <row r="954" spans="1:16" hidden="1" x14ac:dyDescent="0.25">
      <c r="A954">
        <v>0</v>
      </c>
      <c r="B954">
        <v>10000</v>
      </c>
      <c r="C954">
        <f>1.225 * (1 - 0.00000687559 * B954) ^ 4.2561</f>
        <v>0.90462252368600637</v>
      </c>
      <c r="D954">
        <f>E954*(SQRT($C$2/C954))</f>
        <v>116.36820785327033</v>
      </c>
      <c r="E954">
        <v>100</v>
      </c>
      <c r="F954">
        <v>1215</v>
      </c>
      <c r="G954">
        <v>1000</v>
      </c>
      <c r="H954">
        <f>CONVERT(G954,"HP","kW")</f>
        <v>745.69987158227025</v>
      </c>
      <c r="I954">
        <v>0.79990000000000006</v>
      </c>
      <c r="J954">
        <v>0.74609999999999999</v>
      </c>
      <c r="K954">
        <v>0.5665</v>
      </c>
      <c r="L954">
        <v>0.1016</v>
      </c>
      <c r="M954">
        <v>0.109</v>
      </c>
      <c r="N954">
        <f>CONVERT(O954,"lbf","N")</f>
        <v>9964.0164181835207</v>
      </c>
      <c r="O954">
        <v>2240</v>
      </c>
      <c r="P954">
        <f t="shared" si="14"/>
        <v>1.0728346456692914</v>
      </c>
    </row>
    <row r="955" spans="1:16" hidden="1" x14ac:dyDescent="0.25">
      <c r="A955">
        <v>0</v>
      </c>
      <c r="B955">
        <v>10000</v>
      </c>
      <c r="C955">
        <f>1.225 * (1 - 0.00000687559 * B955) ^ 4.2561</f>
        <v>0.90462252368600637</v>
      </c>
      <c r="D955">
        <f>E955*(SQRT($C$2/C955))</f>
        <v>186.18913256523254</v>
      </c>
      <c r="E955">
        <v>160</v>
      </c>
      <c r="F955">
        <v>1215</v>
      </c>
      <c r="G955">
        <v>1000</v>
      </c>
      <c r="H955">
        <f>CONVERT(G955,"HP","kW")</f>
        <v>745.69987158227025</v>
      </c>
      <c r="I955">
        <v>0.85819999999999996</v>
      </c>
      <c r="J955">
        <v>1.1937</v>
      </c>
      <c r="K955">
        <v>0.61109999999999998</v>
      </c>
      <c r="L955">
        <v>0.1016</v>
      </c>
      <c r="M955">
        <v>7.3099999999999998E-2</v>
      </c>
      <c r="N955">
        <f>CONVERT(O955,"lbf","N")</f>
        <v>6681.2288661212706</v>
      </c>
      <c r="O955">
        <v>1502</v>
      </c>
      <c r="P955">
        <f t="shared" si="14"/>
        <v>0.71948818897637801</v>
      </c>
    </row>
    <row r="956" spans="1:16" hidden="1" x14ac:dyDescent="0.25">
      <c r="A956">
        <v>0</v>
      </c>
      <c r="B956">
        <v>10000</v>
      </c>
      <c r="C956">
        <f>1.225 * (1 - 0.00000687559 * B956) ^ 4.2561</f>
        <v>0.90462252368600637</v>
      </c>
      <c r="D956">
        <f>E956*(SQRT($C$2/C956))</f>
        <v>256.01005727719473</v>
      </c>
      <c r="E956">
        <v>220</v>
      </c>
      <c r="F956">
        <v>1215</v>
      </c>
      <c r="G956">
        <v>1000</v>
      </c>
      <c r="H956">
        <f>CONVERT(G956,"HP","kW")</f>
        <v>745.69987158227025</v>
      </c>
      <c r="I956">
        <v>0.8236</v>
      </c>
      <c r="J956">
        <v>1.6414</v>
      </c>
      <c r="K956">
        <v>0.6704</v>
      </c>
      <c r="L956">
        <v>0.1016</v>
      </c>
      <c r="M956">
        <v>5.0999999999999997E-2</v>
      </c>
      <c r="N956">
        <f>CONVERT(O956,"lbf","N")</f>
        <v>4663.0707192775826</v>
      </c>
      <c r="O956">
        <v>1048.3</v>
      </c>
      <c r="P956">
        <f t="shared" si="14"/>
        <v>0.50196850393700787</v>
      </c>
    </row>
    <row r="957" spans="1:16" hidden="1" x14ac:dyDescent="0.25">
      <c r="A957">
        <v>0</v>
      </c>
      <c r="B957">
        <v>10000</v>
      </c>
      <c r="C957">
        <f>1.225 * (1 - 0.00000687559 * B957) ^ 4.2561</f>
        <v>0.90462252368600637</v>
      </c>
      <c r="D957">
        <f>E957*(SQRT($C$2/C957))</f>
        <v>279.28369884784883</v>
      </c>
      <c r="E957">
        <v>240</v>
      </c>
      <c r="F957">
        <v>1215</v>
      </c>
      <c r="G957">
        <v>1000</v>
      </c>
      <c r="H957">
        <f>CONVERT(G957,"HP","kW")</f>
        <v>745.69987158227025</v>
      </c>
      <c r="I957">
        <v>0.78380000000000005</v>
      </c>
      <c r="J957">
        <v>1.7906</v>
      </c>
      <c r="K957">
        <v>0.69289999999999996</v>
      </c>
      <c r="L957">
        <v>0.1016</v>
      </c>
      <c r="M957">
        <v>4.4499999999999998E-2</v>
      </c>
      <c r="N957">
        <f>CONVERT(O957,"lbf","N")</f>
        <v>4068.3434893172534</v>
      </c>
      <c r="O957">
        <v>914.6</v>
      </c>
      <c r="P957">
        <f t="shared" si="14"/>
        <v>0.43799212598425197</v>
      </c>
    </row>
    <row r="958" spans="1:16" hidden="1" x14ac:dyDescent="0.25">
      <c r="A958">
        <v>0</v>
      </c>
      <c r="B958">
        <v>10000</v>
      </c>
      <c r="C958">
        <f>1.225 * (1 - 0.00000687559 * B958) ^ 4.2561</f>
        <v>0.90462252368600637</v>
      </c>
      <c r="D958">
        <f>E958*(SQRT($C$2/C958))</f>
        <v>302.55734041850286</v>
      </c>
      <c r="E958">
        <v>260</v>
      </c>
      <c r="F958">
        <v>1215</v>
      </c>
      <c r="G958">
        <v>1000</v>
      </c>
      <c r="H958">
        <f>CONVERT(G958,"HP","kW")</f>
        <v>745.69987158227025</v>
      </c>
      <c r="I958">
        <v>0.71489999999999998</v>
      </c>
      <c r="J958">
        <v>1.9398</v>
      </c>
      <c r="K958">
        <v>0.71650000000000003</v>
      </c>
      <c r="L958">
        <v>0.1016</v>
      </c>
      <c r="M958">
        <v>3.7400000000000003E-2</v>
      </c>
      <c r="N958">
        <f>CONVERT(O958,"lbf","N")</f>
        <v>3425.1306437505855</v>
      </c>
      <c r="O958">
        <v>770</v>
      </c>
      <c r="P958">
        <f t="shared" si="14"/>
        <v>0.36811023622047251</v>
      </c>
    </row>
    <row r="959" spans="1:16" hidden="1" x14ac:dyDescent="0.25">
      <c r="A959">
        <v>0</v>
      </c>
      <c r="B959">
        <v>10000</v>
      </c>
      <c r="C959">
        <f>1.225 * (1 - 0.00000687559 * B959) ^ 4.2561</f>
        <v>0.90462252368600637</v>
      </c>
      <c r="D959">
        <f>E959*(SQRT($C$2/C959))</f>
        <v>139.64184942392441</v>
      </c>
      <c r="E959">
        <v>120</v>
      </c>
      <c r="F959">
        <v>1215</v>
      </c>
      <c r="G959">
        <v>1000</v>
      </c>
      <c r="H959">
        <f>CONVERT(G959,"HP","kW")</f>
        <v>745.69987158227025</v>
      </c>
      <c r="I959">
        <v>0.83350000000000002</v>
      </c>
      <c r="J959">
        <v>0.89529999999999998</v>
      </c>
      <c r="K959">
        <v>0.5796</v>
      </c>
      <c r="L959">
        <v>0.1017</v>
      </c>
      <c r="M959">
        <v>9.4700000000000006E-2</v>
      </c>
      <c r="N959">
        <f>CONVERT(O959,"lbf","N")</f>
        <v>8652.2358638431979</v>
      </c>
      <c r="O959">
        <v>1945.1</v>
      </c>
      <c r="P959">
        <f t="shared" si="14"/>
        <v>0.93117010816125867</v>
      </c>
    </row>
    <row r="960" spans="1:16" hidden="1" x14ac:dyDescent="0.25">
      <c r="A960">
        <v>0</v>
      </c>
      <c r="B960">
        <v>10000</v>
      </c>
      <c r="C960">
        <f>1.225 * (1 - 0.00000687559 * B960) ^ 4.2561</f>
        <v>0.90462252368600637</v>
      </c>
      <c r="D960">
        <f>E960*(SQRT($C$2/C960))</f>
        <v>162.91549099457848</v>
      </c>
      <c r="E960">
        <v>140</v>
      </c>
      <c r="F960">
        <v>1215</v>
      </c>
      <c r="G960">
        <v>1000</v>
      </c>
      <c r="H960">
        <f>CONVERT(G960,"HP","kW")</f>
        <v>745.69987158227025</v>
      </c>
      <c r="I960">
        <v>0.85109999999999997</v>
      </c>
      <c r="J960">
        <v>1.0445</v>
      </c>
      <c r="K960">
        <v>0.59450000000000003</v>
      </c>
      <c r="L960">
        <v>0.1017</v>
      </c>
      <c r="M960">
        <v>8.2900000000000001E-2</v>
      </c>
      <c r="N960">
        <f>CONVERT(O960,"lbf","N")</f>
        <v>7573.0972999810019</v>
      </c>
      <c r="O960">
        <v>1702.5</v>
      </c>
      <c r="P960">
        <f t="shared" si="14"/>
        <v>0.81514257620452313</v>
      </c>
    </row>
    <row r="961" spans="1:16" hidden="1" x14ac:dyDescent="0.25">
      <c r="A961">
        <v>0</v>
      </c>
      <c r="B961">
        <v>10000</v>
      </c>
      <c r="C961">
        <f>1.225 * (1 - 0.00000687559 * B961) ^ 4.2561</f>
        <v>0.90462252368600637</v>
      </c>
      <c r="D961">
        <f>E961*(SQRT($C$2/C961))</f>
        <v>209.4627741358866</v>
      </c>
      <c r="E961">
        <v>180</v>
      </c>
      <c r="F961">
        <v>1215</v>
      </c>
      <c r="G961">
        <v>1000</v>
      </c>
      <c r="H961">
        <f>CONVERT(G961,"HP","kW")</f>
        <v>745.69987158227025</v>
      </c>
      <c r="I961">
        <v>0.85709999999999997</v>
      </c>
      <c r="J961">
        <v>1.3429</v>
      </c>
      <c r="K961">
        <v>0.62939999999999996</v>
      </c>
      <c r="L961">
        <v>0.1017</v>
      </c>
      <c r="M961">
        <v>6.4899999999999999E-2</v>
      </c>
      <c r="N961">
        <f>CONVERT(O961,"lbf","N")</f>
        <v>5931.2587017883516</v>
      </c>
      <c r="O961">
        <v>1333.4</v>
      </c>
      <c r="P961">
        <f t="shared" si="14"/>
        <v>0.6381514257620452</v>
      </c>
    </row>
    <row r="962" spans="1:16" hidden="1" x14ac:dyDescent="0.25">
      <c r="A962">
        <v>0</v>
      </c>
      <c r="B962">
        <v>5000</v>
      </c>
      <c r="C962">
        <f>1.225 * (1 - 0.00000687559 * B962) ^ 4.2561</f>
        <v>1.0555380742846066</v>
      </c>
      <c r="D962">
        <f>E962*(SQRT($C$2/C962))</f>
        <v>280.09440947918529</v>
      </c>
      <c r="E962">
        <v>260</v>
      </c>
      <c r="F962">
        <v>1150</v>
      </c>
      <c r="G962">
        <v>1000</v>
      </c>
      <c r="H962">
        <f>CONVERT(G962,"HP","kW")</f>
        <v>745.69987158227025</v>
      </c>
      <c r="I962">
        <v>0.79730000000000001</v>
      </c>
      <c r="J962">
        <v>1.8973</v>
      </c>
      <c r="K962">
        <v>0.65959999999999996</v>
      </c>
      <c r="L962">
        <v>0.1026</v>
      </c>
      <c r="M962">
        <v>4.3099999999999999E-2</v>
      </c>
      <c r="N962">
        <f>CONVERT(O962,"lbf","N")</f>
        <v>4126.17037031564</v>
      </c>
      <c r="O962">
        <v>927.6</v>
      </c>
      <c r="P962">
        <f t="shared" si="14"/>
        <v>0.42007797270955166</v>
      </c>
    </row>
    <row r="963" spans="1:16" hidden="1" x14ac:dyDescent="0.25">
      <c r="A963">
        <v>0</v>
      </c>
      <c r="B963">
        <v>5000</v>
      </c>
      <c r="C963">
        <f>1.225 * (1 - 0.00000687559 * B963) ^ 4.2561</f>
        <v>1.0555380742846066</v>
      </c>
      <c r="D963">
        <f>E963*(SQRT($C$2/C963))</f>
        <v>0</v>
      </c>
      <c r="E963">
        <v>0</v>
      </c>
      <c r="F963">
        <v>1150</v>
      </c>
      <c r="G963">
        <v>1000</v>
      </c>
      <c r="H963">
        <f>CONVERT(G963,"HP","kW")</f>
        <v>745.69987158227025</v>
      </c>
      <c r="I963">
        <v>0</v>
      </c>
      <c r="J963">
        <v>0</v>
      </c>
      <c r="K963">
        <v>0.48849999999999999</v>
      </c>
      <c r="L963">
        <v>0.1027</v>
      </c>
      <c r="M963">
        <v>0.2147</v>
      </c>
      <c r="N963">
        <f>CONVERT(O963,"lbf","N")</f>
        <v>20516.532556066006</v>
      </c>
      <c r="O963">
        <v>4612.3</v>
      </c>
      <c r="P963">
        <f t="shared" ref="P963:P1026" si="15">M963/L963</f>
        <v>2.0905550146056475</v>
      </c>
    </row>
    <row r="964" spans="1:16" hidden="1" x14ac:dyDescent="0.25">
      <c r="A964">
        <v>0</v>
      </c>
      <c r="B964">
        <v>5000</v>
      </c>
      <c r="C964">
        <f>1.225 * (1 - 0.00000687559 * B964) ^ 4.2561</f>
        <v>1.0555380742846066</v>
      </c>
      <c r="D964">
        <f>E964*(SQRT($C$2/C964))</f>
        <v>21.545723806091175</v>
      </c>
      <c r="E964">
        <v>20</v>
      </c>
      <c r="F964">
        <v>1150</v>
      </c>
      <c r="G964">
        <v>1000</v>
      </c>
      <c r="H964">
        <f>CONVERT(G964,"HP","kW")</f>
        <v>745.69987158227025</v>
      </c>
      <c r="I964">
        <v>0.27429999999999999</v>
      </c>
      <c r="J964">
        <v>0.1459</v>
      </c>
      <c r="K964">
        <v>0.49380000000000002</v>
      </c>
      <c r="L964">
        <v>0.1027</v>
      </c>
      <c r="M964">
        <v>0.19309999999999999</v>
      </c>
      <c r="N964">
        <f>CONVERT(O964,"lbf","N")</f>
        <v>18457.450770361917</v>
      </c>
      <c r="O964">
        <v>4149.3999999999996</v>
      </c>
      <c r="P964">
        <f t="shared" si="15"/>
        <v>1.8802336903602725</v>
      </c>
    </row>
    <row r="965" spans="1:16" hidden="1" x14ac:dyDescent="0.25">
      <c r="A965">
        <v>0</v>
      </c>
      <c r="B965">
        <v>5000</v>
      </c>
      <c r="C965">
        <f>1.225 * (1 - 0.00000687559 * B965) ^ 4.2561</f>
        <v>1.0555380742846066</v>
      </c>
      <c r="D965">
        <f>E965*(SQRT($C$2/C965))</f>
        <v>43.09144761218235</v>
      </c>
      <c r="E965">
        <v>40</v>
      </c>
      <c r="F965">
        <v>1150</v>
      </c>
      <c r="G965">
        <v>1000</v>
      </c>
      <c r="H965">
        <f>CONVERT(G965,"HP","kW")</f>
        <v>745.69987158227025</v>
      </c>
      <c r="I965">
        <v>0.4874</v>
      </c>
      <c r="J965">
        <v>0.29189999999999999</v>
      </c>
      <c r="K965">
        <v>0.49980000000000002</v>
      </c>
      <c r="L965">
        <v>0.1027</v>
      </c>
      <c r="M965">
        <v>0.17150000000000001</v>
      </c>
      <c r="N965">
        <f>CONVERT(O965,"lbf","N")</f>
        <v>16395.700051688676</v>
      </c>
      <c r="O965">
        <v>3685.9</v>
      </c>
      <c r="P965">
        <f t="shared" si="15"/>
        <v>1.6699123661148978</v>
      </c>
    </row>
    <row r="966" spans="1:16" hidden="1" x14ac:dyDescent="0.25">
      <c r="A966">
        <v>0</v>
      </c>
      <c r="B966">
        <v>5000</v>
      </c>
      <c r="C966">
        <f>1.225 * (1 - 0.00000687559 * B966) ^ 4.2561</f>
        <v>1.0555380742846066</v>
      </c>
      <c r="D966">
        <f>E966*(SQRT($C$2/C966))</f>
        <v>64.637171418273525</v>
      </c>
      <c r="E966">
        <v>60</v>
      </c>
      <c r="F966">
        <v>1150</v>
      </c>
      <c r="G966">
        <v>1000</v>
      </c>
      <c r="H966">
        <f>CONVERT(G966,"HP","kW")</f>
        <v>745.69987158227025</v>
      </c>
      <c r="I966">
        <v>0.63749999999999996</v>
      </c>
      <c r="J966">
        <v>0.43780000000000002</v>
      </c>
      <c r="K966">
        <v>0.50690000000000002</v>
      </c>
      <c r="L966">
        <v>0.1027</v>
      </c>
      <c r="M966">
        <v>0.14960000000000001</v>
      </c>
      <c r="N966">
        <f>CONVERT(O966,"lbf","N")</f>
        <v>14296.584271447249</v>
      </c>
      <c r="O966">
        <v>3214</v>
      </c>
      <c r="P966">
        <f t="shared" si="15"/>
        <v>1.4566699123661151</v>
      </c>
    </row>
    <row r="967" spans="1:16" hidden="1" x14ac:dyDescent="0.25">
      <c r="A967">
        <v>0</v>
      </c>
      <c r="B967">
        <v>5000</v>
      </c>
      <c r="C967">
        <f>1.225 * (1 - 0.00000687559 * B967) ^ 4.2561</f>
        <v>1.0555380742846066</v>
      </c>
      <c r="D967">
        <f>E967*(SQRT($C$2/C967))</f>
        <v>86.1828952243647</v>
      </c>
      <c r="E967">
        <v>80</v>
      </c>
      <c r="F967">
        <v>1150</v>
      </c>
      <c r="G967">
        <v>1000</v>
      </c>
      <c r="H967">
        <f>CONVERT(G967,"HP","kW")</f>
        <v>745.69987158227025</v>
      </c>
      <c r="I967">
        <v>0.73499999999999999</v>
      </c>
      <c r="J967">
        <v>0.58379999999999999</v>
      </c>
      <c r="K967">
        <v>0.51529999999999998</v>
      </c>
      <c r="L967">
        <v>0.1027</v>
      </c>
      <c r="M967">
        <v>0.1293</v>
      </c>
      <c r="N967">
        <f>CONVERT(O967,"lbf","N")</f>
        <v>12362.497513131981</v>
      </c>
      <c r="O967">
        <v>2779.2</v>
      </c>
      <c r="P967">
        <f t="shared" si="15"/>
        <v>1.2590068159688412</v>
      </c>
    </row>
    <row r="968" spans="1:16" hidden="1" x14ac:dyDescent="0.25">
      <c r="A968">
        <v>0</v>
      </c>
      <c r="B968">
        <v>5000</v>
      </c>
      <c r="C968">
        <f>1.225 * (1 - 0.00000687559 * B968) ^ 4.2561</f>
        <v>1.0555380742846066</v>
      </c>
      <c r="D968">
        <f>E968*(SQRT($C$2/C968))</f>
        <v>107.72861903045587</v>
      </c>
      <c r="E968">
        <v>100</v>
      </c>
      <c r="F968">
        <v>1150</v>
      </c>
      <c r="G968">
        <v>1000</v>
      </c>
      <c r="H968">
        <f>CONVERT(G968,"HP","kW")</f>
        <v>745.69987158227025</v>
      </c>
      <c r="I968">
        <v>0.79569999999999996</v>
      </c>
      <c r="J968">
        <v>0.72970000000000002</v>
      </c>
      <c r="K968">
        <v>0.52539999999999998</v>
      </c>
      <c r="L968">
        <v>0.1027</v>
      </c>
      <c r="M968">
        <v>0.112</v>
      </c>
      <c r="N968">
        <f>CONVERT(O968,"lbf","N")</f>
        <v>10705.979783608973</v>
      </c>
      <c r="O968">
        <v>2406.8000000000002</v>
      </c>
      <c r="P968">
        <f t="shared" si="15"/>
        <v>1.0905550146056475</v>
      </c>
    </row>
    <row r="969" spans="1:16" hidden="1" x14ac:dyDescent="0.25">
      <c r="A969">
        <v>0</v>
      </c>
      <c r="B969">
        <v>5000</v>
      </c>
      <c r="C969">
        <f>1.225 * (1 - 0.00000687559 * B969) ^ 4.2561</f>
        <v>1.0555380742846066</v>
      </c>
      <c r="D969">
        <f>E969*(SQRT($C$2/C969))</f>
        <v>150.82006664263821</v>
      </c>
      <c r="E969">
        <v>140</v>
      </c>
      <c r="F969">
        <v>1150</v>
      </c>
      <c r="G969">
        <v>1000</v>
      </c>
      <c r="H969">
        <f>CONVERT(G969,"HP","kW")</f>
        <v>745.69987158227025</v>
      </c>
      <c r="I969">
        <v>0.85199999999999998</v>
      </c>
      <c r="J969">
        <v>1.0216000000000001</v>
      </c>
      <c r="K969">
        <v>0.5504</v>
      </c>
      <c r="L969">
        <v>0.1027</v>
      </c>
      <c r="M969">
        <v>8.5699999999999998E-2</v>
      </c>
      <c r="N969">
        <f>CONVERT(O969,"lbf","N")</f>
        <v>8188.7311715330552</v>
      </c>
      <c r="O969">
        <v>1840.9</v>
      </c>
      <c r="P969">
        <f t="shared" si="15"/>
        <v>0.83446932814021424</v>
      </c>
    </row>
    <row r="970" spans="1:16" hidden="1" x14ac:dyDescent="0.25">
      <c r="A970">
        <v>0</v>
      </c>
      <c r="B970">
        <v>5000</v>
      </c>
      <c r="C970">
        <f>1.225 * (1 - 0.00000687559 * B970) ^ 4.2561</f>
        <v>1.0555380742846066</v>
      </c>
      <c r="D970">
        <f>E970*(SQRT($C$2/C970))</f>
        <v>172.3657904487294</v>
      </c>
      <c r="E970">
        <v>160</v>
      </c>
      <c r="F970">
        <v>1150</v>
      </c>
      <c r="G970">
        <v>1000</v>
      </c>
      <c r="H970">
        <f>CONVERT(G970,"HP","kW")</f>
        <v>745.69987158227025</v>
      </c>
      <c r="I970">
        <v>0.86150000000000004</v>
      </c>
      <c r="J970">
        <v>1.1676</v>
      </c>
      <c r="K970">
        <v>0.56520000000000004</v>
      </c>
      <c r="L970">
        <v>0.1027</v>
      </c>
      <c r="M970">
        <v>7.5800000000000006E-2</v>
      </c>
      <c r="N970">
        <f>CONVERT(O970,"lbf","N")</f>
        <v>7245.2633669363022</v>
      </c>
      <c r="O970">
        <v>1628.8</v>
      </c>
      <c r="P970">
        <f t="shared" si="15"/>
        <v>0.73807205452775082</v>
      </c>
    </row>
    <row r="971" spans="1:16" hidden="1" x14ac:dyDescent="0.25">
      <c r="A971">
        <v>0</v>
      </c>
      <c r="B971">
        <v>5000</v>
      </c>
      <c r="C971">
        <f>1.225 * (1 - 0.00000687559 * B971) ^ 4.2561</f>
        <v>1.0555380742846066</v>
      </c>
      <c r="D971">
        <f>E971*(SQRT($C$2/C971))</f>
        <v>193.91151425482059</v>
      </c>
      <c r="E971">
        <v>180</v>
      </c>
      <c r="F971">
        <v>1150</v>
      </c>
      <c r="G971">
        <v>1000</v>
      </c>
      <c r="H971">
        <f>CONVERT(G971,"HP","kW")</f>
        <v>745.69987158227025</v>
      </c>
      <c r="I971">
        <v>0.86309999999999998</v>
      </c>
      <c r="J971">
        <v>1.3134999999999999</v>
      </c>
      <c r="K971">
        <v>0.58160000000000001</v>
      </c>
      <c r="L971">
        <v>0.1027</v>
      </c>
      <c r="M971">
        <v>6.7500000000000004E-2</v>
      </c>
      <c r="N971">
        <f>CONVERT(O971,"lbf","N")</f>
        <v>6452.1454529353559</v>
      </c>
      <c r="O971">
        <v>1450.5</v>
      </c>
      <c r="P971">
        <f t="shared" si="15"/>
        <v>0.65725413826679657</v>
      </c>
    </row>
    <row r="972" spans="1:16" hidden="1" x14ac:dyDescent="0.25">
      <c r="A972">
        <v>0</v>
      </c>
      <c r="B972">
        <v>5000</v>
      </c>
      <c r="C972">
        <f>1.225 * (1 - 0.00000687559 * B972) ^ 4.2561</f>
        <v>1.0555380742846066</v>
      </c>
      <c r="D972">
        <f>E972*(SQRT($C$2/C972))</f>
        <v>215.45723806091175</v>
      </c>
      <c r="E972">
        <v>200</v>
      </c>
      <c r="F972">
        <v>1150</v>
      </c>
      <c r="G972">
        <v>1000</v>
      </c>
      <c r="H972">
        <f>CONVERT(G972,"HP","kW")</f>
        <v>745.69987158227025</v>
      </c>
      <c r="I972">
        <v>0.85809999999999997</v>
      </c>
      <c r="J972">
        <v>1.4595</v>
      </c>
      <c r="K972">
        <v>0.59930000000000005</v>
      </c>
      <c r="L972">
        <v>0.1027</v>
      </c>
      <c r="M972">
        <v>6.0400000000000002E-2</v>
      </c>
      <c r="N972">
        <f>CONVERT(O972,"lbf","N")</f>
        <v>5772.9020122850761</v>
      </c>
      <c r="O972">
        <v>1297.8</v>
      </c>
      <c r="P972">
        <f t="shared" si="15"/>
        <v>0.58812074001947423</v>
      </c>
    </row>
    <row r="973" spans="1:16" hidden="1" x14ac:dyDescent="0.25">
      <c r="A973">
        <v>0</v>
      </c>
      <c r="B973">
        <v>5000</v>
      </c>
      <c r="C973">
        <f>1.225 * (1 - 0.00000687559 * B973) ^ 4.2561</f>
        <v>1.0555380742846066</v>
      </c>
      <c r="D973">
        <f>E973*(SQRT($C$2/C973))</f>
        <v>237.00296186700291</v>
      </c>
      <c r="E973">
        <v>220</v>
      </c>
      <c r="F973">
        <v>1150</v>
      </c>
      <c r="G973">
        <v>1000</v>
      </c>
      <c r="H973">
        <f>CONVERT(G973,"HP","kW")</f>
        <v>745.69987158227025</v>
      </c>
      <c r="I973">
        <v>0.84630000000000005</v>
      </c>
      <c r="J973">
        <v>1.6053999999999999</v>
      </c>
      <c r="K973">
        <v>0.61829999999999996</v>
      </c>
      <c r="L973">
        <v>0.1027</v>
      </c>
      <c r="M973">
        <v>5.4100000000000002E-2</v>
      </c>
      <c r="N973">
        <f>CONVERT(O973,"lbf","N")</f>
        <v>5175.9506715171174</v>
      </c>
      <c r="O973">
        <v>1163.5999999999999</v>
      </c>
      <c r="P973">
        <f t="shared" si="15"/>
        <v>0.52677702044790653</v>
      </c>
    </row>
    <row r="974" spans="1:16" hidden="1" x14ac:dyDescent="0.25">
      <c r="A974">
        <v>0</v>
      </c>
      <c r="B974">
        <v>5000</v>
      </c>
      <c r="C974">
        <f>1.225 * (1 - 0.00000687559 * B974) ^ 4.2561</f>
        <v>1.0555380742846066</v>
      </c>
      <c r="D974">
        <f>E974*(SQRT($C$2/C974))</f>
        <v>258.5486856730941</v>
      </c>
      <c r="E974">
        <v>240</v>
      </c>
      <c r="F974">
        <v>1150</v>
      </c>
      <c r="G974">
        <v>1000</v>
      </c>
      <c r="H974">
        <f>CONVERT(G974,"HP","kW")</f>
        <v>745.69987158227025</v>
      </c>
      <c r="I974">
        <v>0.82699999999999996</v>
      </c>
      <c r="J974">
        <v>1.7513000000000001</v>
      </c>
      <c r="K974">
        <v>0.63839999999999997</v>
      </c>
      <c r="L974">
        <v>0.1027</v>
      </c>
      <c r="M974">
        <v>4.8500000000000001E-2</v>
      </c>
      <c r="N974">
        <f>CONVERT(O974,"lbf","N")</f>
        <v>4636.3813895860185</v>
      </c>
      <c r="O974">
        <v>1042.3</v>
      </c>
      <c r="P974">
        <f t="shared" si="15"/>
        <v>0.47224926971762415</v>
      </c>
    </row>
    <row r="975" spans="1:16" hidden="1" x14ac:dyDescent="0.25">
      <c r="A975">
        <v>0</v>
      </c>
      <c r="B975">
        <v>5000</v>
      </c>
      <c r="C975">
        <f>1.225 * (1 - 0.00000687559 * B975) ^ 4.2561</f>
        <v>1.0555380742846066</v>
      </c>
      <c r="D975">
        <f>E975*(SQRT($C$2/C975))</f>
        <v>129.27434283654705</v>
      </c>
      <c r="E975">
        <v>120</v>
      </c>
      <c r="F975">
        <v>1150</v>
      </c>
      <c r="G975">
        <v>1000</v>
      </c>
      <c r="H975">
        <f>CONVERT(G975,"HP","kW")</f>
        <v>745.69987158227025</v>
      </c>
      <c r="I975">
        <v>0.83189999999999997</v>
      </c>
      <c r="J975">
        <v>0.87570000000000003</v>
      </c>
      <c r="K975">
        <v>0.53700000000000003</v>
      </c>
      <c r="L975">
        <v>0.1028</v>
      </c>
      <c r="M975">
        <v>9.7600000000000006E-2</v>
      </c>
      <c r="N975">
        <f>CONVERT(O975,"lbf","N")</f>
        <v>9327.4759050397424</v>
      </c>
      <c r="O975">
        <v>2096.9</v>
      </c>
      <c r="P975">
        <f t="shared" si="15"/>
        <v>0.94941634241245143</v>
      </c>
    </row>
    <row r="976" spans="1:16" hidden="1" x14ac:dyDescent="0.25">
      <c r="A976">
        <v>0</v>
      </c>
      <c r="B976">
        <v>0</v>
      </c>
      <c r="C976">
        <f>1.225 * (1 - 0.00000687559 * B976) ^ 4.2561</f>
        <v>1.2250000000000001</v>
      </c>
      <c r="D976">
        <f>E976*(SQRT($C$2/C976))</f>
        <v>180</v>
      </c>
      <c r="E976">
        <v>180</v>
      </c>
      <c r="F976">
        <v>987</v>
      </c>
      <c r="G976">
        <v>750</v>
      </c>
      <c r="H976">
        <f>CONVERT(G976,"HP","kW")</f>
        <v>559.27490368670271</v>
      </c>
      <c r="I976">
        <v>0.87070000000000003</v>
      </c>
      <c r="J976">
        <v>1.4206000000000001</v>
      </c>
      <c r="K976">
        <v>0.50139999999999996</v>
      </c>
      <c r="L976">
        <v>0.10489999999999999</v>
      </c>
      <c r="M976">
        <v>6.4299999999999996E-2</v>
      </c>
      <c r="N976">
        <f>CONVERT(O976,"lbf","N")</f>
        <v>5258.6875935609633</v>
      </c>
      <c r="O976">
        <v>1182.2</v>
      </c>
      <c r="P976">
        <f t="shared" si="15"/>
        <v>0.61296472831267879</v>
      </c>
    </row>
    <row r="977" spans="1:16" hidden="1" x14ac:dyDescent="0.25">
      <c r="A977">
        <v>0</v>
      </c>
      <c r="B977">
        <v>0</v>
      </c>
      <c r="C977">
        <f>1.225 * (1 - 0.00000687559 * B977) ^ 4.2561</f>
        <v>1.2250000000000001</v>
      </c>
      <c r="D977">
        <f>E977*(SQRT($C$2/C977))</f>
        <v>200</v>
      </c>
      <c r="E977">
        <v>200</v>
      </c>
      <c r="F977">
        <v>987</v>
      </c>
      <c r="G977">
        <v>750</v>
      </c>
      <c r="H977">
        <f>CONVERT(G977,"HP","kW")</f>
        <v>559.27490368670271</v>
      </c>
      <c r="I977">
        <v>0.86409999999999998</v>
      </c>
      <c r="J977">
        <v>1.5785</v>
      </c>
      <c r="K977">
        <v>0.51839999999999997</v>
      </c>
      <c r="L977">
        <v>0.10489999999999999</v>
      </c>
      <c r="M977">
        <v>5.74E-2</v>
      </c>
      <c r="N977">
        <f>CONVERT(O977,"lbf","N")</f>
        <v>4696.877203553563</v>
      </c>
      <c r="O977">
        <v>1055.9000000000001</v>
      </c>
      <c r="P977">
        <f t="shared" si="15"/>
        <v>0.54718779790276462</v>
      </c>
    </row>
    <row r="978" spans="1:16" hidden="1" x14ac:dyDescent="0.25">
      <c r="A978">
        <v>0</v>
      </c>
      <c r="B978">
        <v>0</v>
      </c>
      <c r="C978">
        <f>1.225 * (1 - 0.00000687559 * B978) ^ 4.2561</f>
        <v>1.2250000000000001</v>
      </c>
      <c r="D978">
        <f>E978*(SQRT($C$2/C978))</f>
        <v>220</v>
      </c>
      <c r="E978">
        <v>220</v>
      </c>
      <c r="F978">
        <v>987</v>
      </c>
      <c r="G978">
        <v>750</v>
      </c>
      <c r="H978">
        <f>CONVERT(G978,"HP","kW")</f>
        <v>559.27490368670271</v>
      </c>
      <c r="I978">
        <v>0.85060000000000002</v>
      </c>
      <c r="J978">
        <v>1.7363</v>
      </c>
      <c r="K978">
        <v>0.53659999999999997</v>
      </c>
      <c r="L978">
        <v>0.10489999999999999</v>
      </c>
      <c r="M978">
        <v>5.1400000000000001E-2</v>
      </c>
      <c r="N978">
        <f>CONVERT(O978,"lbf","N")</f>
        <v>4203.5694264211725</v>
      </c>
      <c r="O978">
        <v>945</v>
      </c>
      <c r="P978">
        <f t="shared" si="15"/>
        <v>0.48999046711153482</v>
      </c>
    </row>
    <row r="979" spans="1:16" hidden="1" x14ac:dyDescent="0.25">
      <c r="A979">
        <v>0</v>
      </c>
      <c r="B979">
        <v>0</v>
      </c>
      <c r="C979">
        <f>1.225 * (1 - 0.00000687559 * B979) ^ 4.2561</f>
        <v>1.2250000000000001</v>
      </c>
      <c r="D979">
        <f>E979*(SQRT($C$2/C979))</f>
        <v>240</v>
      </c>
      <c r="E979">
        <v>240</v>
      </c>
      <c r="F979">
        <v>987</v>
      </c>
      <c r="G979">
        <v>750</v>
      </c>
      <c r="H979">
        <f>CONVERT(G979,"HP","kW")</f>
        <v>559.27490368670271</v>
      </c>
      <c r="I979">
        <v>0.83030000000000004</v>
      </c>
      <c r="J979">
        <v>1.8942000000000001</v>
      </c>
      <c r="K979">
        <v>0.55589999999999995</v>
      </c>
      <c r="L979">
        <v>0.10489999999999999</v>
      </c>
      <c r="M979">
        <v>4.5999999999999999E-2</v>
      </c>
      <c r="N979">
        <f>CONVERT(O979,"lbf","N")</f>
        <v>3760.971375702753</v>
      </c>
      <c r="O979">
        <v>845.5</v>
      </c>
      <c r="P979">
        <f t="shared" si="15"/>
        <v>0.43851286939942807</v>
      </c>
    </row>
    <row r="980" spans="1:16" hidden="1" x14ac:dyDescent="0.25">
      <c r="A980">
        <v>0</v>
      </c>
      <c r="B980">
        <v>0</v>
      </c>
      <c r="C980">
        <f>1.225 * (1 - 0.00000687559 * B980) ^ 4.2561</f>
        <v>1.2250000000000001</v>
      </c>
      <c r="D980">
        <f>E980*(SQRT($C$2/C980))</f>
        <v>0</v>
      </c>
      <c r="E980">
        <v>0</v>
      </c>
      <c r="F980">
        <v>987</v>
      </c>
      <c r="G980">
        <v>750</v>
      </c>
      <c r="H980">
        <f>CONVERT(G980,"HP","kW")</f>
        <v>559.27490368670271</v>
      </c>
      <c r="I980">
        <v>0</v>
      </c>
      <c r="J980">
        <v>0</v>
      </c>
      <c r="K980">
        <v>0.41189999999999999</v>
      </c>
      <c r="L980">
        <v>0.105</v>
      </c>
      <c r="M980">
        <v>0.2177</v>
      </c>
      <c r="N980">
        <f>CONVERT(O980,"lbf","N")</f>
        <v>17789.327883749789</v>
      </c>
      <c r="O980">
        <v>3999.2</v>
      </c>
      <c r="P980">
        <f t="shared" si="15"/>
        <v>2.0733333333333333</v>
      </c>
    </row>
    <row r="981" spans="1:16" hidden="1" x14ac:dyDescent="0.25">
      <c r="A981">
        <v>0</v>
      </c>
      <c r="B981">
        <v>0</v>
      </c>
      <c r="C981">
        <f>1.225 * (1 - 0.00000687559 * B981) ^ 4.2561</f>
        <v>1.2250000000000001</v>
      </c>
      <c r="D981">
        <f>E981*(SQRT($C$2/C981))</f>
        <v>20</v>
      </c>
      <c r="E981">
        <v>20</v>
      </c>
      <c r="F981">
        <v>987</v>
      </c>
      <c r="G981">
        <v>750</v>
      </c>
      <c r="H981">
        <f>CONVERT(G981,"HP","kW")</f>
        <v>559.27490368670271</v>
      </c>
      <c r="I981">
        <v>0.29199999999999998</v>
      </c>
      <c r="J981">
        <v>0.1578</v>
      </c>
      <c r="K981">
        <v>0.41670000000000001</v>
      </c>
      <c r="L981">
        <v>0.105</v>
      </c>
      <c r="M981">
        <v>0.19420000000000001</v>
      </c>
      <c r="N981">
        <f>CONVERT(O981,"lbf","N")</f>
        <v>15872.144367572515</v>
      </c>
      <c r="O981">
        <v>3568.2</v>
      </c>
      <c r="P981">
        <f t="shared" si="15"/>
        <v>1.8495238095238098</v>
      </c>
    </row>
    <row r="982" spans="1:16" hidden="1" x14ac:dyDescent="0.25">
      <c r="A982">
        <v>0</v>
      </c>
      <c r="B982">
        <v>0</v>
      </c>
      <c r="C982">
        <f>1.225 * (1 - 0.00000687559 * B982) ^ 4.2561</f>
        <v>1.2250000000000001</v>
      </c>
      <c r="D982">
        <f>E982*(SQRT($C$2/C982))</f>
        <v>40</v>
      </c>
      <c r="E982">
        <v>40</v>
      </c>
      <c r="F982">
        <v>987</v>
      </c>
      <c r="G982">
        <v>750</v>
      </c>
      <c r="H982">
        <f>CONVERT(G982,"HP","kW")</f>
        <v>559.27490368670271</v>
      </c>
      <c r="I982">
        <v>0.51329999999999998</v>
      </c>
      <c r="J982">
        <v>0.31569999999999998</v>
      </c>
      <c r="K982">
        <v>0.4224</v>
      </c>
      <c r="L982">
        <v>0.105</v>
      </c>
      <c r="M982">
        <v>0.17069999999999999</v>
      </c>
      <c r="N982">
        <f>CONVERT(O982,"lbf","N")</f>
        <v>13952.291918426085</v>
      </c>
      <c r="O982">
        <v>3136.6</v>
      </c>
      <c r="P982">
        <f t="shared" si="15"/>
        <v>1.6257142857142857</v>
      </c>
    </row>
    <row r="983" spans="1:16" hidden="1" x14ac:dyDescent="0.25">
      <c r="A983">
        <v>0</v>
      </c>
      <c r="B983">
        <v>0</v>
      </c>
      <c r="C983">
        <f>1.225 * (1 - 0.00000687559 * B983) ^ 4.2561</f>
        <v>1.2250000000000001</v>
      </c>
      <c r="D983">
        <f>E983*(SQRT($C$2/C983))</f>
        <v>60</v>
      </c>
      <c r="E983">
        <v>60</v>
      </c>
      <c r="F983">
        <v>987</v>
      </c>
      <c r="G983">
        <v>750</v>
      </c>
      <c r="H983">
        <f>CONVERT(G983,"HP","kW")</f>
        <v>559.27490368670271</v>
      </c>
      <c r="I983">
        <v>0.6633</v>
      </c>
      <c r="J983">
        <v>0.47349999999999998</v>
      </c>
      <c r="K983">
        <v>0.42909999999999998</v>
      </c>
      <c r="L983">
        <v>0.105</v>
      </c>
      <c r="M983">
        <v>0.14710000000000001</v>
      </c>
      <c r="N983">
        <f>CONVERT(O983,"lbf","N")</f>
        <v>12018.649982272345</v>
      </c>
      <c r="O983">
        <v>2701.9</v>
      </c>
      <c r="P983">
        <f t="shared" si="15"/>
        <v>1.4009523809523812</v>
      </c>
    </row>
    <row r="984" spans="1:16" hidden="1" x14ac:dyDescent="0.25">
      <c r="A984">
        <v>0</v>
      </c>
      <c r="B984">
        <v>0</v>
      </c>
      <c r="C984">
        <f>1.225 * (1 - 0.00000687559 * B984) ^ 4.2561</f>
        <v>1.2250000000000001</v>
      </c>
      <c r="D984">
        <f>E984*(SQRT($C$2/C984))</f>
        <v>80</v>
      </c>
      <c r="E984">
        <v>80</v>
      </c>
      <c r="F984">
        <v>987</v>
      </c>
      <c r="G984">
        <v>750</v>
      </c>
      <c r="H984">
        <f>CONVERT(G984,"HP","kW")</f>
        <v>559.27490368670271</v>
      </c>
      <c r="I984">
        <v>0.75739999999999996</v>
      </c>
      <c r="J984">
        <v>0.63139999999999996</v>
      </c>
      <c r="K984">
        <v>0.43719999999999998</v>
      </c>
      <c r="L984">
        <v>0.105</v>
      </c>
      <c r="M984">
        <v>0.126</v>
      </c>
      <c r="N984">
        <f>CONVERT(O984,"lbf","N")</f>
        <v>10292.295173389746</v>
      </c>
      <c r="O984">
        <v>2313.8000000000002</v>
      </c>
      <c r="P984">
        <f t="shared" si="15"/>
        <v>1.2</v>
      </c>
    </row>
    <row r="985" spans="1:16" hidden="1" x14ac:dyDescent="0.25">
      <c r="A985">
        <v>0</v>
      </c>
      <c r="B985">
        <v>0</v>
      </c>
      <c r="C985">
        <f>1.225 * (1 - 0.00000687559 * B985) ^ 4.2561</f>
        <v>1.2250000000000001</v>
      </c>
      <c r="D985">
        <f>E985*(SQRT($C$2/C985))</f>
        <v>120</v>
      </c>
      <c r="E985">
        <v>120</v>
      </c>
      <c r="F985">
        <v>987</v>
      </c>
      <c r="G985">
        <v>750</v>
      </c>
      <c r="H985">
        <f>CONVERT(G985,"HP","kW")</f>
        <v>559.27490368670271</v>
      </c>
      <c r="I985">
        <v>0.84650000000000003</v>
      </c>
      <c r="J985">
        <v>0.94710000000000005</v>
      </c>
      <c r="K985">
        <v>0.4582</v>
      </c>
      <c r="L985">
        <v>0.105</v>
      </c>
      <c r="M985">
        <v>9.3899999999999997E-2</v>
      </c>
      <c r="N985">
        <f>CONVERT(O985,"lbf","N")</f>
        <v>7668.7340647091023</v>
      </c>
      <c r="O985">
        <v>1724</v>
      </c>
      <c r="P985">
        <f t="shared" si="15"/>
        <v>0.89428571428571424</v>
      </c>
    </row>
    <row r="986" spans="1:16" hidden="1" x14ac:dyDescent="0.25">
      <c r="A986">
        <v>0</v>
      </c>
      <c r="B986">
        <v>0</v>
      </c>
      <c r="C986">
        <f>1.225 * (1 - 0.00000687559 * B986) ^ 4.2561</f>
        <v>1.2250000000000001</v>
      </c>
      <c r="D986">
        <f>E986*(SQRT($C$2/C986))</f>
        <v>140</v>
      </c>
      <c r="E986">
        <v>140</v>
      </c>
      <c r="F986">
        <v>987</v>
      </c>
      <c r="G986">
        <v>750</v>
      </c>
      <c r="H986">
        <f>CONVERT(G986,"HP","kW")</f>
        <v>559.27490368670271</v>
      </c>
      <c r="I986">
        <v>0.86370000000000002</v>
      </c>
      <c r="J986">
        <v>1.1049</v>
      </c>
      <c r="K986">
        <v>0.47120000000000001</v>
      </c>
      <c r="L986">
        <v>0.105</v>
      </c>
      <c r="M986">
        <v>8.2100000000000006E-2</v>
      </c>
      <c r="N986">
        <f>CONVERT(O986,"lbf","N")</f>
        <v>6707.0285514897823</v>
      </c>
      <c r="O986">
        <v>1507.8</v>
      </c>
      <c r="P986">
        <f t="shared" si="15"/>
        <v>0.78190476190476199</v>
      </c>
    </row>
    <row r="987" spans="1:16" hidden="1" x14ac:dyDescent="0.25">
      <c r="A987">
        <v>0</v>
      </c>
      <c r="B987">
        <v>0</v>
      </c>
      <c r="C987">
        <f>1.225 * (1 - 0.00000687559 * B987) ^ 4.2561</f>
        <v>1.2250000000000001</v>
      </c>
      <c r="D987">
        <f>E987*(SQRT($C$2/C987))</f>
        <v>160</v>
      </c>
      <c r="E987">
        <v>160</v>
      </c>
      <c r="F987">
        <v>987</v>
      </c>
      <c r="G987">
        <v>750</v>
      </c>
      <c r="H987">
        <f>CONVERT(G987,"HP","kW")</f>
        <v>559.27490368670271</v>
      </c>
      <c r="I987">
        <v>0.87090000000000001</v>
      </c>
      <c r="J987">
        <v>1.2627999999999999</v>
      </c>
      <c r="K987">
        <v>0.48559999999999998</v>
      </c>
      <c r="L987">
        <v>0.105</v>
      </c>
      <c r="M987">
        <v>7.2400000000000006E-2</v>
      </c>
      <c r="N987">
        <f>CONVERT(O987,"lbf","N")</f>
        <v>5917.4692147810438</v>
      </c>
      <c r="O987">
        <v>1330.3</v>
      </c>
      <c r="P987">
        <f t="shared" si="15"/>
        <v>0.68952380952380965</v>
      </c>
    </row>
    <row r="988" spans="1:16" hidden="1" x14ac:dyDescent="0.25">
      <c r="A988">
        <v>0</v>
      </c>
      <c r="B988">
        <v>0</v>
      </c>
      <c r="C988">
        <f>1.225 * (1 - 0.00000687559 * B988) ^ 4.2561</f>
        <v>1.2250000000000001</v>
      </c>
      <c r="D988">
        <f>E988*(SQRT($C$2/C988))</f>
        <v>260</v>
      </c>
      <c r="E988">
        <v>260</v>
      </c>
      <c r="F988">
        <v>987</v>
      </c>
      <c r="G988">
        <v>750</v>
      </c>
      <c r="H988">
        <f>CONVERT(G988,"HP","kW")</f>
        <v>559.27490368670271</v>
      </c>
      <c r="I988">
        <v>0.80189999999999995</v>
      </c>
      <c r="J988">
        <v>2.052</v>
      </c>
      <c r="K988">
        <v>0.57609999999999995</v>
      </c>
      <c r="L988">
        <v>0.105</v>
      </c>
      <c r="M988">
        <v>4.1000000000000002E-2</v>
      </c>
      <c r="N988">
        <f>CONVERT(O988,"lbf","N")</f>
        <v>3353.0694535833645</v>
      </c>
      <c r="O988">
        <v>753.8</v>
      </c>
      <c r="P988">
        <f t="shared" si="15"/>
        <v>0.39047619047619053</v>
      </c>
    </row>
    <row r="989" spans="1:16" hidden="1" x14ac:dyDescent="0.25">
      <c r="A989">
        <v>0</v>
      </c>
      <c r="B989">
        <v>0</v>
      </c>
      <c r="C989">
        <f>1.225 * (1 - 0.00000687559 * B989) ^ 4.2561</f>
        <v>1.2250000000000001</v>
      </c>
      <c r="D989">
        <f>E989*(SQRT($C$2/C989))</f>
        <v>100</v>
      </c>
      <c r="E989">
        <v>100</v>
      </c>
      <c r="F989">
        <v>987</v>
      </c>
      <c r="G989">
        <v>750</v>
      </c>
      <c r="H989">
        <f>CONVERT(G989,"HP","kW")</f>
        <v>559.27490368670271</v>
      </c>
      <c r="I989">
        <v>0.81389999999999996</v>
      </c>
      <c r="J989">
        <v>0.78920000000000001</v>
      </c>
      <c r="K989">
        <v>0.44690000000000002</v>
      </c>
      <c r="L989">
        <v>0.1051</v>
      </c>
      <c r="M989">
        <v>0.1084</v>
      </c>
      <c r="N989">
        <f>CONVERT(O989,"lbf","N")</f>
        <v>8848.8472592377129</v>
      </c>
      <c r="O989">
        <v>1989.3</v>
      </c>
      <c r="P989">
        <f t="shared" si="15"/>
        <v>1.0313986679352998</v>
      </c>
    </row>
    <row r="990" spans="1:16" hidden="1" x14ac:dyDescent="0.25">
      <c r="A990">
        <v>0</v>
      </c>
      <c r="B990">
        <v>15000</v>
      </c>
      <c r="C990">
        <f>1.225 * (1 - 0.00000687559 * B990) ^ 4.2561</f>
        <v>0.77079726910167001</v>
      </c>
      <c r="D990">
        <f>E990*(SQRT($C$2/C990))</f>
        <v>226.91879349779754</v>
      </c>
      <c r="E990">
        <v>180</v>
      </c>
      <c r="F990">
        <v>1150</v>
      </c>
      <c r="G990">
        <v>750</v>
      </c>
      <c r="H990">
        <f>CONVERT(G990,"HP","kW")</f>
        <v>559.27490368670271</v>
      </c>
      <c r="I990">
        <v>0.85409999999999997</v>
      </c>
      <c r="J990">
        <v>1.5370999999999999</v>
      </c>
      <c r="K990">
        <v>0.63219999999999998</v>
      </c>
      <c r="L990">
        <v>0.10539999999999999</v>
      </c>
      <c r="M990">
        <v>5.8599999999999999E-2</v>
      </c>
      <c r="N990">
        <f>CONVERT(O990,"lbf","N")</f>
        <v>4091.9190638781338</v>
      </c>
      <c r="O990">
        <v>919.9</v>
      </c>
      <c r="P990">
        <f t="shared" si="15"/>
        <v>0.55597722960151807</v>
      </c>
    </row>
    <row r="991" spans="1:16" hidden="1" x14ac:dyDescent="0.25">
      <c r="A991">
        <v>0</v>
      </c>
      <c r="B991">
        <v>15000</v>
      </c>
      <c r="C991">
        <f>1.225 * (1 - 0.00000687559 * B991) ^ 4.2561</f>
        <v>0.77079726910167001</v>
      </c>
      <c r="D991">
        <f>E991*(SQRT($C$2/C991))</f>
        <v>277.34519205286364</v>
      </c>
      <c r="E991">
        <v>220</v>
      </c>
      <c r="F991">
        <v>1150</v>
      </c>
      <c r="G991">
        <v>750</v>
      </c>
      <c r="H991">
        <f>CONVERT(G991,"HP","kW")</f>
        <v>559.27490368670271</v>
      </c>
      <c r="I991">
        <v>0.79459999999999997</v>
      </c>
      <c r="J991">
        <v>1.8787</v>
      </c>
      <c r="K991">
        <v>0.68149999999999999</v>
      </c>
      <c r="L991">
        <v>0.10539999999999999</v>
      </c>
      <c r="M991">
        <v>4.4600000000000001E-2</v>
      </c>
      <c r="N991">
        <f>CONVERT(O991,"lbf","N")</f>
        <v>3114.6447750054026</v>
      </c>
      <c r="O991">
        <v>700.2</v>
      </c>
      <c r="P991">
        <f t="shared" si="15"/>
        <v>0.42314990512333966</v>
      </c>
    </row>
    <row r="992" spans="1:16" hidden="1" x14ac:dyDescent="0.25">
      <c r="A992">
        <v>0</v>
      </c>
      <c r="B992">
        <v>15000</v>
      </c>
      <c r="C992">
        <f>1.225 * (1 - 0.00000687559 * B992) ^ 4.2561</f>
        <v>0.77079726910167001</v>
      </c>
      <c r="D992">
        <f>E992*(SQRT($C$2/C992))</f>
        <v>0</v>
      </c>
      <c r="E992">
        <v>0</v>
      </c>
      <c r="F992">
        <v>1150</v>
      </c>
      <c r="G992">
        <v>750</v>
      </c>
      <c r="H992">
        <f>CONVERT(G992,"HP","kW")</f>
        <v>559.27490368670271</v>
      </c>
      <c r="I992">
        <v>0</v>
      </c>
      <c r="J992">
        <v>0</v>
      </c>
      <c r="K992">
        <v>0.50660000000000005</v>
      </c>
      <c r="L992">
        <v>0.1055</v>
      </c>
      <c r="M992">
        <v>0.21809999999999999</v>
      </c>
      <c r="N992">
        <f>CONVERT(O992,"lbf","N")</f>
        <v>15225.372944713641</v>
      </c>
      <c r="O992">
        <v>3422.8</v>
      </c>
      <c r="P992">
        <f t="shared" si="15"/>
        <v>2.0672985781990523</v>
      </c>
    </row>
    <row r="993" spans="1:16" hidden="1" x14ac:dyDescent="0.25">
      <c r="A993">
        <v>0</v>
      </c>
      <c r="B993">
        <v>15000</v>
      </c>
      <c r="C993">
        <f>1.225 * (1 - 0.00000687559 * B993) ^ 4.2561</f>
        <v>0.77079726910167001</v>
      </c>
      <c r="D993">
        <f>E993*(SQRT($C$2/C993))</f>
        <v>25.213199277533057</v>
      </c>
      <c r="E993">
        <v>20</v>
      </c>
      <c r="F993">
        <v>1150</v>
      </c>
      <c r="G993">
        <v>750</v>
      </c>
      <c r="H993">
        <f>CONVERT(G993,"HP","kW")</f>
        <v>559.27490368670271</v>
      </c>
      <c r="I993">
        <v>0.31230000000000002</v>
      </c>
      <c r="J993">
        <v>0.17080000000000001</v>
      </c>
      <c r="K993">
        <v>0.51319999999999999</v>
      </c>
      <c r="L993">
        <v>0.1055</v>
      </c>
      <c r="M993">
        <v>0.19289999999999999</v>
      </c>
      <c r="N993">
        <f>CONVERT(O993,"lbf","N")</f>
        <v>13465.211651555059</v>
      </c>
      <c r="O993">
        <v>3027.1</v>
      </c>
      <c r="P993">
        <f t="shared" si="15"/>
        <v>1.8284360189573459</v>
      </c>
    </row>
    <row r="994" spans="1:16" hidden="1" x14ac:dyDescent="0.25">
      <c r="A994">
        <v>0</v>
      </c>
      <c r="B994">
        <v>15000</v>
      </c>
      <c r="C994">
        <f>1.225 * (1 - 0.00000687559 * B994) ^ 4.2561</f>
        <v>0.77079726910167001</v>
      </c>
      <c r="D994">
        <f>E994*(SQRT($C$2/C994))</f>
        <v>50.426398555066115</v>
      </c>
      <c r="E994">
        <v>40</v>
      </c>
      <c r="F994">
        <v>1150</v>
      </c>
      <c r="G994">
        <v>750</v>
      </c>
      <c r="H994">
        <f>CONVERT(G994,"HP","kW")</f>
        <v>559.27490368670271</v>
      </c>
      <c r="I994">
        <v>0.54210000000000003</v>
      </c>
      <c r="J994">
        <v>0.34160000000000001</v>
      </c>
      <c r="K994">
        <v>0.52080000000000004</v>
      </c>
      <c r="L994">
        <v>0.1055</v>
      </c>
      <c r="M994">
        <v>0.16739999999999999</v>
      </c>
      <c r="N994">
        <f>CONVERT(O994,"lbf","N")</f>
        <v>11687.25747193544</v>
      </c>
      <c r="O994">
        <v>2627.4</v>
      </c>
      <c r="P994">
        <f t="shared" si="15"/>
        <v>1.5867298578199052</v>
      </c>
    </row>
    <row r="995" spans="1:16" hidden="1" x14ac:dyDescent="0.25">
      <c r="A995">
        <v>0</v>
      </c>
      <c r="B995">
        <v>15000</v>
      </c>
      <c r="C995">
        <f>1.225 * (1 - 0.00000687559 * B995) ^ 4.2561</f>
        <v>0.77079726910167001</v>
      </c>
      <c r="D995">
        <f>E995*(SQRT($C$2/C995))</f>
        <v>75.639597832599179</v>
      </c>
      <c r="E995">
        <v>60</v>
      </c>
      <c r="F995">
        <v>1150</v>
      </c>
      <c r="G995">
        <v>750</v>
      </c>
      <c r="H995">
        <f>CONVERT(G995,"HP","kW")</f>
        <v>559.27490368670271</v>
      </c>
      <c r="I995">
        <v>0.69010000000000005</v>
      </c>
      <c r="J995">
        <v>0.51239999999999997</v>
      </c>
      <c r="K995">
        <v>0.5302</v>
      </c>
      <c r="L995">
        <v>0.1055</v>
      </c>
      <c r="M995">
        <v>0.1421</v>
      </c>
      <c r="N995">
        <f>CONVERT(O995,"lbf","N")</f>
        <v>9919.0893798693887</v>
      </c>
      <c r="O995">
        <v>2229.9</v>
      </c>
      <c r="P995">
        <f t="shared" si="15"/>
        <v>1.3469194312796209</v>
      </c>
    </row>
    <row r="996" spans="1:16" hidden="1" x14ac:dyDescent="0.25">
      <c r="A996">
        <v>0</v>
      </c>
      <c r="B996">
        <v>15000</v>
      </c>
      <c r="C996">
        <f>1.225 * (1 - 0.00000687559 * B996) ^ 4.2561</f>
        <v>0.77079726910167001</v>
      </c>
      <c r="D996">
        <f>E996*(SQRT($C$2/C996))</f>
        <v>100.85279711013223</v>
      </c>
      <c r="E996">
        <v>80</v>
      </c>
      <c r="F996">
        <v>1150</v>
      </c>
      <c r="G996">
        <v>750</v>
      </c>
      <c r="H996">
        <f>CONVERT(G996,"HP","kW")</f>
        <v>559.27490368670271</v>
      </c>
      <c r="I996">
        <v>0.77800000000000002</v>
      </c>
      <c r="J996">
        <v>0.68310000000000004</v>
      </c>
      <c r="K996">
        <v>0.54159999999999997</v>
      </c>
      <c r="L996">
        <v>0.1055</v>
      </c>
      <c r="M996">
        <v>0.1201</v>
      </c>
      <c r="N996">
        <f>CONVERT(O996,"lbf","N")</f>
        <v>8386.2322112506208</v>
      </c>
      <c r="O996">
        <v>1885.3</v>
      </c>
      <c r="P996">
        <f t="shared" si="15"/>
        <v>1.1383886255924172</v>
      </c>
    </row>
    <row r="997" spans="1:16" hidden="1" x14ac:dyDescent="0.25">
      <c r="A997">
        <v>0</v>
      </c>
      <c r="B997">
        <v>15000</v>
      </c>
      <c r="C997">
        <f>1.225 * (1 - 0.00000687559 * B997) ^ 4.2561</f>
        <v>0.77079726910167001</v>
      </c>
      <c r="D997">
        <f>E997*(SQRT($C$2/C997))</f>
        <v>176.49239494273141</v>
      </c>
      <c r="E997">
        <v>140</v>
      </c>
      <c r="F997">
        <v>1150</v>
      </c>
      <c r="G997">
        <v>750</v>
      </c>
      <c r="H997">
        <f>CONVERT(G997,"HP","kW")</f>
        <v>559.27490368670271</v>
      </c>
      <c r="I997">
        <v>0.8629</v>
      </c>
      <c r="J997">
        <v>1.1955</v>
      </c>
      <c r="K997">
        <v>0.58960000000000001</v>
      </c>
      <c r="L997">
        <v>0.1055</v>
      </c>
      <c r="M997">
        <v>7.6200000000000004E-2</v>
      </c>
      <c r="N997">
        <f>CONVERT(O997,"lbf","N")</f>
        <v>5315.6248302362983</v>
      </c>
      <c r="O997">
        <v>1195</v>
      </c>
      <c r="P997">
        <f t="shared" si="15"/>
        <v>0.7222748815165877</v>
      </c>
    </row>
    <row r="998" spans="1:16" hidden="1" x14ac:dyDescent="0.25">
      <c r="A998">
        <v>0</v>
      </c>
      <c r="B998">
        <v>15000</v>
      </c>
      <c r="C998">
        <f>1.225 * (1 - 0.00000687559 * B998) ^ 4.2561</f>
        <v>0.77079726910167001</v>
      </c>
      <c r="D998">
        <f>E998*(SQRT($C$2/C998))</f>
        <v>201.70559422026446</v>
      </c>
      <c r="E998">
        <v>160</v>
      </c>
      <c r="F998">
        <v>1150</v>
      </c>
      <c r="G998">
        <v>750</v>
      </c>
      <c r="H998">
        <f>CONVERT(G998,"HP","kW")</f>
        <v>559.27490368670271</v>
      </c>
      <c r="I998">
        <v>0.86299999999999999</v>
      </c>
      <c r="J998">
        <v>1.3663000000000001</v>
      </c>
      <c r="K998">
        <v>0.61</v>
      </c>
      <c r="L998">
        <v>0.1055</v>
      </c>
      <c r="M998">
        <v>6.6699999999999995E-2</v>
      </c>
      <c r="N998">
        <f>CONVERT(O998,"lbf","N")</f>
        <v>4651.5053430779053</v>
      </c>
      <c r="O998">
        <v>1045.7</v>
      </c>
      <c r="P998">
        <f t="shared" si="15"/>
        <v>0.63222748815165875</v>
      </c>
    </row>
    <row r="999" spans="1:16" hidden="1" x14ac:dyDescent="0.25">
      <c r="A999" s="4">
        <v>0</v>
      </c>
      <c r="B999" s="4">
        <v>15000</v>
      </c>
      <c r="C999" s="4">
        <f>1.225 * (1 - 0.00000687559 * B999) ^ 4.2561</f>
        <v>0.77079726910167001</v>
      </c>
      <c r="D999" s="4">
        <f>E999*(SQRT($C$2/C999))</f>
        <v>252.13199277533059</v>
      </c>
      <c r="E999" s="4">
        <v>200</v>
      </c>
      <c r="F999" s="4">
        <v>1150</v>
      </c>
      <c r="G999" s="4">
        <v>750</v>
      </c>
      <c r="H999" s="4">
        <f>CONVERT(G999,"HP","kW")</f>
        <v>559.27490368670271</v>
      </c>
      <c r="I999" s="4">
        <v>0.8327</v>
      </c>
      <c r="J999" s="4">
        <v>1.7079</v>
      </c>
      <c r="K999" s="4">
        <v>0.65610000000000002</v>
      </c>
      <c r="L999" s="4">
        <v>0.1055</v>
      </c>
      <c r="M999" s="4">
        <v>5.1400000000000001E-2</v>
      </c>
      <c r="N999">
        <f>CONVERT(O999,"lbf","N")</f>
        <v>3590.6044878382759</v>
      </c>
      <c r="O999" s="4">
        <v>807.2</v>
      </c>
      <c r="P999">
        <f t="shared" si="15"/>
        <v>0.48720379146919435</v>
      </c>
    </row>
    <row r="1000" spans="1:16" hidden="1" x14ac:dyDescent="0.25">
      <c r="A1000">
        <v>0</v>
      </c>
      <c r="B1000">
        <v>15000</v>
      </c>
      <c r="C1000">
        <f>1.225 * (1 - 0.00000687559 * B1000) ^ 4.2561</f>
        <v>0.77079726910167001</v>
      </c>
      <c r="D1000">
        <f>E1000*(SQRT($C$2/C1000))</f>
        <v>302.55839133039672</v>
      </c>
      <c r="E1000">
        <v>240</v>
      </c>
      <c r="F1000">
        <v>1150</v>
      </c>
      <c r="G1000">
        <v>750</v>
      </c>
      <c r="H1000">
        <f>CONVERT(G1000,"HP","kW")</f>
        <v>559.27490368670271</v>
      </c>
      <c r="I1000">
        <v>0.72770000000000001</v>
      </c>
      <c r="J1000">
        <v>2.0493999999999999</v>
      </c>
      <c r="K1000">
        <v>0.70840000000000003</v>
      </c>
      <c r="L1000">
        <v>0.1055</v>
      </c>
      <c r="M1000">
        <v>3.7400000000000003E-2</v>
      </c>
      <c r="N1000">
        <f>CONVERT(O1000,"lbf","N")</f>
        <v>2614.6646654501219</v>
      </c>
      <c r="O1000">
        <v>587.79999999999995</v>
      </c>
      <c r="P1000">
        <f t="shared" si="15"/>
        <v>0.3545023696682465</v>
      </c>
    </row>
    <row r="1001" spans="1:16" hidden="1" x14ac:dyDescent="0.25">
      <c r="A1001">
        <v>0</v>
      </c>
      <c r="B1001">
        <v>15000</v>
      </c>
      <c r="C1001">
        <f>1.225 * (1 - 0.00000687559 * B1001) ^ 4.2561</f>
        <v>0.77079726910167001</v>
      </c>
      <c r="D1001">
        <f>E1001*(SQRT($C$2/C1001))</f>
        <v>327.77159060792974</v>
      </c>
      <c r="E1001">
        <v>260</v>
      </c>
      <c r="F1001">
        <v>1150</v>
      </c>
      <c r="G1001">
        <v>750</v>
      </c>
      <c r="H1001">
        <f>CONVERT(G1001,"HP","kW")</f>
        <v>559.27490368670271</v>
      </c>
      <c r="I1001">
        <v>0.61380000000000001</v>
      </c>
      <c r="J1001">
        <v>2.2202000000000002</v>
      </c>
      <c r="K1001">
        <v>0.73640000000000005</v>
      </c>
      <c r="L1001">
        <v>0.1055</v>
      </c>
      <c r="M1001">
        <v>2.92E-2</v>
      </c>
      <c r="N1001">
        <f>CONVERT(O1001,"lbf","N")</f>
        <v>2035.951033304731</v>
      </c>
      <c r="O1001">
        <v>457.7</v>
      </c>
      <c r="P1001">
        <f t="shared" si="15"/>
        <v>0.27677725118483415</v>
      </c>
    </row>
    <row r="1002" spans="1:16" hidden="1" x14ac:dyDescent="0.25">
      <c r="A1002">
        <v>0</v>
      </c>
      <c r="B1002">
        <v>15000</v>
      </c>
      <c r="C1002">
        <f>1.225 * (1 - 0.00000687559 * B1002) ^ 4.2561</f>
        <v>0.77079726910167001</v>
      </c>
      <c r="D1002">
        <f>E1002*(SQRT($C$2/C1002))</f>
        <v>126.06599638766529</v>
      </c>
      <c r="E1002">
        <v>100</v>
      </c>
      <c r="F1002">
        <v>1150</v>
      </c>
      <c r="G1002">
        <v>750</v>
      </c>
      <c r="H1002">
        <f>CONVERT(G1002,"HP","kW")</f>
        <v>559.27490368670271</v>
      </c>
      <c r="I1002">
        <v>0.82709999999999995</v>
      </c>
      <c r="J1002">
        <v>0.85389999999999999</v>
      </c>
      <c r="K1002">
        <v>0.55530000000000002</v>
      </c>
      <c r="L1002">
        <v>0.1056</v>
      </c>
      <c r="M1002">
        <v>0.1023</v>
      </c>
      <c r="N1002">
        <f>CONVERT(O1002,"lbf","N")</f>
        <v>7132.723360070212</v>
      </c>
      <c r="O1002">
        <v>1603.5</v>
      </c>
      <c r="P1002">
        <f t="shared" si="15"/>
        <v>0.96875</v>
      </c>
    </row>
    <row r="1003" spans="1:16" hidden="1" x14ac:dyDescent="0.25">
      <c r="A1003">
        <v>0</v>
      </c>
      <c r="B1003">
        <v>15000</v>
      </c>
      <c r="C1003">
        <f>1.225 * (1 - 0.00000687559 * B1003) ^ 4.2561</f>
        <v>0.77079726910167001</v>
      </c>
      <c r="D1003">
        <f>E1003*(SQRT($C$2/C1003))</f>
        <v>151.27919566519836</v>
      </c>
      <c r="E1003">
        <v>120</v>
      </c>
      <c r="F1003">
        <v>1150</v>
      </c>
      <c r="G1003">
        <v>750</v>
      </c>
      <c r="H1003">
        <f>CONVERT(G1003,"HP","kW")</f>
        <v>559.27490368670271</v>
      </c>
      <c r="I1003">
        <v>0.85250000000000004</v>
      </c>
      <c r="J1003">
        <v>1.0246999999999999</v>
      </c>
      <c r="K1003">
        <v>0.57140000000000002</v>
      </c>
      <c r="L1003">
        <v>0.1056</v>
      </c>
      <c r="M1003">
        <v>8.7800000000000003E-2</v>
      </c>
      <c r="N1003">
        <f>CONVERT(O1003,"lbf","N")</f>
        <v>6126.5356306982867</v>
      </c>
      <c r="O1003">
        <v>1377.3</v>
      </c>
      <c r="P1003">
        <f t="shared" si="15"/>
        <v>0.83143939393939392</v>
      </c>
    </row>
    <row r="1004" spans="1:16" hidden="1" x14ac:dyDescent="0.25">
      <c r="A1004">
        <v>0</v>
      </c>
      <c r="B1004">
        <v>20000</v>
      </c>
      <c r="C1004">
        <f>1.225 * (1 - 0.00000687559 * B1004) ^ 4.2561</f>
        <v>0.65267221054298263</v>
      </c>
      <c r="D1004">
        <f>E1004*(SQRT($C$2/C1004))</f>
        <v>109.59997888665654</v>
      </c>
      <c r="E1004">
        <v>80</v>
      </c>
      <c r="F1004">
        <v>1215</v>
      </c>
      <c r="G1004">
        <v>750</v>
      </c>
      <c r="H1004">
        <f>CONVERT(G1004,"HP","kW")</f>
        <v>559.27490368670271</v>
      </c>
      <c r="I1004">
        <v>0.7843</v>
      </c>
      <c r="J1004">
        <v>0.70269999999999999</v>
      </c>
      <c r="K1004">
        <v>0.58499999999999996</v>
      </c>
      <c r="L1004">
        <v>0.1056</v>
      </c>
      <c r="M1004">
        <v>0.1179</v>
      </c>
      <c r="N1004">
        <f>CONVERT(O1004,"lbf","N")</f>
        <v>7780.3844272521401</v>
      </c>
      <c r="O1004">
        <v>1749.1</v>
      </c>
      <c r="P1004">
        <f t="shared" si="15"/>
        <v>1.1164772727272727</v>
      </c>
    </row>
    <row r="1005" spans="1:16" hidden="1" x14ac:dyDescent="0.25">
      <c r="A1005">
        <v>0</v>
      </c>
      <c r="B1005">
        <v>20000</v>
      </c>
      <c r="C1005">
        <f>1.225 * (1 - 0.00000687559 * B1005) ^ 4.2561</f>
        <v>0.65267221054298263</v>
      </c>
      <c r="D1005">
        <f>E1005*(SQRT($C$2/C1005))</f>
        <v>164.3999683299848</v>
      </c>
      <c r="E1005">
        <v>120</v>
      </c>
      <c r="F1005">
        <v>1215</v>
      </c>
      <c r="G1005">
        <v>750</v>
      </c>
      <c r="H1005">
        <f>CONVERT(G1005,"HP","kW")</f>
        <v>559.27490368670271</v>
      </c>
      <c r="I1005">
        <v>0.85270000000000001</v>
      </c>
      <c r="J1005">
        <v>1.054</v>
      </c>
      <c r="K1005">
        <v>0.61880000000000002</v>
      </c>
      <c r="L1005">
        <v>0.1056</v>
      </c>
      <c r="M1005">
        <v>8.5400000000000004E-2</v>
      </c>
      <c r="N1005">
        <f>CONVERT(O1005,"lbf","N")</f>
        <v>5639.0105416657361</v>
      </c>
      <c r="O1005">
        <v>1267.7</v>
      </c>
      <c r="P1005">
        <f t="shared" si="15"/>
        <v>0.80871212121212122</v>
      </c>
    </row>
    <row r="1006" spans="1:16" hidden="1" x14ac:dyDescent="0.25">
      <c r="A1006">
        <v>0</v>
      </c>
      <c r="B1006">
        <v>20000</v>
      </c>
      <c r="C1006">
        <f>1.225 * (1 - 0.00000687559 * B1006) ^ 4.2561</f>
        <v>0.65267221054298263</v>
      </c>
      <c r="D1006">
        <f>E1006*(SQRT($C$2/C1006))</f>
        <v>246.59995249497723</v>
      </c>
      <c r="E1006">
        <v>180</v>
      </c>
      <c r="F1006">
        <v>1215</v>
      </c>
      <c r="G1006">
        <v>750</v>
      </c>
      <c r="H1006">
        <f>CONVERT(G1006,"HP","kW")</f>
        <v>559.27490368670271</v>
      </c>
      <c r="I1006">
        <v>0.81950000000000001</v>
      </c>
      <c r="J1006">
        <v>1.581</v>
      </c>
      <c r="K1006">
        <v>0.6875</v>
      </c>
      <c r="L1006">
        <v>0.1056</v>
      </c>
      <c r="M1006">
        <v>5.4800000000000001E-2</v>
      </c>
      <c r="N1006">
        <f>CONVERT(O1006,"lbf","N")</f>
        <v>3612.8455959145786</v>
      </c>
      <c r="O1006">
        <v>812.2</v>
      </c>
      <c r="P1006">
        <f t="shared" si="15"/>
        <v>0.51893939393939392</v>
      </c>
    </row>
    <row r="1007" spans="1:16" hidden="1" x14ac:dyDescent="0.25">
      <c r="A1007">
        <v>0</v>
      </c>
      <c r="B1007">
        <v>20000</v>
      </c>
      <c r="C1007">
        <f>1.225 * (1 - 0.00000687559 * B1007) ^ 4.2561</f>
        <v>0.65267221054298263</v>
      </c>
      <c r="D1007">
        <f>E1007*(SQRT($C$2/C1007))</f>
        <v>273.99994721664137</v>
      </c>
      <c r="E1007">
        <v>200</v>
      </c>
      <c r="F1007">
        <v>1215</v>
      </c>
      <c r="G1007">
        <v>750</v>
      </c>
      <c r="H1007">
        <f>CONVERT(G1007,"HP","kW")</f>
        <v>559.27490368670271</v>
      </c>
      <c r="I1007">
        <v>0.75739999999999996</v>
      </c>
      <c r="J1007">
        <v>1.7566999999999999</v>
      </c>
      <c r="K1007">
        <v>0.71450000000000002</v>
      </c>
      <c r="L1007">
        <v>0.1056</v>
      </c>
      <c r="M1007">
        <v>4.5499999999999999E-2</v>
      </c>
      <c r="N1007">
        <f>CONVERT(O1007,"lbf","N")</f>
        <v>3005.2185232699944</v>
      </c>
      <c r="O1007">
        <v>675.6</v>
      </c>
      <c r="P1007">
        <f t="shared" si="15"/>
        <v>0.4308712121212121</v>
      </c>
    </row>
    <row r="1008" spans="1:16" hidden="1" x14ac:dyDescent="0.25">
      <c r="A1008">
        <v>0</v>
      </c>
      <c r="B1008">
        <v>20000</v>
      </c>
      <c r="C1008">
        <f>1.225 * (1 - 0.00000687559 * B1008) ^ 4.2561</f>
        <v>0.65267221054298263</v>
      </c>
      <c r="D1008">
        <f>E1008*(SQRT($C$2/C1008))</f>
        <v>301.39994193830552</v>
      </c>
      <c r="E1008">
        <v>220</v>
      </c>
      <c r="F1008">
        <v>1215</v>
      </c>
      <c r="G1008">
        <v>750</v>
      </c>
      <c r="H1008">
        <f>CONVERT(G1008,"HP","kW")</f>
        <v>559.27490368670271</v>
      </c>
      <c r="I1008">
        <v>0.67530000000000001</v>
      </c>
      <c r="J1008">
        <v>1.9323999999999999</v>
      </c>
      <c r="K1008">
        <v>0.74319999999999997</v>
      </c>
      <c r="L1008">
        <v>0.1056</v>
      </c>
      <c r="M1008">
        <v>3.6900000000000002E-2</v>
      </c>
      <c r="N1008">
        <f>CONVERT(O1008,"lbf","N")</f>
        <v>2435.8461565166499</v>
      </c>
      <c r="O1008">
        <v>547.6</v>
      </c>
      <c r="P1008">
        <f t="shared" si="15"/>
        <v>0.34943181818181823</v>
      </c>
    </row>
    <row r="1009" spans="1:16" hidden="1" x14ac:dyDescent="0.25">
      <c r="A1009">
        <v>0</v>
      </c>
      <c r="B1009">
        <v>20000</v>
      </c>
      <c r="C1009">
        <f>1.225 * (1 - 0.00000687559 * B1009) ^ 4.2561</f>
        <v>0.65267221054298263</v>
      </c>
      <c r="D1009">
        <f>E1009*(SQRT($C$2/C1009))</f>
        <v>328.7999366599696</v>
      </c>
      <c r="E1009">
        <v>240</v>
      </c>
      <c r="F1009">
        <v>1215</v>
      </c>
      <c r="G1009">
        <v>750</v>
      </c>
      <c r="H1009">
        <f>CONVERT(G1009,"HP","kW")</f>
        <v>559.27490368670271</v>
      </c>
      <c r="I1009">
        <v>0.55000000000000004</v>
      </c>
      <c r="J1009">
        <v>2.1080000000000001</v>
      </c>
      <c r="K1009">
        <v>0.77339999999999998</v>
      </c>
      <c r="L1009">
        <v>0.1056</v>
      </c>
      <c r="M1009">
        <v>2.76E-2</v>
      </c>
      <c r="N1009">
        <f>CONVERT(O1009,"lbf","N")</f>
        <v>1818.4329963184925</v>
      </c>
      <c r="O1009">
        <v>408.8</v>
      </c>
      <c r="P1009">
        <f t="shared" si="15"/>
        <v>0.26136363636363635</v>
      </c>
    </row>
    <row r="1010" spans="1:16" hidden="1" x14ac:dyDescent="0.25">
      <c r="A1010">
        <v>0</v>
      </c>
      <c r="B1010">
        <v>20000</v>
      </c>
      <c r="C1010">
        <f>1.225 * (1 - 0.00000687559 * B1010) ^ 4.2561</f>
        <v>0.65267221054298263</v>
      </c>
      <c r="D1010">
        <f>E1010*(SQRT($C$2/C1010))</f>
        <v>0</v>
      </c>
      <c r="E1010">
        <v>0</v>
      </c>
      <c r="F1010">
        <v>1215</v>
      </c>
      <c r="G1010">
        <v>750</v>
      </c>
      <c r="H1010">
        <f>CONVERT(G1010,"HP","kW")</f>
        <v>559.27490368670271</v>
      </c>
      <c r="I1010">
        <v>0</v>
      </c>
      <c r="J1010">
        <v>0</v>
      </c>
      <c r="K1010">
        <v>0.54569999999999996</v>
      </c>
      <c r="L1010">
        <v>0.1057</v>
      </c>
      <c r="M1010">
        <v>0.2175</v>
      </c>
      <c r="N1010">
        <f>CONVERT(O1010,"lbf","N")</f>
        <v>14349.518108668846</v>
      </c>
      <c r="O1010">
        <v>3225.9</v>
      </c>
      <c r="P1010">
        <f t="shared" si="15"/>
        <v>2.0577105014191108</v>
      </c>
    </row>
    <row r="1011" spans="1:16" hidden="1" x14ac:dyDescent="0.25">
      <c r="A1011">
        <v>0</v>
      </c>
      <c r="B1011">
        <v>20000</v>
      </c>
      <c r="C1011">
        <f>1.225 * (1 - 0.00000687559 * B1011) ^ 4.2561</f>
        <v>0.65267221054298263</v>
      </c>
      <c r="D1011">
        <f>E1011*(SQRT($C$2/C1011))</f>
        <v>27.399994721664136</v>
      </c>
      <c r="E1011">
        <v>20</v>
      </c>
      <c r="F1011">
        <v>1215</v>
      </c>
      <c r="G1011">
        <v>750</v>
      </c>
      <c r="H1011">
        <f>CONVERT(G1011,"HP","kW")</f>
        <v>559.27490368670271</v>
      </c>
      <c r="I1011">
        <v>0.31909999999999999</v>
      </c>
      <c r="J1011">
        <v>0.1757</v>
      </c>
      <c r="K1011">
        <v>0.55300000000000005</v>
      </c>
      <c r="L1011">
        <v>0.1057</v>
      </c>
      <c r="M1011">
        <v>0.19189999999999999</v>
      </c>
      <c r="N1011">
        <f>CONVERT(O1011,"lbf","N")</f>
        <v>12660.528361354434</v>
      </c>
      <c r="O1011">
        <v>2846.2</v>
      </c>
      <c r="P1011">
        <f t="shared" si="15"/>
        <v>1.8155156102175969</v>
      </c>
    </row>
    <row r="1012" spans="1:16" hidden="1" x14ac:dyDescent="0.25">
      <c r="A1012">
        <v>0</v>
      </c>
      <c r="B1012">
        <v>20000</v>
      </c>
      <c r="C1012">
        <f>1.225 * (1 - 0.00000687559 * B1012) ^ 4.2561</f>
        <v>0.65267221054298263</v>
      </c>
      <c r="D1012">
        <f>E1012*(SQRT($C$2/C1012))</f>
        <v>54.799989443328272</v>
      </c>
      <c r="E1012">
        <v>40</v>
      </c>
      <c r="F1012">
        <v>1215</v>
      </c>
      <c r="G1012">
        <v>750</v>
      </c>
      <c r="H1012">
        <f>CONVERT(G1012,"HP","kW")</f>
        <v>559.27490368670271</v>
      </c>
      <c r="I1012">
        <v>0.55159999999999998</v>
      </c>
      <c r="J1012">
        <v>0.3513</v>
      </c>
      <c r="K1012">
        <v>0.56159999999999999</v>
      </c>
      <c r="L1012">
        <v>0.1057</v>
      </c>
      <c r="M1012">
        <v>0.16589999999999999</v>
      </c>
      <c r="N1012">
        <f>CONVERT(O1012,"lbf","N")</f>
        <v>10943.514817863881</v>
      </c>
      <c r="O1012">
        <v>2460.1999999999998</v>
      </c>
      <c r="P1012">
        <f t="shared" si="15"/>
        <v>1.5695364238410594</v>
      </c>
    </row>
    <row r="1013" spans="1:16" hidden="1" x14ac:dyDescent="0.25">
      <c r="A1013">
        <v>0</v>
      </c>
      <c r="B1013">
        <v>20000</v>
      </c>
      <c r="C1013">
        <f>1.225 * (1 - 0.00000687559 * B1013) ^ 4.2561</f>
        <v>0.65267221054298263</v>
      </c>
      <c r="D1013">
        <f>E1013*(SQRT($C$2/C1013))</f>
        <v>82.199984164992401</v>
      </c>
      <c r="E1013">
        <v>60</v>
      </c>
      <c r="F1013">
        <v>1215</v>
      </c>
      <c r="G1013">
        <v>750</v>
      </c>
      <c r="H1013">
        <f>CONVERT(G1013,"HP","kW")</f>
        <v>559.27490368670271</v>
      </c>
      <c r="I1013">
        <v>0.69879999999999998</v>
      </c>
      <c r="J1013">
        <v>0.52700000000000002</v>
      </c>
      <c r="K1013">
        <v>0.57210000000000005</v>
      </c>
      <c r="L1013">
        <v>0.1057</v>
      </c>
      <c r="M1013">
        <v>0.1401</v>
      </c>
      <c r="N1013">
        <f>CONVERT(O1013,"lbf","N")</f>
        <v>9242.9596943497927</v>
      </c>
      <c r="O1013">
        <v>2077.9</v>
      </c>
      <c r="P1013">
        <f t="shared" si="15"/>
        <v>1.3254493850520341</v>
      </c>
    </row>
    <row r="1014" spans="1:16" hidden="1" x14ac:dyDescent="0.25">
      <c r="A1014">
        <v>0</v>
      </c>
      <c r="B1014">
        <v>20000</v>
      </c>
      <c r="C1014">
        <f>1.225 * (1 - 0.00000687559 * B1014) ^ 4.2561</f>
        <v>0.65267221054298263</v>
      </c>
      <c r="D1014">
        <f>E1014*(SQRT($C$2/C1014))</f>
        <v>136.99997360832069</v>
      </c>
      <c r="E1014">
        <v>100</v>
      </c>
      <c r="F1014">
        <v>1215</v>
      </c>
      <c r="G1014">
        <v>750</v>
      </c>
      <c r="H1014">
        <f>CONVERT(G1014,"HP","kW")</f>
        <v>559.27490368670271</v>
      </c>
      <c r="I1014">
        <v>0.83079999999999998</v>
      </c>
      <c r="J1014">
        <v>0.87829999999999997</v>
      </c>
      <c r="K1014">
        <v>0.60060000000000002</v>
      </c>
      <c r="L1014">
        <v>0.1057</v>
      </c>
      <c r="M1014">
        <v>0.1</v>
      </c>
      <c r="N1014">
        <f>CONVERT(O1014,"lbf","N")</f>
        <v>6593.1540781391132</v>
      </c>
      <c r="O1014">
        <v>1482.2</v>
      </c>
      <c r="P1014">
        <f t="shared" si="15"/>
        <v>0.94607379375591294</v>
      </c>
    </row>
    <row r="1015" spans="1:16" hidden="1" x14ac:dyDescent="0.25">
      <c r="A1015">
        <v>0</v>
      </c>
      <c r="B1015">
        <v>20000</v>
      </c>
      <c r="C1015">
        <f>1.225 * (1 - 0.00000687559 * B1015) ^ 4.2561</f>
        <v>0.65267221054298263</v>
      </c>
      <c r="D1015">
        <f>E1015*(SQRT($C$2/C1015))</f>
        <v>191.79996305164894</v>
      </c>
      <c r="E1015">
        <v>140</v>
      </c>
      <c r="F1015">
        <v>1215</v>
      </c>
      <c r="G1015">
        <v>750</v>
      </c>
      <c r="H1015">
        <f>CONVERT(G1015,"HP","kW")</f>
        <v>559.27490368670271</v>
      </c>
      <c r="I1015">
        <v>0.85799999999999998</v>
      </c>
      <c r="J1015">
        <v>1.2297</v>
      </c>
      <c r="K1015">
        <v>0.63939999999999997</v>
      </c>
      <c r="L1015">
        <v>0.1057</v>
      </c>
      <c r="M1015">
        <v>7.3700000000000002E-2</v>
      </c>
      <c r="N1015">
        <f>CONVERT(O1015,"lbf","N")</f>
        <v>4863.6855141258311</v>
      </c>
      <c r="O1015">
        <v>1093.4000000000001</v>
      </c>
      <c r="P1015">
        <f t="shared" si="15"/>
        <v>0.6972563859981078</v>
      </c>
    </row>
    <row r="1016" spans="1:16" hidden="1" x14ac:dyDescent="0.25">
      <c r="A1016">
        <v>0</v>
      </c>
      <c r="B1016">
        <v>20000</v>
      </c>
      <c r="C1016">
        <f>1.225 * (1 - 0.00000687559 * B1016) ^ 4.2561</f>
        <v>0.65267221054298263</v>
      </c>
      <c r="D1016">
        <f>E1016*(SQRT($C$2/C1016))</f>
        <v>219.19995777331309</v>
      </c>
      <c r="E1016">
        <v>160</v>
      </c>
      <c r="F1016">
        <v>1215</v>
      </c>
      <c r="G1016">
        <v>750</v>
      </c>
      <c r="H1016">
        <f>CONVERT(G1016,"HP","kW")</f>
        <v>559.27490368670271</v>
      </c>
      <c r="I1016">
        <v>0.84830000000000005</v>
      </c>
      <c r="J1016">
        <v>1.4054</v>
      </c>
      <c r="K1016">
        <v>0.66239999999999999</v>
      </c>
      <c r="L1016">
        <v>0.1057</v>
      </c>
      <c r="M1016">
        <v>6.3799999999999996E-2</v>
      </c>
      <c r="N1016">
        <f>CONVERT(O1016,"lbf","N")</f>
        <v>4207.5728258749068</v>
      </c>
      <c r="O1016">
        <v>945.9</v>
      </c>
      <c r="P1016">
        <f t="shared" si="15"/>
        <v>0.60359508041627241</v>
      </c>
    </row>
    <row r="1017" spans="1:16" hidden="1" x14ac:dyDescent="0.25">
      <c r="A1017">
        <v>0</v>
      </c>
      <c r="B1017">
        <v>20000</v>
      </c>
      <c r="C1017">
        <f>1.225 * (1 - 0.00000687559 * B1017) ^ 4.2561</f>
        <v>0.65267221054298263</v>
      </c>
      <c r="D1017">
        <f>E1017*(SQRT($C$2/C1017))</f>
        <v>356.19993138163375</v>
      </c>
      <c r="E1017">
        <v>260</v>
      </c>
      <c r="F1017">
        <v>1215</v>
      </c>
      <c r="G1017">
        <v>750</v>
      </c>
      <c r="H1017">
        <f>CONVERT(G1017,"HP","kW")</f>
        <v>559.27490368670271</v>
      </c>
      <c r="I1017">
        <v>0.37</v>
      </c>
      <c r="J1017">
        <v>2.2837000000000001</v>
      </c>
      <c r="K1017">
        <v>0.80489999999999995</v>
      </c>
      <c r="L1017">
        <v>0.1057</v>
      </c>
      <c r="M1017">
        <v>1.7100000000000001E-2</v>
      </c>
      <c r="N1017">
        <f>CONVERT(O1017,"lbf","N")</f>
        <v>1129.4034681146411</v>
      </c>
      <c r="O1017">
        <v>253.9</v>
      </c>
      <c r="P1017">
        <f t="shared" si="15"/>
        <v>0.16177861873226113</v>
      </c>
    </row>
    <row r="1018" spans="1:16" hidden="1" x14ac:dyDescent="0.25">
      <c r="A1018">
        <v>0</v>
      </c>
      <c r="B1018">
        <v>5000</v>
      </c>
      <c r="C1018">
        <f>1.225 * (1 - 0.00000687559 * B1018) ^ 4.2561</f>
        <v>1.0555380742846066</v>
      </c>
      <c r="D1018">
        <f>E1018*(SQRT($C$2/C1018))</f>
        <v>237.00296186700291</v>
      </c>
      <c r="E1018">
        <v>220</v>
      </c>
      <c r="F1018">
        <v>1215</v>
      </c>
      <c r="G1018">
        <v>1250</v>
      </c>
      <c r="H1018">
        <f>CONVERT(G1018,"HP","kW")</f>
        <v>932.12483947783778</v>
      </c>
      <c r="I1018">
        <v>0.85860000000000003</v>
      </c>
      <c r="J1018">
        <v>1.5195000000000001</v>
      </c>
      <c r="K1018">
        <v>0.64129999999999998</v>
      </c>
      <c r="L1018">
        <v>0.10879999999999999</v>
      </c>
      <c r="M1018">
        <v>6.1400000000000003E-2</v>
      </c>
      <c r="N1018">
        <f>CONVERT(O1018,"lbf","N")</f>
        <v>6563.7958154783937</v>
      </c>
      <c r="O1018">
        <v>1475.6</v>
      </c>
      <c r="P1018">
        <f t="shared" si="15"/>
        <v>0.56433823529411775</v>
      </c>
    </row>
    <row r="1019" spans="1:16" hidden="1" x14ac:dyDescent="0.25">
      <c r="A1019">
        <v>0</v>
      </c>
      <c r="B1019">
        <v>5000</v>
      </c>
      <c r="C1019">
        <f>1.225 * (1 - 0.00000687559 * B1019) ^ 4.2561</f>
        <v>1.0555380742846066</v>
      </c>
      <c r="D1019">
        <f>E1019*(SQRT($C$2/C1019))</f>
        <v>0</v>
      </c>
      <c r="E1019">
        <v>0</v>
      </c>
      <c r="F1019">
        <v>1215</v>
      </c>
      <c r="G1019">
        <v>1250</v>
      </c>
      <c r="H1019">
        <f>CONVERT(G1019,"HP","kW")</f>
        <v>932.12483947783778</v>
      </c>
      <c r="I1019">
        <v>0</v>
      </c>
      <c r="J1019">
        <v>0</v>
      </c>
      <c r="K1019">
        <v>0.51549999999999996</v>
      </c>
      <c r="L1019">
        <v>0.1089</v>
      </c>
      <c r="M1019">
        <v>0.2223</v>
      </c>
      <c r="N1019">
        <f>CONVERT(O1019,"lbf","N")</f>
        <v>23717.028008245936</v>
      </c>
      <c r="O1019">
        <v>5331.8</v>
      </c>
      <c r="P1019">
        <f t="shared" si="15"/>
        <v>2.0413223140495869</v>
      </c>
    </row>
    <row r="1020" spans="1:16" hidden="1" x14ac:dyDescent="0.25">
      <c r="A1020">
        <v>0</v>
      </c>
      <c r="B1020">
        <v>5000</v>
      </c>
      <c r="C1020">
        <f>1.225 * (1 - 0.00000687559 * B1020) ^ 4.2561</f>
        <v>1.0555380742846066</v>
      </c>
      <c r="D1020">
        <f>E1020*(SQRT($C$2/C1020))</f>
        <v>21.545723806091175</v>
      </c>
      <c r="E1020">
        <v>20</v>
      </c>
      <c r="F1020">
        <v>1215</v>
      </c>
      <c r="G1020">
        <v>1250</v>
      </c>
      <c r="H1020">
        <f>CONVERT(G1020,"HP","kW")</f>
        <v>932.12483947783778</v>
      </c>
      <c r="I1020">
        <v>0.25629999999999997</v>
      </c>
      <c r="J1020">
        <v>0.1381</v>
      </c>
      <c r="K1020">
        <v>0.52090000000000003</v>
      </c>
      <c r="L1020">
        <v>0.1089</v>
      </c>
      <c r="M1020">
        <v>0.20200000000000001</v>
      </c>
      <c r="N1020">
        <f>CONVERT(O1020,"lbf","N")</f>
        <v>21552.523370260176</v>
      </c>
      <c r="O1020">
        <v>4845.2</v>
      </c>
      <c r="P1020">
        <f t="shared" si="15"/>
        <v>1.8549127640036733</v>
      </c>
    </row>
    <row r="1021" spans="1:16" hidden="1" x14ac:dyDescent="0.25">
      <c r="A1021">
        <v>0</v>
      </c>
      <c r="B1021">
        <v>5000</v>
      </c>
      <c r="C1021">
        <f>1.225 * (1 - 0.00000687559 * B1021) ^ 4.2561</f>
        <v>1.0555380742846066</v>
      </c>
      <c r="D1021">
        <f>E1021*(SQRT($C$2/C1021))</f>
        <v>43.09144761218235</v>
      </c>
      <c r="E1021">
        <v>40</v>
      </c>
      <c r="F1021">
        <v>1215</v>
      </c>
      <c r="G1021">
        <v>1250</v>
      </c>
      <c r="H1021">
        <f>CONVERT(G1021,"HP","kW")</f>
        <v>932.12483947783778</v>
      </c>
      <c r="I1021">
        <v>0.46039999999999998</v>
      </c>
      <c r="J1021">
        <v>0.27629999999999999</v>
      </c>
      <c r="K1021">
        <v>0.52700000000000002</v>
      </c>
      <c r="L1021">
        <v>0.1089</v>
      </c>
      <c r="M1021">
        <v>0.18140000000000001</v>
      </c>
      <c r="N1021">
        <f>CONVERT(O1021,"lbf","N")</f>
        <v>19357.770825290645</v>
      </c>
      <c r="O1021">
        <v>4351.8</v>
      </c>
      <c r="P1021">
        <f t="shared" si="15"/>
        <v>1.6657483930211203</v>
      </c>
    </row>
    <row r="1022" spans="1:16" hidden="1" x14ac:dyDescent="0.25">
      <c r="A1022">
        <v>0</v>
      </c>
      <c r="B1022">
        <v>5000</v>
      </c>
      <c r="C1022">
        <f>1.225 * (1 - 0.00000687559 * B1022) ^ 4.2561</f>
        <v>1.0555380742846066</v>
      </c>
      <c r="D1022">
        <f>E1022*(SQRT($C$2/C1022))</f>
        <v>64.637171418273525</v>
      </c>
      <c r="E1022">
        <v>60</v>
      </c>
      <c r="F1022">
        <v>1215</v>
      </c>
      <c r="G1022">
        <v>1250</v>
      </c>
      <c r="H1022">
        <f>CONVERT(G1022,"HP","kW")</f>
        <v>932.12483947783778</v>
      </c>
      <c r="I1022">
        <v>0.61070000000000002</v>
      </c>
      <c r="J1022">
        <v>0.41439999999999999</v>
      </c>
      <c r="K1022">
        <v>0.53400000000000003</v>
      </c>
      <c r="L1022">
        <v>0.1089</v>
      </c>
      <c r="M1022">
        <v>0.16039999999999999</v>
      </c>
      <c r="N1022">
        <f>CONVERT(O1022,"lbf","N")</f>
        <v>17118.980886330035</v>
      </c>
      <c r="O1022">
        <v>3848.5</v>
      </c>
      <c r="P1022">
        <f t="shared" si="15"/>
        <v>1.4729109274563819</v>
      </c>
    </row>
    <row r="1023" spans="1:16" hidden="1" x14ac:dyDescent="0.25">
      <c r="A1023">
        <v>0</v>
      </c>
      <c r="B1023">
        <v>5000</v>
      </c>
      <c r="C1023">
        <f>1.225 * (1 - 0.00000687559 * B1023) ^ 4.2561</f>
        <v>1.0555380742846066</v>
      </c>
      <c r="D1023">
        <f>E1023*(SQRT($C$2/C1023))</f>
        <v>86.1828952243647</v>
      </c>
      <c r="E1023">
        <v>80</v>
      </c>
      <c r="F1023">
        <v>1215</v>
      </c>
      <c r="G1023">
        <v>1250</v>
      </c>
      <c r="H1023">
        <f>CONVERT(G1023,"HP","kW")</f>
        <v>932.12483947783778</v>
      </c>
      <c r="I1023">
        <v>0.71250000000000002</v>
      </c>
      <c r="J1023">
        <v>0.55259999999999998</v>
      </c>
      <c r="K1023">
        <v>0.5423</v>
      </c>
      <c r="L1023">
        <v>0.1089</v>
      </c>
      <c r="M1023">
        <v>0.1404</v>
      </c>
      <c r="N1023">
        <f>CONVERT(O1023,"lbf","N")</f>
        <v>14980.720755874312</v>
      </c>
      <c r="O1023">
        <v>3367.8</v>
      </c>
      <c r="P1023">
        <f t="shared" si="15"/>
        <v>1.2892561983471074</v>
      </c>
    </row>
    <row r="1024" spans="1:16" hidden="1" x14ac:dyDescent="0.25">
      <c r="A1024">
        <v>0</v>
      </c>
      <c r="B1024">
        <v>5000</v>
      </c>
      <c r="C1024">
        <f>1.225 * (1 - 0.00000687559 * B1024) ^ 4.2561</f>
        <v>1.0555380742846066</v>
      </c>
      <c r="D1024">
        <f>E1024*(SQRT($C$2/C1024))</f>
        <v>107.72861903045587</v>
      </c>
      <c r="E1024">
        <v>100</v>
      </c>
      <c r="F1024">
        <v>1215</v>
      </c>
      <c r="G1024">
        <v>1250</v>
      </c>
      <c r="H1024">
        <f>CONVERT(G1024,"HP","kW")</f>
        <v>932.12483947783778</v>
      </c>
      <c r="I1024">
        <v>0.7792</v>
      </c>
      <c r="J1024">
        <v>0.69069999999999998</v>
      </c>
      <c r="K1024">
        <v>0.55200000000000005</v>
      </c>
      <c r="L1024">
        <v>0.1089</v>
      </c>
      <c r="M1024">
        <v>0.12280000000000001</v>
      </c>
      <c r="N1024">
        <f>CONVERT(O1024,"lbf","N")</f>
        <v>13105.795345042012</v>
      </c>
      <c r="O1024">
        <v>2946.3</v>
      </c>
      <c r="P1024">
        <f t="shared" si="15"/>
        <v>1.1276400367309458</v>
      </c>
    </row>
    <row r="1025" spans="1:16" hidden="1" x14ac:dyDescent="0.25">
      <c r="A1025">
        <v>0</v>
      </c>
      <c r="B1025">
        <v>5000</v>
      </c>
      <c r="C1025">
        <f>1.225 * (1 - 0.00000687559 * B1025) ^ 4.2561</f>
        <v>1.0555380742846066</v>
      </c>
      <c r="D1025">
        <f>E1025*(SQRT($C$2/C1025))</f>
        <v>150.82006664263821</v>
      </c>
      <c r="E1025">
        <v>140</v>
      </c>
      <c r="F1025">
        <v>1215</v>
      </c>
      <c r="G1025">
        <v>1250</v>
      </c>
      <c r="H1025">
        <f>CONVERT(G1025,"HP","kW")</f>
        <v>932.12483947783778</v>
      </c>
      <c r="I1025">
        <v>0.84640000000000004</v>
      </c>
      <c r="J1025">
        <v>0.96699999999999997</v>
      </c>
      <c r="K1025">
        <v>0.57589999999999997</v>
      </c>
      <c r="L1025">
        <v>0.1089</v>
      </c>
      <c r="M1025">
        <v>9.5299999999999996E-2</v>
      </c>
      <c r="N1025">
        <f>CONVERT(O1025,"lbf","N")</f>
        <v>10168.189790323977</v>
      </c>
      <c r="O1025">
        <v>2285.9</v>
      </c>
      <c r="P1025">
        <f t="shared" si="15"/>
        <v>0.87511478420569333</v>
      </c>
    </row>
    <row r="1026" spans="1:16" hidden="1" x14ac:dyDescent="0.25">
      <c r="A1026">
        <v>0</v>
      </c>
      <c r="B1026">
        <v>5000</v>
      </c>
      <c r="C1026">
        <f>1.225 * (1 - 0.00000687559 * B1026) ^ 4.2561</f>
        <v>1.0555380742846066</v>
      </c>
      <c r="D1026">
        <f>E1026*(SQRT($C$2/C1026))</f>
        <v>172.3657904487294</v>
      </c>
      <c r="E1026">
        <v>160</v>
      </c>
      <c r="F1026">
        <v>1215</v>
      </c>
      <c r="G1026">
        <v>1250</v>
      </c>
      <c r="H1026">
        <f>CONVERT(G1026,"HP","kW")</f>
        <v>932.12483947783778</v>
      </c>
      <c r="I1026">
        <v>0.86019999999999996</v>
      </c>
      <c r="J1026">
        <v>1.1051</v>
      </c>
      <c r="K1026">
        <v>0.59019999999999995</v>
      </c>
      <c r="L1026">
        <v>0.1089</v>
      </c>
      <c r="M1026">
        <v>8.4699999999999998E-2</v>
      </c>
      <c r="N1026">
        <f>CONVERT(O1026,"lbf","N")</f>
        <v>9041.9000773400185</v>
      </c>
      <c r="O1026">
        <v>2032.7</v>
      </c>
      <c r="P1026">
        <f t="shared" si="15"/>
        <v>0.77777777777777779</v>
      </c>
    </row>
    <row r="1027" spans="1:16" hidden="1" x14ac:dyDescent="0.25">
      <c r="A1027">
        <v>0</v>
      </c>
      <c r="B1027">
        <v>5000</v>
      </c>
      <c r="C1027">
        <f>1.225 * (1 - 0.00000687559 * B1027) ^ 4.2561</f>
        <v>1.0555380742846066</v>
      </c>
      <c r="D1027">
        <f>E1027*(SQRT($C$2/C1027))</f>
        <v>193.91151425482059</v>
      </c>
      <c r="E1027">
        <v>180</v>
      </c>
      <c r="F1027">
        <v>1215</v>
      </c>
      <c r="G1027">
        <v>1250</v>
      </c>
      <c r="H1027">
        <f>CONVERT(G1027,"HP","kW")</f>
        <v>932.12483947783778</v>
      </c>
      <c r="I1027">
        <v>0.86599999999999999</v>
      </c>
      <c r="J1027">
        <v>1.2432000000000001</v>
      </c>
      <c r="K1027">
        <v>0.60589999999999999</v>
      </c>
      <c r="L1027">
        <v>0.1089</v>
      </c>
      <c r="M1027">
        <v>7.5899999999999995E-2</v>
      </c>
      <c r="N1027">
        <f>CONVERT(O1027,"lbf","N")</f>
        <v>8091.7599403203749</v>
      </c>
      <c r="O1027">
        <v>1819.1</v>
      </c>
      <c r="P1027">
        <f t="shared" ref="P1027:P1090" si="16">M1027/L1027</f>
        <v>0.69696969696969691</v>
      </c>
    </row>
    <row r="1028" spans="1:16" hidden="1" x14ac:dyDescent="0.25">
      <c r="A1028">
        <v>0</v>
      </c>
      <c r="B1028">
        <v>5000</v>
      </c>
      <c r="C1028">
        <f>1.225 * (1 - 0.00000687559 * B1028) ^ 4.2561</f>
        <v>1.0555380742846066</v>
      </c>
      <c r="D1028">
        <f>E1028*(SQRT($C$2/C1028))</f>
        <v>215.45723806091175</v>
      </c>
      <c r="E1028">
        <v>200</v>
      </c>
      <c r="F1028">
        <v>1215</v>
      </c>
      <c r="G1028">
        <v>1250</v>
      </c>
      <c r="H1028">
        <f>CONVERT(G1028,"HP","kW")</f>
        <v>932.12483947783778</v>
      </c>
      <c r="I1028">
        <v>0.86550000000000005</v>
      </c>
      <c r="J1028">
        <v>1.3814</v>
      </c>
      <c r="K1028">
        <v>0.623</v>
      </c>
      <c r="L1028">
        <v>0.1089</v>
      </c>
      <c r="M1028">
        <v>6.8199999999999997E-2</v>
      </c>
      <c r="N1028">
        <f>CONVERT(O1028,"lbf","N")</f>
        <v>7278.6250290507569</v>
      </c>
      <c r="O1028">
        <v>1636.3</v>
      </c>
      <c r="P1028">
        <f t="shared" si="16"/>
        <v>0.6262626262626263</v>
      </c>
    </row>
    <row r="1029" spans="1:16" hidden="1" x14ac:dyDescent="0.25">
      <c r="A1029">
        <v>0</v>
      </c>
      <c r="B1029">
        <v>5000</v>
      </c>
      <c r="C1029">
        <f>1.225 * (1 - 0.00000687559 * B1029) ^ 4.2561</f>
        <v>1.0555380742846066</v>
      </c>
      <c r="D1029">
        <f>E1029*(SQRT($C$2/C1029))</f>
        <v>258.5486856730941</v>
      </c>
      <c r="E1029">
        <v>240</v>
      </c>
      <c r="F1029">
        <v>1215</v>
      </c>
      <c r="G1029">
        <v>1250</v>
      </c>
      <c r="H1029">
        <f>CONVERT(G1029,"HP","kW")</f>
        <v>932.12483947783778</v>
      </c>
      <c r="I1029">
        <v>0.84230000000000005</v>
      </c>
      <c r="J1029">
        <v>1.6577</v>
      </c>
      <c r="K1029">
        <v>0.66069999999999995</v>
      </c>
      <c r="L1029">
        <v>0.1089</v>
      </c>
      <c r="M1029">
        <v>5.5300000000000002E-2</v>
      </c>
      <c r="N1029">
        <f>CONVERT(O1029,"lbf","N")</f>
        <v>5902.7900834506836</v>
      </c>
      <c r="O1029">
        <v>1327</v>
      </c>
      <c r="P1029">
        <f t="shared" si="16"/>
        <v>0.50780532598714423</v>
      </c>
    </row>
    <row r="1030" spans="1:16" hidden="1" x14ac:dyDescent="0.25">
      <c r="A1030">
        <v>0</v>
      </c>
      <c r="B1030">
        <v>5000</v>
      </c>
      <c r="C1030">
        <f>1.225 * (1 - 0.00000687559 * B1030) ^ 4.2561</f>
        <v>1.0555380742846066</v>
      </c>
      <c r="D1030">
        <f>E1030*(SQRT($C$2/C1030))</f>
        <v>280.09440947918529</v>
      </c>
      <c r="E1030">
        <v>260</v>
      </c>
      <c r="F1030">
        <v>1215</v>
      </c>
      <c r="G1030">
        <v>1250</v>
      </c>
      <c r="H1030">
        <f>CONVERT(G1030,"HP","kW")</f>
        <v>932.12483947783778</v>
      </c>
      <c r="I1030">
        <v>0.81530000000000002</v>
      </c>
      <c r="J1030">
        <v>1.7958000000000001</v>
      </c>
      <c r="K1030">
        <v>0.68120000000000003</v>
      </c>
      <c r="L1030">
        <v>0.1089</v>
      </c>
      <c r="M1030">
        <v>4.9399999999999999E-2</v>
      </c>
      <c r="N1030">
        <f>CONVERT(O1030,"lbf","N")</f>
        <v>5274.2563692143749</v>
      </c>
      <c r="O1030">
        <v>1185.7</v>
      </c>
      <c r="P1030">
        <f t="shared" si="16"/>
        <v>0.45362718089990817</v>
      </c>
    </row>
    <row r="1031" spans="1:16" hidden="1" x14ac:dyDescent="0.25">
      <c r="A1031">
        <v>0</v>
      </c>
      <c r="B1031">
        <v>5000</v>
      </c>
      <c r="C1031">
        <f>1.225 * (1 - 0.00000687559 * B1031) ^ 4.2561</f>
        <v>1.0555380742846066</v>
      </c>
      <c r="D1031">
        <f>E1031*(SQRT($C$2/C1031))</f>
        <v>129.27434283654705</v>
      </c>
      <c r="E1031">
        <v>120</v>
      </c>
      <c r="F1031">
        <v>1215</v>
      </c>
      <c r="G1031">
        <v>1250</v>
      </c>
      <c r="H1031">
        <f>CONVERT(G1031,"HP","kW")</f>
        <v>932.12483947783778</v>
      </c>
      <c r="I1031">
        <v>0.82110000000000005</v>
      </c>
      <c r="J1031">
        <v>0.82879999999999998</v>
      </c>
      <c r="K1031">
        <v>0.56320000000000003</v>
      </c>
      <c r="L1031">
        <v>0.109</v>
      </c>
      <c r="M1031">
        <v>0.108</v>
      </c>
      <c r="N1031">
        <f>CONVERT(O1031,"lbf","N")</f>
        <v>11508.438963001963</v>
      </c>
      <c r="O1031">
        <v>2587.1999999999998</v>
      </c>
      <c r="P1031">
        <f t="shared" si="16"/>
        <v>0.99082568807339444</v>
      </c>
    </row>
    <row r="1032" spans="1:16" hidden="1" x14ac:dyDescent="0.25">
      <c r="A1032">
        <v>0</v>
      </c>
      <c r="B1032">
        <v>0</v>
      </c>
      <c r="C1032">
        <f>1.225 * (1 - 0.00000687559 * B1032) ^ 4.2561</f>
        <v>1.2250000000000001</v>
      </c>
      <c r="D1032">
        <f>E1032*(SQRT($C$2/C1032))</f>
        <v>0</v>
      </c>
      <c r="E1032">
        <v>0</v>
      </c>
      <c r="F1032">
        <v>1150</v>
      </c>
      <c r="G1032">
        <v>1250</v>
      </c>
      <c r="H1032">
        <f>CONVERT(G1032,"HP","kW")</f>
        <v>932.12483947783778</v>
      </c>
      <c r="I1032">
        <v>0</v>
      </c>
      <c r="J1032">
        <v>0</v>
      </c>
      <c r="K1032">
        <v>0.47939999999999999</v>
      </c>
      <c r="L1032">
        <v>0.1106</v>
      </c>
      <c r="M1032">
        <v>0.22500000000000001</v>
      </c>
      <c r="N1032">
        <f>CONVERT(O1032,"lbf","N")</f>
        <v>24957.192194580566</v>
      </c>
      <c r="O1032">
        <v>5610.6</v>
      </c>
      <c r="P1032">
        <f t="shared" si="16"/>
        <v>2.034358047016275</v>
      </c>
    </row>
    <row r="1033" spans="1:16" hidden="1" x14ac:dyDescent="0.25">
      <c r="A1033">
        <v>0</v>
      </c>
      <c r="B1033">
        <v>0</v>
      </c>
      <c r="C1033">
        <f>1.225 * (1 - 0.00000687559 * B1033) ^ 4.2561</f>
        <v>1.2250000000000001</v>
      </c>
      <c r="D1033">
        <f>E1033*(SQRT($C$2/C1033))</f>
        <v>20</v>
      </c>
      <c r="E1033">
        <v>20</v>
      </c>
      <c r="F1033">
        <v>1150</v>
      </c>
      <c r="G1033">
        <v>1250</v>
      </c>
      <c r="H1033">
        <f>CONVERT(G1033,"HP","kW")</f>
        <v>932.12483947783778</v>
      </c>
      <c r="I1033">
        <v>0.251</v>
      </c>
      <c r="J1033">
        <v>0.13550000000000001</v>
      </c>
      <c r="K1033">
        <v>0.48430000000000001</v>
      </c>
      <c r="L1033">
        <v>0.1106</v>
      </c>
      <c r="M1033">
        <v>0.20499999999999999</v>
      </c>
      <c r="N1033">
        <f>CONVERT(O1033,"lbf","N")</f>
        <v>22737.529608565575</v>
      </c>
      <c r="O1033">
        <v>5111.6000000000004</v>
      </c>
      <c r="P1033">
        <f t="shared" si="16"/>
        <v>1.853526220614828</v>
      </c>
    </row>
    <row r="1034" spans="1:16" hidden="1" x14ac:dyDescent="0.25">
      <c r="A1034">
        <v>0</v>
      </c>
      <c r="B1034">
        <v>0</v>
      </c>
      <c r="C1034">
        <f>1.225 * (1 - 0.00000687559 * B1034) ^ 4.2561</f>
        <v>1.2250000000000001</v>
      </c>
      <c r="D1034">
        <f>E1034*(SQRT($C$2/C1034))</f>
        <v>60</v>
      </c>
      <c r="E1034">
        <v>60</v>
      </c>
      <c r="F1034">
        <v>1150</v>
      </c>
      <c r="G1034">
        <v>1250</v>
      </c>
      <c r="H1034">
        <f>CONVERT(G1034,"HP","kW")</f>
        <v>932.12483947783778</v>
      </c>
      <c r="I1034">
        <v>0.60209999999999997</v>
      </c>
      <c r="J1034">
        <v>0.40639999999999998</v>
      </c>
      <c r="K1034">
        <v>0.49619999999999997</v>
      </c>
      <c r="L1034">
        <v>0.1106</v>
      </c>
      <c r="M1034">
        <v>0.16389999999999999</v>
      </c>
      <c r="N1034">
        <f>CONVERT(O1034,"lbf","N")</f>
        <v>18183.440318861874</v>
      </c>
      <c r="O1034">
        <v>4087.8</v>
      </c>
      <c r="P1034">
        <f t="shared" si="16"/>
        <v>1.4819168173598551</v>
      </c>
    </row>
    <row r="1035" spans="1:16" hidden="1" x14ac:dyDescent="0.25">
      <c r="A1035">
        <v>0</v>
      </c>
      <c r="B1035">
        <v>0</v>
      </c>
      <c r="C1035">
        <f>1.225 * (1 - 0.00000687559 * B1035) ^ 4.2561</f>
        <v>1.2250000000000001</v>
      </c>
      <c r="D1035">
        <f>E1035*(SQRT($C$2/C1035))</f>
        <v>80</v>
      </c>
      <c r="E1035">
        <v>80</v>
      </c>
      <c r="F1035">
        <v>1150</v>
      </c>
      <c r="G1035">
        <v>1250</v>
      </c>
      <c r="H1035">
        <f>CONVERT(G1035,"HP","kW")</f>
        <v>932.12483947783778</v>
      </c>
      <c r="I1035">
        <v>0.70509999999999995</v>
      </c>
      <c r="J1035">
        <v>0.54190000000000005</v>
      </c>
      <c r="K1035">
        <v>0.50370000000000004</v>
      </c>
      <c r="L1035">
        <v>0.1106</v>
      </c>
      <c r="M1035">
        <v>0.14399999999999999</v>
      </c>
      <c r="N1035">
        <f>CONVERT(O1035,"lbf","N")</f>
        <v>15970.450065269775</v>
      </c>
      <c r="O1035">
        <v>3590.3</v>
      </c>
      <c r="P1035">
        <f t="shared" si="16"/>
        <v>1.3019891500904157</v>
      </c>
    </row>
    <row r="1036" spans="1:16" hidden="1" x14ac:dyDescent="0.25">
      <c r="A1036">
        <v>0</v>
      </c>
      <c r="B1036">
        <v>0</v>
      </c>
      <c r="C1036">
        <f>1.225 * (1 - 0.00000687559 * B1036) ^ 4.2561</f>
        <v>1.2250000000000001</v>
      </c>
      <c r="D1036">
        <f>E1036*(SQRT($C$2/C1036))</f>
        <v>100</v>
      </c>
      <c r="E1036">
        <v>100</v>
      </c>
      <c r="F1036">
        <v>1150</v>
      </c>
      <c r="G1036">
        <v>1250</v>
      </c>
      <c r="H1036">
        <f>CONVERT(G1036,"HP","kW")</f>
        <v>932.12483947783778</v>
      </c>
      <c r="I1036">
        <v>0.77370000000000005</v>
      </c>
      <c r="J1036">
        <v>0.6774</v>
      </c>
      <c r="K1036">
        <v>0.51239999999999997</v>
      </c>
      <c r="L1036">
        <v>0.1106</v>
      </c>
      <c r="M1036">
        <v>0.12640000000000001</v>
      </c>
      <c r="N1036">
        <f>CONVERT(O1036,"lbf","N")</f>
        <v>14018.570420493466</v>
      </c>
      <c r="O1036">
        <v>3151.5</v>
      </c>
      <c r="P1036">
        <f t="shared" si="16"/>
        <v>1.142857142857143</v>
      </c>
    </row>
    <row r="1037" spans="1:16" hidden="1" x14ac:dyDescent="0.25">
      <c r="A1037">
        <v>0</v>
      </c>
      <c r="B1037">
        <v>0</v>
      </c>
      <c r="C1037">
        <f>1.225 * (1 - 0.00000687559 * B1037) ^ 4.2561</f>
        <v>1.2250000000000001</v>
      </c>
      <c r="D1037">
        <f>E1037*(SQRT($C$2/C1037))</f>
        <v>140</v>
      </c>
      <c r="E1037">
        <v>140</v>
      </c>
      <c r="F1037">
        <v>1150</v>
      </c>
      <c r="G1037">
        <v>1250</v>
      </c>
      <c r="H1037">
        <f>CONVERT(G1037,"HP","kW")</f>
        <v>932.12483947783778</v>
      </c>
      <c r="I1037">
        <v>0.84489999999999998</v>
      </c>
      <c r="J1037">
        <v>0.94830000000000003</v>
      </c>
      <c r="K1037">
        <v>0.53400000000000003</v>
      </c>
      <c r="L1037">
        <v>0.1106</v>
      </c>
      <c r="M1037">
        <v>9.8599999999999993E-2</v>
      </c>
      <c r="N1037">
        <f>CONVERT(O1037,"lbf","N")</f>
        <v>10935.063196794888</v>
      </c>
      <c r="O1037">
        <v>2458.3000000000002</v>
      </c>
      <c r="P1037">
        <f t="shared" si="16"/>
        <v>0.89150090415913197</v>
      </c>
    </row>
    <row r="1038" spans="1:16" hidden="1" x14ac:dyDescent="0.25">
      <c r="A1038">
        <v>0</v>
      </c>
      <c r="B1038">
        <v>0</v>
      </c>
      <c r="C1038">
        <f>1.225 * (1 - 0.00000687559 * B1038) ^ 4.2561</f>
        <v>1.2250000000000001</v>
      </c>
      <c r="D1038">
        <f>E1038*(SQRT($C$2/C1038))</f>
        <v>160</v>
      </c>
      <c r="E1038">
        <v>160</v>
      </c>
      <c r="F1038">
        <v>1150</v>
      </c>
      <c r="G1038">
        <v>1250</v>
      </c>
      <c r="H1038">
        <f>CONVERT(G1038,"HP","kW")</f>
        <v>932.12483947783778</v>
      </c>
      <c r="I1038">
        <v>0.86080000000000001</v>
      </c>
      <c r="J1038">
        <v>1.0838000000000001</v>
      </c>
      <c r="K1038">
        <v>0.54679999999999995</v>
      </c>
      <c r="L1038">
        <v>0.1106</v>
      </c>
      <c r="M1038">
        <v>8.7900000000000006E-2</v>
      </c>
      <c r="N1038">
        <f>CONVERT(O1038,"lbf","N")</f>
        <v>9747.3880255203348</v>
      </c>
      <c r="O1038">
        <v>2191.3000000000002</v>
      </c>
      <c r="P1038">
        <f t="shared" si="16"/>
        <v>0.79475587703435813</v>
      </c>
    </row>
    <row r="1039" spans="1:16" hidden="1" x14ac:dyDescent="0.25">
      <c r="A1039">
        <v>0</v>
      </c>
      <c r="B1039">
        <v>0</v>
      </c>
      <c r="C1039">
        <f>1.225 * (1 - 0.00000687559 * B1039) ^ 4.2561</f>
        <v>1.2250000000000001</v>
      </c>
      <c r="D1039">
        <f>E1039*(SQRT($C$2/C1039))</f>
        <v>220</v>
      </c>
      <c r="E1039">
        <v>220</v>
      </c>
      <c r="F1039">
        <v>1150</v>
      </c>
      <c r="G1039">
        <v>1250</v>
      </c>
      <c r="H1039">
        <f>CONVERT(G1039,"HP","kW")</f>
        <v>932.12483947783778</v>
      </c>
      <c r="I1039">
        <v>0.86680000000000001</v>
      </c>
      <c r="J1039">
        <v>1.4902</v>
      </c>
      <c r="K1039">
        <v>0.5927</v>
      </c>
      <c r="L1039">
        <v>0.1106</v>
      </c>
      <c r="M1039">
        <v>6.4299999999999996E-2</v>
      </c>
      <c r="N1039">
        <f>CONVERT(O1039,"lbf","N")</f>
        <v>7138.9508703315769</v>
      </c>
      <c r="O1039">
        <v>1604.9</v>
      </c>
      <c r="P1039">
        <f t="shared" si="16"/>
        <v>0.58137432188065097</v>
      </c>
    </row>
    <row r="1040" spans="1:16" hidden="1" x14ac:dyDescent="0.25">
      <c r="A1040">
        <v>0</v>
      </c>
      <c r="B1040">
        <v>0</v>
      </c>
      <c r="C1040">
        <f>1.225 * (1 - 0.00000687559 * B1040) ^ 4.2561</f>
        <v>1.2250000000000001</v>
      </c>
      <c r="D1040">
        <f>E1040*(SQRT($C$2/C1040))</f>
        <v>240</v>
      </c>
      <c r="E1040">
        <v>240</v>
      </c>
      <c r="F1040">
        <v>1150</v>
      </c>
      <c r="G1040">
        <v>1250</v>
      </c>
      <c r="H1040">
        <f>CONVERT(G1040,"HP","kW")</f>
        <v>932.12483947783778</v>
      </c>
      <c r="I1040">
        <v>0.85740000000000005</v>
      </c>
      <c r="J1040">
        <v>1.6256999999999999</v>
      </c>
      <c r="K1040">
        <v>0.61019999999999996</v>
      </c>
      <c r="L1040">
        <v>0.1106</v>
      </c>
      <c r="M1040">
        <v>5.8299999999999998E-2</v>
      </c>
      <c r="N1040">
        <f>CONVERT(O1040,"lbf","N")</f>
        <v>6472.6072723655534</v>
      </c>
      <c r="O1040">
        <v>1455.1</v>
      </c>
      <c r="P1040">
        <f t="shared" si="16"/>
        <v>0.52712477396021695</v>
      </c>
    </row>
    <row r="1041" spans="1:16" hidden="1" x14ac:dyDescent="0.25">
      <c r="A1041">
        <v>0</v>
      </c>
      <c r="B1041">
        <v>0</v>
      </c>
      <c r="C1041">
        <f>1.225 * (1 - 0.00000687559 * B1041) ^ 4.2561</f>
        <v>1.2250000000000001</v>
      </c>
      <c r="D1041">
        <f>E1041*(SQRT($C$2/C1041))</f>
        <v>260</v>
      </c>
      <c r="E1041">
        <v>260</v>
      </c>
      <c r="F1041">
        <v>1150</v>
      </c>
      <c r="G1041">
        <v>1250</v>
      </c>
      <c r="H1041">
        <f>CONVERT(G1041,"HP","kW")</f>
        <v>932.12483947783778</v>
      </c>
      <c r="I1041">
        <v>0.84219999999999995</v>
      </c>
      <c r="J1041">
        <v>1.7612000000000001</v>
      </c>
      <c r="K1041">
        <v>0.62870000000000004</v>
      </c>
      <c r="L1041">
        <v>0.1106</v>
      </c>
      <c r="M1041">
        <v>5.2900000000000003E-2</v>
      </c>
      <c r="N1041">
        <f>CONVERT(O1041,"lbf","N")</f>
        <v>5868.983599174705</v>
      </c>
      <c r="O1041">
        <v>1319.4</v>
      </c>
      <c r="P1041">
        <f t="shared" si="16"/>
        <v>0.4783001808318264</v>
      </c>
    </row>
    <row r="1042" spans="1:16" hidden="1" x14ac:dyDescent="0.25">
      <c r="A1042">
        <v>0</v>
      </c>
      <c r="B1042">
        <v>0</v>
      </c>
      <c r="C1042">
        <f>1.225 * (1 - 0.00000687559 * B1042) ^ 4.2561</f>
        <v>1.2250000000000001</v>
      </c>
      <c r="D1042">
        <f>E1042*(SQRT($C$2/C1042))</f>
        <v>120</v>
      </c>
      <c r="E1042">
        <v>120</v>
      </c>
      <c r="F1042">
        <v>1150</v>
      </c>
      <c r="G1042">
        <v>1250</v>
      </c>
      <c r="H1042">
        <f>CONVERT(G1042,"HP","kW")</f>
        <v>932.12483947783778</v>
      </c>
      <c r="I1042">
        <v>0.81759999999999999</v>
      </c>
      <c r="J1042">
        <v>0.81289999999999996</v>
      </c>
      <c r="K1042">
        <v>0.52249999999999996</v>
      </c>
      <c r="L1042">
        <v>0.11070000000000001</v>
      </c>
      <c r="M1042">
        <v>0.1114</v>
      </c>
      <c r="N1042">
        <f>CONVERT(O1042,"lbf","N")</f>
        <v>12345.594270993994</v>
      </c>
      <c r="O1042">
        <v>2775.4</v>
      </c>
      <c r="P1042">
        <f t="shared" si="16"/>
        <v>1.0063233965672989</v>
      </c>
    </row>
    <row r="1043" spans="1:16" hidden="1" x14ac:dyDescent="0.25">
      <c r="A1043">
        <v>0</v>
      </c>
      <c r="B1043">
        <v>0</v>
      </c>
      <c r="C1043">
        <f>1.225 * (1 - 0.00000687559 * B1043) ^ 4.2561</f>
        <v>1.2250000000000001</v>
      </c>
      <c r="D1043">
        <f>E1043*(SQRT($C$2/C1043))</f>
        <v>180</v>
      </c>
      <c r="E1043">
        <v>180</v>
      </c>
      <c r="F1043">
        <v>1150</v>
      </c>
      <c r="G1043">
        <v>1250</v>
      </c>
      <c r="H1043">
        <f>CONVERT(G1043,"HP","kW")</f>
        <v>932.12483947783778</v>
      </c>
      <c r="I1043">
        <v>0.86860000000000004</v>
      </c>
      <c r="J1043">
        <v>1.2193000000000001</v>
      </c>
      <c r="K1043">
        <v>0.56089999999999995</v>
      </c>
      <c r="L1043">
        <v>0.11070000000000001</v>
      </c>
      <c r="M1043">
        <v>7.8799999999999995E-2</v>
      </c>
      <c r="N1043">
        <f>CONVERT(O1043,"lbf","N")</f>
        <v>8743.8692291175648</v>
      </c>
      <c r="O1043">
        <v>1965.7</v>
      </c>
      <c r="P1043">
        <f t="shared" si="16"/>
        <v>0.71183378500451666</v>
      </c>
    </row>
    <row r="1044" spans="1:16" hidden="1" x14ac:dyDescent="0.25">
      <c r="A1044">
        <v>0</v>
      </c>
      <c r="B1044">
        <v>0</v>
      </c>
      <c r="C1044">
        <f>1.225 * (1 - 0.00000687559 * B1044) ^ 4.2561</f>
        <v>1.2250000000000001</v>
      </c>
      <c r="D1044">
        <f>E1044*(SQRT($C$2/C1044))</f>
        <v>200</v>
      </c>
      <c r="E1044">
        <v>200</v>
      </c>
      <c r="F1044">
        <v>1150</v>
      </c>
      <c r="G1044">
        <v>1250</v>
      </c>
      <c r="H1044">
        <f>CONVERT(G1044,"HP","kW")</f>
        <v>932.12483947783778</v>
      </c>
      <c r="I1044">
        <v>0.87039999999999995</v>
      </c>
      <c r="J1044">
        <v>1.3548</v>
      </c>
      <c r="K1044">
        <v>0.57630000000000003</v>
      </c>
      <c r="L1044">
        <v>0.11070000000000001</v>
      </c>
      <c r="M1044">
        <v>7.1099999999999997E-2</v>
      </c>
      <c r="N1044">
        <f>CONVERT(O1044,"lbf","N")</f>
        <v>7885.8072795338139</v>
      </c>
      <c r="O1044">
        <v>1772.8</v>
      </c>
      <c r="P1044">
        <f t="shared" si="16"/>
        <v>0.64227642276422758</v>
      </c>
    </row>
    <row r="1045" spans="1:16" hidden="1" x14ac:dyDescent="0.25">
      <c r="A1045">
        <v>0</v>
      </c>
      <c r="B1045">
        <v>0</v>
      </c>
      <c r="C1045">
        <f>1.225 * (1 - 0.00000687559 * B1045) ^ 4.2561</f>
        <v>1.2250000000000001</v>
      </c>
      <c r="D1045">
        <f>E1045*(SQRT($C$2/C1045))</f>
        <v>40</v>
      </c>
      <c r="E1045">
        <v>40</v>
      </c>
      <c r="F1045">
        <v>1150</v>
      </c>
      <c r="G1045">
        <v>1250</v>
      </c>
      <c r="H1045">
        <f>CONVERT(G1045,"HP","kW")</f>
        <v>932.12483947783778</v>
      </c>
      <c r="I1045">
        <v>0.45190000000000002</v>
      </c>
      <c r="J1045">
        <v>0.27100000000000002</v>
      </c>
      <c r="K1045">
        <v>0.4899</v>
      </c>
      <c r="L1045">
        <v>0.1108</v>
      </c>
      <c r="M1045">
        <v>0.18479999999999999</v>
      </c>
      <c r="N1045">
        <f>CONVERT(O1045,"lbf","N")</f>
        <v>20471.605517751872</v>
      </c>
      <c r="O1045">
        <v>4602.2</v>
      </c>
      <c r="P1045">
        <f t="shared" si="16"/>
        <v>1.667870036101083</v>
      </c>
    </row>
    <row r="1046" spans="1:16" hidden="1" x14ac:dyDescent="0.25">
      <c r="A1046">
        <v>0</v>
      </c>
      <c r="B1046">
        <v>15000</v>
      </c>
      <c r="C1046">
        <f>1.225 * (1 - 0.00000687559 * B1046) ^ 4.2561</f>
        <v>0.77079726910167001</v>
      </c>
      <c r="D1046">
        <f>E1046*(SQRT($C$2/C1046))</f>
        <v>126.06599638766529</v>
      </c>
      <c r="E1046">
        <v>100</v>
      </c>
      <c r="F1046">
        <v>987</v>
      </c>
      <c r="G1046">
        <v>500</v>
      </c>
      <c r="H1046">
        <f>CONVERT(G1046,"HP","kW")</f>
        <v>372.84993579113512</v>
      </c>
      <c r="I1046">
        <v>0.8528</v>
      </c>
      <c r="J1046">
        <v>0.995</v>
      </c>
      <c r="K1046">
        <v>0.48780000000000001</v>
      </c>
      <c r="L1046">
        <v>0.1111</v>
      </c>
      <c r="M1046">
        <v>9.5200000000000007E-2</v>
      </c>
      <c r="N1046">
        <f>CONVERT(O1046,"lbf","N")</f>
        <v>4902.8298643401231</v>
      </c>
      <c r="O1046">
        <v>1102.2</v>
      </c>
      <c r="P1046">
        <f t="shared" si="16"/>
        <v>0.85688568856885694</v>
      </c>
    </row>
    <row r="1047" spans="1:16" hidden="1" x14ac:dyDescent="0.25">
      <c r="A1047">
        <v>0</v>
      </c>
      <c r="B1047">
        <v>15000</v>
      </c>
      <c r="C1047">
        <f>1.225 * (1 - 0.00000687559 * B1047) ^ 4.2561</f>
        <v>0.77079726910167001</v>
      </c>
      <c r="D1047">
        <f>E1047*(SQRT($C$2/C1047))</f>
        <v>226.91879349779754</v>
      </c>
      <c r="E1047">
        <v>180</v>
      </c>
      <c r="F1047">
        <v>987</v>
      </c>
      <c r="G1047">
        <v>500</v>
      </c>
      <c r="H1047">
        <f>CONVERT(G1047,"HP","kW")</f>
        <v>372.84993579113512</v>
      </c>
      <c r="I1047">
        <v>0.84870000000000001</v>
      </c>
      <c r="J1047">
        <v>1.7908999999999999</v>
      </c>
      <c r="K1047">
        <v>0.5736</v>
      </c>
      <c r="L1047">
        <v>0.1111</v>
      </c>
      <c r="M1047">
        <v>5.2699999999999997E-2</v>
      </c>
      <c r="N1047">
        <f>CONVERT(O1047,"lbf","N")</f>
        <v>2710.7462523397489</v>
      </c>
      <c r="O1047">
        <v>609.4</v>
      </c>
      <c r="P1047">
        <f t="shared" si="16"/>
        <v>0.47434743474347429</v>
      </c>
    </row>
    <row r="1048" spans="1:16" hidden="1" x14ac:dyDescent="0.25">
      <c r="A1048">
        <v>0</v>
      </c>
      <c r="B1048">
        <v>15000</v>
      </c>
      <c r="C1048">
        <f>1.225 * (1 - 0.00000687559 * B1048) ^ 4.2561</f>
        <v>0.77079726910167001</v>
      </c>
      <c r="D1048">
        <f>E1048*(SQRT($C$2/C1048))</f>
        <v>277.34519205286364</v>
      </c>
      <c r="E1048">
        <v>220</v>
      </c>
      <c r="F1048">
        <v>987</v>
      </c>
      <c r="G1048">
        <v>500</v>
      </c>
      <c r="H1048">
        <f>CONVERT(G1048,"HP","kW")</f>
        <v>372.84993579113512</v>
      </c>
      <c r="I1048">
        <v>0.77190000000000003</v>
      </c>
      <c r="J1048">
        <v>2.1888999999999998</v>
      </c>
      <c r="K1048">
        <v>0.62749999999999995</v>
      </c>
      <c r="L1048">
        <v>0.1111</v>
      </c>
      <c r="M1048">
        <v>3.9199999999999999E-2</v>
      </c>
      <c r="N1048">
        <f>CONVERT(O1048,"lbf","N")</f>
        <v>2017.268502520637</v>
      </c>
      <c r="O1048">
        <v>453.5</v>
      </c>
      <c r="P1048">
        <f t="shared" si="16"/>
        <v>0.35283528352835281</v>
      </c>
    </row>
    <row r="1049" spans="1:16" hidden="1" x14ac:dyDescent="0.25">
      <c r="A1049">
        <v>0</v>
      </c>
      <c r="B1049">
        <v>15000</v>
      </c>
      <c r="C1049">
        <f>1.225 * (1 - 0.00000687559 * B1049) ^ 4.2561</f>
        <v>0.77079726910167001</v>
      </c>
      <c r="D1049">
        <f>E1049*(SQRT($C$2/C1049))</f>
        <v>50.426398555066115</v>
      </c>
      <c r="E1049">
        <v>40</v>
      </c>
      <c r="F1049">
        <v>987</v>
      </c>
      <c r="G1049">
        <v>500</v>
      </c>
      <c r="H1049">
        <f>CONVERT(G1049,"HP","kW")</f>
        <v>372.84993579113512</v>
      </c>
      <c r="I1049">
        <v>0.59360000000000002</v>
      </c>
      <c r="J1049">
        <v>0.39800000000000002</v>
      </c>
      <c r="K1049">
        <v>0.44929999999999998</v>
      </c>
      <c r="L1049">
        <v>0.11119999999999999</v>
      </c>
      <c r="M1049">
        <v>0.16589999999999999</v>
      </c>
      <c r="N1049">
        <f>CONVERT(O1049,"lbf","N")</f>
        <v>8531.2442359081142</v>
      </c>
      <c r="O1049">
        <v>1917.9</v>
      </c>
      <c r="P1049">
        <f t="shared" si="16"/>
        <v>1.4919064748201438</v>
      </c>
    </row>
    <row r="1050" spans="1:16" hidden="1" x14ac:dyDescent="0.25">
      <c r="A1050">
        <v>0</v>
      </c>
      <c r="B1050">
        <v>15000</v>
      </c>
      <c r="C1050">
        <f>1.225 * (1 - 0.00000687559 * B1050) ^ 4.2561</f>
        <v>0.77079726910167001</v>
      </c>
      <c r="D1050">
        <f>E1050*(SQRT($C$2/C1050))</f>
        <v>75.639597832599179</v>
      </c>
      <c r="E1050">
        <v>60</v>
      </c>
      <c r="F1050">
        <v>987</v>
      </c>
      <c r="G1050">
        <v>500</v>
      </c>
      <c r="H1050">
        <f>CONVERT(G1050,"HP","kW")</f>
        <v>372.84993579113512</v>
      </c>
      <c r="I1050">
        <v>0.73619999999999997</v>
      </c>
      <c r="J1050">
        <v>0.59699999999999998</v>
      </c>
      <c r="K1050">
        <v>0.45960000000000001</v>
      </c>
      <c r="L1050">
        <v>0.11119999999999999</v>
      </c>
      <c r="M1050">
        <v>0.13719999999999999</v>
      </c>
      <c r="N1050">
        <f>CONVERT(O1050,"lbf","N")</f>
        <v>7053.9898374801005</v>
      </c>
      <c r="O1050">
        <v>1585.8</v>
      </c>
      <c r="P1050">
        <f t="shared" si="16"/>
        <v>1.2338129496402876</v>
      </c>
    </row>
    <row r="1051" spans="1:16" hidden="1" x14ac:dyDescent="0.25">
      <c r="A1051">
        <v>0</v>
      </c>
      <c r="B1051">
        <v>15000</v>
      </c>
      <c r="C1051">
        <f>1.225 * (1 - 0.00000687559 * B1051) ^ 4.2561</f>
        <v>0.77079726910167001</v>
      </c>
      <c r="D1051">
        <f>E1051*(SQRT($C$2/C1051))</f>
        <v>176.49239494273141</v>
      </c>
      <c r="E1051">
        <v>140</v>
      </c>
      <c r="F1051">
        <v>987</v>
      </c>
      <c r="G1051">
        <v>500</v>
      </c>
      <c r="H1051">
        <f>CONVERT(G1051,"HP","kW")</f>
        <v>372.84993579113512</v>
      </c>
      <c r="I1051">
        <v>0.87370000000000003</v>
      </c>
      <c r="J1051">
        <v>1.3929</v>
      </c>
      <c r="K1051">
        <v>0.52639999999999998</v>
      </c>
      <c r="L1051">
        <v>0.11119999999999999</v>
      </c>
      <c r="M1051">
        <v>6.9800000000000001E-2</v>
      </c>
      <c r="N1051">
        <f>CONVERT(O1051,"lbf","N")</f>
        <v>3587.9355548691196</v>
      </c>
      <c r="O1051">
        <v>806.6</v>
      </c>
      <c r="P1051">
        <f t="shared" si="16"/>
        <v>0.6276978417266188</v>
      </c>
    </row>
    <row r="1052" spans="1:16" hidden="1" x14ac:dyDescent="0.25">
      <c r="A1052">
        <v>0</v>
      </c>
      <c r="B1052">
        <v>15000</v>
      </c>
      <c r="C1052">
        <f>1.225 * (1 - 0.00000687559 * B1052) ^ 4.2561</f>
        <v>0.77079726910167001</v>
      </c>
      <c r="D1052">
        <f>E1052*(SQRT($C$2/C1052))</f>
        <v>201.70559422026446</v>
      </c>
      <c r="E1052">
        <v>160</v>
      </c>
      <c r="F1052">
        <v>987</v>
      </c>
      <c r="G1052">
        <v>500</v>
      </c>
      <c r="H1052">
        <f>CONVERT(G1052,"HP","kW")</f>
        <v>372.84993579113512</v>
      </c>
      <c r="I1052">
        <v>0.86670000000000003</v>
      </c>
      <c r="J1052">
        <v>1.5919000000000001</v>
      </c>
      <c r="K1052">
        <v>0.54900000000000004</v>
      </c>
      <c r="L1052">
        <v>0.11119999999999999</v>
      </c>
      <c r="M1052">
        <v>6.0499999999999998E-2</v>
      </c>
      <c r="N1052">
        <f>CONVERT(O1052,"lbf","N")</f>
        <v>3114.1999528438764</v>
      </c>
      <c r="O1052">
        <v>700.1</v>
      </c>
      <c r="P1052">
        <f t="shared" si="16"/>
        <v>0.54406474820143891</v>
      </c>
    </row>
    <row r="1053" spans="1:16" hidden="1" x14ac:dyDescent="0.25">
      <c r="A1053" s="4">
        <v>0</v>
      </c>
      <c r="B1053" s="4">
        <v>15000</v>
      </c>
      <c r="C1053" s="4">
        <f>1.225 * (1 - 0.00000687559 * B1053) ^ 4.2561</f>
        <v>0.77079726910167001</v>
      </c>
      <c r="D1053" s="4">
        <f>E1053*(SQRT($C$2/C1053))</f>
        <v>252.13199277533059</v>
      </c>
      <c r="E1053" s="4">
        <v>200</v>
      </c>
      <c r="F1053" s="4">
        <v>987</v>
      </c>
      <c r="G1053" s="4">
        <v>500</v>
      </c>
      <c r="H1053" s="4">
        <f>CONVERT(G1053,"HP","kW")</f>
        <v>372.84993579113512</v>
      </c>
      <c r="I1053" s="4">
        <v>0.81859999999999999</v>
      </c>
      <c r="J1053" s="4">
        <v>1.9899</v>
      </c>
      <c r="K1053" s="4">
        <v>0.5998</v>
      </c>
      <c r="L1053" s="4">
        <v>0.11119999999999999</v>
      </c>
      <c r="M1053" s="4">
        <v>4.5699999999999998E-2</v>
      </c>
      <c r="N1053" s="4">
        <f>CONVERT(O1053,"lbf","N")</f>
        <v>2353.1092344728045</v>
      </c>
      <c r="O1053" s="4">
        <v>529</v>
      </c>
      <c r="P1053">
        <f t="shared" si="16"/>
        <v>0.41097122302158273</v>
      </c>
    </row>
    <row r="1054" spans="1:16" hidden="1" x14ac:dyDescent="0.25">
      <c r="A1054">
        <v>0</v>
      </c>
      <c r="B1054">
        <v>15000</v>
      </c>
      <c r="C1054">
        <f>1.225 * (1 - 0.00000687559 * B1054) ^ 4.2561</f>
        <v>0.77079726910167001</v>
      </c>
      <c r="D1054">
        <f>E1054*(SQRT($C$2/C1054))</f>
        <v>302.55839133039672</v>
      </c>
      <c r="E1054">
        <v>240</v>
      </c>
      <c r="F1054">
        <v>987</v>
      </c>
      <c r="G1054">
        <v>500</v>
      </c>
      <c r="H1054">
        <f>CONVERT(G1054,"HP","kW")</f>
        <v>372.84993579113512</v>
      </c>
      <c r="I1054">
        <v>0.7026</v>
      </c>
      <c r="J1054">
        <v>2.3879000000000001</v>
      </c>
      <c r="K1054">
        <v>0.65659999999999996</v>
      </c>
      <c r="L1054">
        <v>0.11119999999999999</v>
      </c>
      <c r="M1054">
        <v>3.27E-2</v>
      </c>
      <c r="N1054">
        <f>CONVERT(O1054,"lbf","N")</f>
        <v>1683.2070592145733</v>
      </c>
      <c r="O1054">
        <v>378.4</v>
      </c>
      <c r="P1054">
        <f t="shared" si="16"/>
        <v>0.29406474820143885</v>
      </c>
    </row>
    <row r="1055" spans="1:16" hidden="1" x14ac:dyDescent="0.25">
      <c r="A1055">
        <v>0</v>
      </c>
      <c r="B1055">
        <v>15000</v>
      </c>
      <c r="C1055">
        <f>1.225 * (1 - 0.00000687559 * B1055) ^ 4.2561</f>
        <v>0.77079726910167001</v>
      </c>
      <c r="D1055">
        <f>E1055*(SQRT($C$2/C1055))</f>
        <v>327.77159060792974</v>
      </c>
      <c r="E1055">
        <v>260</v>
      </c>
      <c r="F1055">
        <v>987</v>
      </c>
      <c r="G1055">
        <v>500</v>
      </c>
      <c r="H1055">
        <f>CONVERT(G1055,"HP","kW")</f>
        <v>372.84993579113512</v>
      </c>
      <c r="I1055">
        <v>0.60199999999999998</v>
      </c>
      <c r="J1055">
        <v>2.5869</v>
      </c>
      <c r="K1055">
        <v>0.68669999999999998</v>
      </c>
      <c r="L1055">
        <v>0.11119999999999999</v>
      </c>
      <c r="M1055">
        <v>2.5899999999999999E-2</v>
      </c>
      <c r="N1055">
        <f>CONVERT(O1055,"lbf","N")</f>
        <v>1331.3527294474677</v>
      </c>
      <c r="O1055">
        <v>299.3</v>
      </c>
      <c r="P1055">
        <f t="shared" si="16"/>
        <v>0.2329136690647482</v>
      </c>
    </row>
    <row r="1056" spans="1:16" hidden="1" x14ac:dyDescent="0.25">
      <c r="A1056">
        <v>0</v>
      </c>
      <c r="B1056">
        <v>15000</v>
      </c>
      <c r="C1056">
        <f>1.225 * (1 - 0.00000687559 * B1056) ^ 4.2561</f>
        <v>0.77079726910167001</v>
      </c>
      <c r="D1056">
        <f>E1056*(SQRT($C$2/C1056))</f>
        <v>0</v>
      </c>
      <c r="E1056">
        <v>0</v>
      </c>
      <c r="F1056">
        <v>987</v>
      </c>
      <c r="G1056">
        <v>500</v>
      </c>
      <c r="H1056">
        <f>CONVERT(G1056,"HP","kW")</f>
        <v>372.84993579113512</v>
      </c>
      <c r="I1056">
        <v>0</v>
      </c>
      <c r="J1056">
        <v>0</v>
      </c>
      <c r="K1056">
        <v>0.43440000000000001</v>
      </c>
      <c r="L1056">
        <v>0.1113</v>
      </c>
      <c r="M1056">
        <v>0.22589999999999999</v>
      </c>
      <c r="N1056">
        <f>CONVERT(O1056,"lbf","N")</f>
        <v>11603.186083407014</v>
      </c>
      <c r="O1056">
        <v>2608.5</v>
      </c>
      <c r="P1056">
        <f t="shared" si="16"/>
        <v>2.0296495956873315</v>
      </c>
    </row>
    <row r="1057" spans="1:16" hidden="1" x14ac:dyDescent="0.25">
      <c r="A1057">
        <v>0</v>
      </c>
      <c r="B1057">
        <v>15000</v>
      </c>
      <c r="C1057">
        <f>1.225 * (1 - 0.00000687559 * B1057) ^ 4.2561</f>
        <v>0.77079726910167001</v>
      </c>
      <c r="D1057">
        <f>E1057*(SQRT($C$2/C1057))</f>
        <v>25.213199277533057</v>
      </c>
      <c r="E1057">
        <v>20</v>
      </c>
      <c r="F1057">
        <v>987</v>
      </c>
      <c r="G1057">
        <v>500</v>
      </c>
      <c r="H1057">
        <f>CONVERT(G1057,"HP","kW")</f>
        <v>372.84993579113512</v>
      </c>
      <c r="I1057">
        <v>0.35070000000000001</v>
      </c>
      <c r="J1057">
        <v>0.19900000000000001</v>
      </c>
      <c r="K1057">
        <v>0.44119999999999998</v>
      </c>
      <c r="L1057">
        <v>0.1113</v>
      </c>
      <c r="M1057">
        <v>0.19620000000000001</v>
      </c>
      <c r="N1057">
        <f>CONVERT(O1057,"lbf","N")</f>
        <v>10081.449468826399</v>
      </c>
      <c r="O1057">
        <v>2266.4</v>
      </c>
      <c r="P1057">
        <f t="shared" si="16"/>
        <v>1.7628032345013478</v>
      </c>
    </row>
    <row r="1058" spans="1:16" hidden="1" x14ac:dyDescent="0.25">
      <c r="A1058">
        <v>0</v>
      </c>
      <c r="B1058">
        <v>15000</v>
      </c>
      <c r="C1058">
        <f>1.225 * (1 - 0.00000687559 * B1058) ^ 4.2561</f>
        <v>0.77079726910167001</v>
      </c>
      <c r="D1058">
        <f>E1058*(SQRT($C$2/C1058))</f>
        <v>100.85279711013223</v>
      </c>
      <c r="E1058">
        <v>80</v>
      </c>
      <c r="F1058">
        <v>987</v>
      </c>
      <c r="G1058">
        <v>500</v>
      </c>
      <c r="H1058">
        <f>CONVERT(G1058,"HP","kW")</f>
        <v>372.84993579113512</v>
      </c>
      <c r="I1058">
        <v>0.81359999999999999</v>
      </c>
      <c r="J1058">
        <v>0.79600000000000004</v>
      </c>
      <c r="K1058">
        <v>0.4723</v>
      </c>
      <c r="L1058">
        <v>0.1113</v>
      </c>
      <c r="M1058">
        <v>0.1138</v>
      </c>
      <c r="N1058">
        <f>CONVERT(O1058,"lbf","N")</f>
        <v>5846.7424910984018</v>
      </c>
      <c r="O1058">
        <v>1314.4</v>
      </c>
      <c r="P1058">
        <f t="shared" si="16"/>
        <v>1.0224618149146452</v>
      </c>
    </row>
    <row r="1059" spans="1:16" hidden="1" x14ac:dyDescent="0.25">
      <c r="A1059">
        <v>0</v>
      </c>
      <c r="B1059">
        <v>15000</v>
      </c>
      <c r="C1059">
        <f>1.225 * (1 - 0.00000687559 * B1059) ^ 4.2561</f>
        <v>0.77079726910167001</v>
      </c>
      <c r="D1059">
        <f>E1059*(SQRT($C$2/C1059))</f>
        <v>151.27919566519836</v>
      </c>
      <c r="E1059">
        <v>120</v>
      </c>
      <c r="F1059">
        <v>987</v>
      </c>
      <c r="G1059">
        <v>500</v>
      </c>
      <c r="H1059">
        <f>CONVERT(G1059,"HP","kW")</f>
        <v>372.84993579113512</v>
      </c>
      <c r="I1059">
        <v>0.87</v>
      </c>
      <c r="J1059">
        <v>1.1939</v>
      </c>
      <c r="K1059">
        <v>0.50590000000000002</v>
      </c>
      <c r="L1059">
        <v>0.1113</v>
      </c>
      <c r="M1059">
        <v>8.1100000000000005E-2</v>
      </c>
      <c r="N1059">
        <f>CONVERT(O1059,"lbf","N")</f>
        <v>4168.4284756606148</v>
      </c>
      <c r="O1059">
        <v>937.1</v>
      </c>
      <c r="P1059">
        <f t="shared" si="16"/>
        <v>0.7286612758310872</v>
      </c>
    </row>
    <row r="1060" spans="1:16" hidden="1" x14ac:dyDescent="0.25">
      <c r="A1060">
        <v>0</v>
      </c>
      <c r="B1060">
        <v>0</v>
      </c>
      <c r="C1060">
        <f>1.225 * (1 - 0.00000687559 * B1060) ^ 4.2561</f>
        <v>1.2250000000000001</v>
      </c>
      <c r="D1060">
        <f>E1060*(SQRT($C$2/C1060))</f>
        <v>220</v>
      </c>
      <c r="E1060">
        <v>220</v>
      </c>
      <c r="F1060">
        <v>1215</v>
      </c>
      <c r="G1060">
        <v>1500</v>
      </c>
      <c r="H1060">
        <f>CONVERT(G1060,"HP","kW")</f>
        <v>1118.5498073734054</v>
      </c>
      <c r="I1060">
        <v>0.86890000000000001</v>
      </c>
      <c r="J1060">
        <v>1.4105000000000001</v>
      </c>
      <c r="K1060">
        <v>0.6159</v>
      </c>
      <c r="L1060">
        <v>0.1125</v>
      </c>
      <c r="M1060">
        <v>6.93E-2</v>
      </c>
      <c r="N1060">
        <f>CONVERT(O1060,"lbf","N")</f>
        <v>8587.2918282603951</v>
      </c>
      <c r="O1060">
        <v>1930.5</v>
      </c>
      <c r="P1060">
        <f t="shared" si="16"/>
        <v>0.61599999999999999</v>
      </c>
    </row>
    <row r="1061" spans="1:16" hidden="1" x14ac:dyDescent="0.25">
      <c r="A1061">
        <v>0</v>
      </c>
      <c r="B1061">
        <v>0</v>
      </c>
      <c r="C1061">
        <f>1.225 * (1 - 0.00000687559 * B1061) ^ 4.2561</f>
        <v>1.2250000000000001</v>
      </c>
      <c r="D1061">
        <f>E1061*(SQRT($C$2/C1061))</f>
        <v>240</v>
      </c>
      <c r="E1061">
        <v>240</v>
      </c>
      <c r="F1061">
        <v>1215</v>
      </c>
      <c r="G1061">
        <v>1500</v>
      </c>
      <c r="H1061">
        <f>CONVERT(G1061,"HP","kW")</f>
        <v>1118.5498073734054</v>
      </c>
      <c r="I1061">
        <v>0.86319999999999997</v>
      </c>
      <c r="J1061">
        <v>1.5387</v>
      </c>
      <c r="K1061">
        <v>0.63270000000000004</v>
      </c>
      <c r="L1061">
        <v>0.1125</v>
      </c>
      <c r="M1061">
        <v>6.3100000000000003E-2</v>
      </c>
      <c r="N1061">
        <f>CONVERT(O1061,"lbf","N")</f>
        <v>7819.9735996279596</v>
      </c>
      <c r="O1061">
        <v>1758</v>
      </c>
      <c r="P1061">
        <f t="shared" si="16"/>
        <v>0.56088888888888888</v>
      </c>
    </row>
    <row r="1062" spans="1:16" hidden="1" x14ac:dyDescent="0.25">
      <c r="A1062">
        <v>0</v>
      </c>
      <c r="B1062">
        <v>0</v>
      </c>
      <c r="C1062">
        <f>1.225 * (1 - 0.00000687559 * B1062) ^ 4.2561</f>
        <v>1.2250000000000001</v>
      </c>
      <c r="D1062">
        <f>E1062*(SQRT($C$2/C1062))</f>
        <v>0</v>
      </c>
      <c r="E1062">
        <v>0</v>
      </c>
      <c r="F1062">
        <v>1215</v>
      </c>
      <c r="G1062">
        <v>1500</v>
      </c>
      <c r="H1062">
        <f>CONVERT(G1062,"HP","kW")</f>
        <v>1118.5498073734054</v>
      </c>
      <c r="I1062">
        <v>0</v>
      </c>
      <c r="J1062">
        <v>0</v>
      </c>
      <c r="K1062">
        <v>0.50629999999999997</v>
      </c>
      <c r="L1062">
        <v>0.11260000000000001</v>
      </c>
      <c r="M1062">
        <v>0.22700000000000001</v>
      </c>
      <c r="N1062">
        <f>CONVERT(O1062,"lbf","N")</f>
        <v>28113.205430607886</v>
      </c>
      <c r="O1062">
        <v>6320.1</v>
      </c>
      <c r="P1062">
        <f t="shared" si="16"/>
        <v>2.0159857904085259</v>
      </c>
    </row>
    <row r="1063" spans="1:16" hidden="1" x14ac:dyDescent="0.25">
      <c r="A1063">
        <v>0</v>
      </c>
      <c r="B1063">
        <v>0</v>
      </c>
      <c r="C1063">
        <f>1.225 * (1 - 0.00000687559 * B1063) ^ 4.2561</f>
        <v>1.2250000000000001</v>
      </c>
      <c r="D1063">
        <f>E1063*(SQRT($C$2/C1063))</f>
        <v>20</v>
      </c>
      <c r="E1063">
        <v>20</v>
      </c>
      <c r="F1063">
        <v>1215</v>
      </c>
      <c r="G1063">
        <v>1500</v>
      </c>
      <c r="H1063">
        <f>CONVERT(G1063,"HP","kW")</f>
        <v>1118.5498073734054</v>
      </c>
      <c r="I1063">
        <v>0.23730000000000001</v>
      </c>
      <c r="J1063">
        <v>0.12820000000000001</v>
      </c>
      <c r="K1063">
        <v>0.51129999999999998</v>
      </c>
      <c r="L1063">
        <v>0.11260000000000001</v>
      </c>
      <c r="M1063">
        <v>0.20830000000000001</v>
      </c>
      <c r="N1063">
        <f>CONVERT(O1063,"lbf","N")</f>
        <v>25794.79232473411</v>
      </c>
      <c r="O1063">
        <v>5798.9</v>
      </c>
      <c r="P1063">
        <f t="shared" si="16"/>
        <v>1.8499111900532861</v>
      </c>
    </row>
    <row r="1064" spans="1:16" hidden="1" x14ac:dyDescent="0.25">
      <c r="A1064">
        <v>0</v>
      </c>
      <c r="B1064">
        <v>0</v>
      </c>
      <c r="C1064">
        <f>1.225 * (1 - 0.00000687559 * B1064) ^ 4.2561</f>
        <v>1.2250000000000001</v>
      </c>
      <c r="D1064">
        <f>E1064*(SQRT($C$2/C1064))</f>
        <v>40</v>
      </c>
      <c r="E1064">
        <v>40</v>
      </c>
      <c r="F1064">
        <v>1215</v>
      </c>
      <c r="G1064">
        <v>1500</v>
      </c>
      <c r="H1064">
        <f>CONVERT(G1064,"HP","kW")</f>
        <v>1118.5498073734054</v>
      </c>
      <c r="I1064">
        <v>0.43059999999999998</v>
      </c>
      <c r="J1064">
        <v>0.25650000000000001</v>
      </c>
      <c r="K1064">
        <v>0.51680000000000004</v>
      </c>
      <c r="L1064">
        <v>0.11260000000000001</v>
      </c>
      <c r="M1064">
        <v>0.189</v>
      </c>
      <c r="N1064">
        <f>CONVERT(O1064,"lbf","N")</f>
        <v>23405.207673016172</v>
      </c>
      <c r="O1064">
        <v>5261.7</v>
      </c>
      <c r="P1064">
        <f t="shared" si="16"/>
        <v>1.6785079928952042</v>
      </c>
    </row>
    <row r="1065" spans="1:16" hidden="1" x14ac:dyDescent="0.25">
      <c r="A1065">
        <v>0</v>
      </c>
      <c r="B1065">
        <v>0</v>
      </c>
      <c r="C1065">
        <f>1.225 * (1 - 0.00000687559 * B1065) ^ 4.2561</f>
        <v>1.2250000000000001</v>
      </c>
      <c r="D1065">
        <f>E1065*(SQRT($C$2/C1065))</f>
        <v>60</v>
      </c>
      <c r="E1065">
        <v>60</v>
      </c>
      <c r="F1065">
        <v>1215</v>
      </c>
      <c r="G1065">
        <v>1500</v>
      </c>
      <c r="H1065">
        <f>CONVERT(G1065,"HP","kW")</f>
        <v>1118.5498073734054</v>
      </c>
      <c r="I1065">
        <v>0.57909999999999995</v>
      </c>
      <c r="J1065">
        <v>0.38469999999999999</v>
      </c>
      <c r="K1065">
        <v>0.52300000000000002</v>
      </c>
      <c r="L1065">
        <v>0.11260000000000001</v>
      </c>
      <c r="M1065">
        <v>0.16950000000000001</v>
      </c>
      <c r="N1065">
        <f>CONVERT(O1065,"lbf","N")</f>
        <v>20985.375114314462</v>
      </c>
      <c r="O1065">
        <v>4717.7</v>
      </c>
      <c r="P1065">
        <f t="shared" si="16"/>
        <v>1.505328596802842</v>
      </c>
    </row>
    <row r="1066" spans="1:16" hidden="1" x14ac:dyDescent="0.25">
      <c r="A1066">
        <v>0</v>
      </c>
      <c r="B1066">
        <v>0</v>
      </c>
      <c r="C1066">
        <f>1.225 * (1 - 0.00000687559 * B1066) ^ 4.2561</f>
        <v>1.2250000000000001</v>
      </c>
      <c r="D1066">
        <f>E1066*(SQRT($C$2/C1066))</f>
        <v>80</v>
      </c>
      <c r="E1066">
        <v>80</v>
      </c>
      <c r="F1066">
        <v>1215</v>
      </c>
      <c r="G1066">
        <v>1500</v>
      </c>
      <c r="H1066">
        <f>CONVERT(G1066,"HP","kW")</f>
        <v>1118.5498073734054</v>
      </c>
      <c r="I1066">
        <v>0.68430000000000002</v>
      </c>
      <c r="J1066">
        <v>0.51290000000000002</v>
      </c>
      <c r="K1066">
        <v>0.53029999999999999</v>
      </c>
      <c r="L1066">
        <v>0.11260000000000001</v>
      </c>
      <c r="M1066">
        <v>0.1502</v>
      </c>
      <c r="N1066">
        <f>CONVERT(O1066,"lbf","N")</f>
        <v>18598.459395565678</v>
      </c>
      <c r="O1066">
        <v>4181.1000000000004</v>
      </c>
      <c r="P1066">
        <f t="shared" si="16"/>
        <v>1.3339253996447602</v>
      </c>
    </row>
    <row r="1067" spans="1:16" hidden="1" x14ac:dyDescent="0.25">
      <c r="A1067">
        <v>0</v>
      </c>
      <c r="B1067">
        <v>0</v>
      </c>
      <c r="C1067">
        <f>1.225 * (1 - 0.00000687559 * B1067) ^ 4.2561</f>
        <v>1.2250000000000001</v>
      </c>
      <c r="D1067">
        <f>E1067*(SQRT($C$2/C1067))</f>
        <v>100</v>
      </c>
      <c r="E1067">
        <v>100</v>
      </c>
      <c r="F1067">
        <v>1215</v>
      </c>
      <c r="G1067">
        <v>1500</v>
      </c>
      <c r="H1067">
        <f>CONVERT(G1067,"HP","kW")</f>
        <v>1118.5498073734054</v>
      </c>
      <c r="I1067">
        <v>0.75649999999999995</v>
      </c>
      <c r="J1067">
        <v>0.6411</v>
      </c>
      <c r="K1067">
        <v>0.53869999999999996</v>
      </c>
      <c r="L1067">
        <v>0.11260000000000001</v>
      </c>
      <c r="M1067">
        <v>0.1328</v>
      </c>
      <c r="N1067">
        <f>CONVERT(O1067,"lbf","N")</f>
        <v>16449.523533233329</v>
      </c>
      <c r="O1067">
        <v>3698</v>
      </c>
      <c r="P1067">
        <f t="shared" si="16"/>
        <v>1.1793960923623446</v>
      </c>
    </row>
    <row r="1068" spans="1:16" hidden="1" x14ac:dyDescent="0.25">
      <c r="A1068">
        <v>0</v>
      </c>
      <c r="B1068">
        <v>0</v>
      </c>
      <c r="C1068">
        <f>1.225 * (1 - 0.00000687559 * B1068) ^ 4.2561</f>
        <v>1.2250000000000001</v>
      </c>
      <c r="D1068">
        <f>E1068*(SQRT($C$2/C1068))</f>
        <v>140</v>
      </c>
      <c r="E1068">
        <v>140</v>
      </c>
      <c r="F1068">
        <v>1215</v>
      </c>
      <c r="G1068">
        <v>1500</v>
      </c>
      <c r="H1068">
        <f>CONVERT(G1068,"HP","kW")</f>
        <v>1118.5498073734054</v>
      </c>
      <c r="I1068">
        <v>0.83550000000000002</v>
      </c>
      <c r="J1068">
        <v>0.89759999999999995</v>
      </c>
      <c r="K1068">
        <v>0.55940000000000001</v>
      </c>
      <c r="L1068">
        <v>0.11260000000000001</v>
      </c>
      <c r="M1068">
        <v>0.1048</v>
      </c>
      <c r="N1068">
        <f>CONVERT(O1068,"lbf","N")</f>
        <v>12975.462451714879</v>
      </c>
      <c r="O1068">
        <v>2917</v>
      </c>
      <c r="P1068">
        <f t="shared" si="16"/>
        <v>0.930728241563055</v>
      </c>
    </row>
    <row r="1069" spans="1:16" hidden="1" x14ac:dyDescent="0.25">
      <c r="A1069">
        <v>0</v>
      </c>
      <c r="B1069">
        <v>0</v>
      </c>
      <c r="C1069">
        <f>1.225 * (1 - 0.00000687559 * B1069) ^ 4.2561</f>
        <v>1.2250000000000001</v>
      </c>
      <c r="D1069">
        <f>E1069*(SQRT($C$2/C1069))</f>
        <v>160</v>
      </c>
      <c r="E1069">
        <v>160</v>
      </c>
      <c r="F1069">
        <v>1215</v>
      </c>
      <c r="G1069">
        <v>1500</v>
      </c>
      <c r="H1069">
        <f>CONVERT(G1069,"HP","kW")</f>
        <v>1118.5498073734054</v>
      </c>
      <c r="I1069">
        <v>0.85460000000000003</v>
      </c>
      <c r="J1069">
        <v>1.0258</v>
      </c>
      <c r="K1069">
        <v>0.57169999999999999</v>
      </c>
      <c r="L1069">
        <v>0.11260000000000001</v>
      </c>
      <c r="M1069">
        <v>9.3799999999999994E-2</v>
      </c>
      <c r="N1069">
        <f>CONVERT(O1069,"lbf","N")</f>
        <v>11613.416993122115</v>
      </c>
      <c r="O1069">
        <v>2610.8000000000002</v>
      </c>
      <c r="P1069">
        <f t="shared" si="16"/>
        <v>0.83303730017761979</v>
      </c>
    </row>
    <row r="1070" spans="1:16" hidden="1" x14ac:dyDescent="0.25">
      <c r="A1070">
        <v>0</v>
      </c>
      <c r="B1070">
        <v>0</v>
      </c>
      <c r="C1070">
        <f>1.225 * (1 - 0.00000687559 * B1070) ^ 4.2561</f>
        <v>1.2250000000000001</v>
      </c>
      <c r="D1070">
        <f>E1070*(SQRT($C$2/C1070))</f>
        <v>180</v>
      </c>
      <c r="E1070">
        <v>180</v>
      </c>
      <c r="F1070">
        <v>1215</v>
      </c>
      <c r="G1070">
        <v>1500</v>
      </c>
      <c r="H1070">
        <f>CONVERT(G1070,"HP","kW")</f>
        <v>1118.5498073734054</v>
      </c>
      <c r="I1070">
        <v>0.86529999999999996</v>
      </c>
      <c r="J1070">
        <v>1.1540999999999999</v>
      </c>
      <c r="K1070">
        <v>0.58530000000000004</v>
      </c>
      <c r="L1070">
        <v>0.11260000000000001</v>
      </c>
      <c r="M1070">
        <v>8.4400000000000003E-2</v>
      </c>
      <c r="N1070">
        <f>CONVERT(O1070,"lbf","N")</f>
        <v>10452.431151539124</v>
      </c>
      <c r="O1070">
        <v>2349.8000000000002</v>
      </c>
      <c r="P1070">
        <f t="shared" si="16"/>
        <v>0.74955595026642985</v>
      </c>
    </row>
    <row r="1071" spans="1:16" hidden="1" x14ac:dyDescent="0.25">
      <c r="A1071">
        <v>0</v>
      </c>
      <c r="B1071">
        <v>0</v>
      </c>
      <c r="C1071">
        <f>1.225 * (1 - 0.00000687559 * B1071) ^ 4.2561</f>
        <v>1.2250000000000001</v>
      </c>
      <c r="D1071">
        <f>E1071*(SQRT($C$2/C1071))</f>
        <v>200</v>
      </c>
      <c r="E1071">
        <v>200</v>
      </c>
      <c r="F1071">
        <v>1215</v>
      </c>
      <c r="G1071">
        <v>1500</v>
      </c>
      <c r="H1071">
        <f>CONVERT(G1071,"HP","kW")</f>
        <v>1118.5498073734054</v>
      </c>
      <c r="I1071">
        <v>0.86980000000000002</v>
      </c>
      <c r="J1071">
        <v>1.2823</v>
      </c>
      <c r="K1071">
        <v>0.6</v>
      </c>
      <c r="L1071">
        <v>0.11260000000000001</v>
      </c>
      <c r="M1071">
        <v>7.6399999999999996E-2</v>
      </c>
      <c r="N1071">
        <f>CONVERT(O1071,"lbf","N")</f>
        <v>9456.0295097207727</v>
      </c>
      <c r="O1071">
        <v>2125.8000000000002</v>
      </c>
      <c r="P1071">
        <f t="shared" si="16"/>
        <v>0.67850799289520414</v>
      </c>
    </row>
    <row r="1072" spans="1:16" hidden="1" x14ac:dyDescent="0.25">
      <c r="A1072">
        <v>0</v>
      </c>
      <c r="B1072">
        <v>0</v>
      </c>
      <c r="C1072">
        <f>1.225 * (1 - 0.00000687559 * B1072) ^ 4.2561</f>
        <v>1.2250000000000001</v>
      </c>
      <c r="D1072">
        <f>E1072*(SQRT($C$2/C1072))</f>
        <v>260</v>
      </c>
      <c r="E1072">
        <v>260</v>
      </c>
      <c r="F1072">
        <v>1215</v>
      </c>
      <c r="G1072">
        <v>1500</v>
      </c>
      <c r="H1072">
        <f>CONVERT(G1072,"HP","kW")</f>
        <v>1118.5498073734054</v>
      </c>
      <c r="I1072">
        <v>0.85119999999999996</v>
      </c>
      <c r="J1072">
        <v>1.667</v>
      </c>
      <c r="K1072">
        <v>0.65059999999999996</v>
      </c>
      <c r="L1072">
        <v>0.11260000000000001</v>
      </c>
      <c r="M1072">
        <v>5.7500000000000002E-2</v>
      </c>
      <c r="N1072">
        <f>CONVERT(O1072,"lbf","N")</f>
        <v>7118.0442287398528</v>
      </c>
      <c r="O1072">
        <v>1600.2</v>
      </c>
      <c r="P1072">
        <f t="shared" si="16"/>
        <v>0.51065719360568385</v>
      </c>
    </row>
    <row r="1073" spans="1:16" hidden="1" x14ac:dyDescent="0.25">
      <c r="A1073">
        <v>0</v>
      </c>
      <c r="B1073">
        <v>0</v>
      </c>
      <c r="C1073">
        <f>1.225 * (1 - 0.00000687559 * B1073) ^ 4.2561</f>
        <v>1.2250000000000001</v>
      </c>
      <c r="D1073">
        <f>E1073*(SQRT($C$2/C1073))</f>
        <v>120</v>
      </c>
      <c r="E1073">
        <v>120</v>
      </c>
      <c r="F1073">
        <v>1215</v>
      </c>
      <c r="G1073">
        <v>1500</v>
      </c>
      <c r="H1073">
        <f>CONVERT(G1073,"HP","kW")</f>
        <v>1118.5498073734054</v>
      </c>
      <c r="I1073">
        <v>0.80449999999999999</v>
      </c>
      <c r="J1073">
        <v>0.76939999999999997</v>
      </c>
      <c r="K1073">
        <v>0.5484</v>
      </c>
      <c r="L1073">
        <v>0.11269999999999999</v>
      </c>
      <c r="M1073">
        <v>0.1179</v>
      </c>
      <c r="N1073">
        <f>CONVERT(O1073,"lbf","N")</f>
        <v>14576.822233208659</v>
      </c>
      <c r="O1073">
        <v>3277</v>
      </c>
      <c r="P1073">
        <f t="shared" si="16"/>
        <v>1.0461401952085183</v>
      </c>
    </row>
    <row r="1074" spans="1:16" hidden="1" x14ac:dyDescent="0.25">
      <c r="A1074">
        <v>0</v>
      </c>
      <c r="B1074">
        <v>30000</v>
      </c>
      <c r="C1074">
        <f>1.225 * (1 - 0.00000687559 * B1074) ^ 4.2561</f>
        <v>0.45828836225470948</v>
      </c>
      <c r="D1074">
        <f>E1074*(SQRT($C$2/C1074))</f>
        <v>294.28703878055819</v>
      </c>
      <c r="E1074">
        <v>180</v>
      </c>
      <c r="F1074">
        <v>1150</v>
      </c>
      <c r="G1074">
        <v>500</v>
      </c>
      <c r="H1074">
        <f>CONVERT(G1074,"HP","kW")</f>
        <v>372.84993579113512</v>
      </c>
      <c r="I1074">
        <v>0.71009999999999995</v>
      </c>
      <c r="J1074">
        <v>1.9934000000000001</v>
      </c>
      <c r="K1074">
        <v>0.74350000000000005</v>
      </c>
      <c r="L1074">
        <v>0.1182</v>
      </c>
      <c r="M1074">
        <v>4.2099999999999999E-2</v>
      </c>
      <c r="N1074">
        <f>CONVERT(O1074,"lbf","N")</f>
        <v>1749.0407391204285</v>
      </c>
      <c r="O1074">
        <v>393.2</v>
      </c>
      <c r="P1074">
        <f t="shared" si="16"/>
        <v>0.35617597292724196</v>
      </c>
    </row>
    <row r="1075" spans="1:16" hidden="1" x14ac:dyDescent="0.25">
      <c r="A1075">
        <v>0</v>
      </c>
      <c r="B1075">
        <v>30000</v>
      </c>
      <c r="C1075">
        <f>1.225 * (1 - 0.00000687559 * B1075) ^ 4.2561</f>
        <v>0.45828836225470948</v>
      </c>
      <c r="D1075">
        <f>E1075*(SQRT($C$2/C1075))</f>
        <v>0</v>
      </c>
      <c r="E1075">
        <v>0</v>
      </c>
      <c r="F1075">
        <v>1150</v>
      </c>
      <c r="G1075">
        <v>500</v>
      </c>
      <c r="H1075">
        <f>CONVERT(G1075,"HP","kW")</f>
        <v>372.84993579113512</v>
      </c>
      <c r="I1075">
        <v>0</v>
      </c>
      <c r="J1075">
        <v>0</v>
      </c>
      <c r="K1075">
        <v>0.5373</v>
      </c>
      <c r="L1075">
        <v>0.1183</v>
      </c>
      <c r="M1075">
        <v>0.2329</v>
      </c>
      <c r="N1075">
        <f>CONVERT(O1075,"lbf","N")</f>
        <v>9664.6511034764881</v>
      </c>
      <c r="O1075">
        <v>2172.6999999999998</v>
      </c>
      <c r="P1075">
        <f t="shared" si="16"/>
        <v>1.9687235841081994</v>
      </c>
    </row>
    <row r="1076" spans="1:16" hidden="1" x14ac:dyDescent="0.25">
      <c r="A1076">
        <v>0</v>
      </c>
      <c r="B1076">
        <v>30000</v>
      </c>
      <c r="C1076">
        <f>1.225 * (1 - 0.00000687559 * B1076) ^ 4.2561</f>
        <v>0.45828836225470948</v>
      </c>
      <c r="D1076">
        <f>E1076*(SQRT($C$2/C1076))</f>
        <v>32.698559864506464</v>
      </c>
      <c r="E1076">
        <v>20</v>
      </c>
      <c r="F1076">
        <v>1150</v>
      </c>
      <c r="G1076">
        <v>500</v>
      </c>
      <c r="H1076">
        <f>CONVERT(G1076,"HP","kW")</f>
        <v>372.84993579113512</v>
      </c>
      <c r="I1076">
        <v>0.37590000000000001</v>
      </c>
      <c r="J1076">
        <v>0.2215</v>
      </c>
      <c r="K1076">
        <v>0.54700000000000004</v>
      </c>
      <c r="L1076">
        <v>0.1183</v>
      </c>
      <c r="M1076">
        <v>0.20080000000000001</v>
      </c>
      <c r="N1076">
        <f>CONVERT(O1076,"lbf","N")</f>
        <v>8332.8535518674944</v>
      </c>
      <c r="O1076">
        <v>1873.3</v>
      </c>
      <c r="P1076">
        <f t="shared" si="16"/>
        <v>1.6973795435333896</v>
      </c>
    </row>
    <row r="1077" spans="1:16" hidden="1" x14ac:dyDescent="0.25">
      <c r="A1077">
        <v>0</v>
      </c>
      <c r="B1077">
        <v>30000</v>
      </c>
      <c r="C1077">
        <f>1.225 * (1 - 0.00000687559 * B1077) ^ 4.2561</f>
        <v>0.45828836225470948</v>
      </c>
      <c r="D1077">
        <f>E1077*(SQRT($C$2/C1077))</f>
        <v>65.397119729012928</v>
      </c>
      <c r="E1077">
        <v>40</v>
      </c>
      <c r="F1077">
        <v>1150</v>
      </c>
      <c r="G1077">
        <v>500</v>
      </c>
      <c r="H1077">
        <f>CONVERT(G1077,"HP","kW")</f>
        <v>372.84993579113512</v>
      </c>
      <c r="I1077">
        <v>0.62529999999999997</v>
      </c>
      <c r="J1077">
        <v>0.443</v>
      </c>
      <c r="K1077">
        <v>0.55879999999999996</v>
      </c>
      <c r="L1077">
        <v>0.1183</v>
      </c>
      <c r="M1077">
        <v>0.16700000000000001</v>
      </c>
      <c r="N1077">
        <f>CONVERT(O1077,"lbf","N")</f>
        <v>6929.4396322528064</v>
      </c>
      <c r="O1077">
        <v>1557.8</v>
      </c>
      <c r="P1077">
        <f t="shared" si="16"/>
        <v>1.411665257819104</v>
      </c>
    </row>
    <row r="1078" spans="1:16" hidden="1" x14ac:dyDescent="0.25">
      <c r="A1078">
        <v>0</v>
      </c>
      <c r="B1078">
        <v>30000</v>
      </c>
      <c r="C1078">
        <f>1.225 * (1 - 0.00000687559 * B1078) ^ 4.2561</f>
        <v>0.45828836225470948</v>
      </c>
      <c r="D1078">
        <f>E1078*(SQRT($C$2/C1078))</f>
        <v>98.095679593519407</v>
      </c>
      <c r="E1078">
        <v>60</v>
      </c>
      <c r="F1078">
        <v>1150</v>
      </c>
      <c r="G1078">
        <v>500</v>
      </c>
      <c r="H1078">
        <f>CONVERT(G1078,"HP","kW")</f>
        <v>372.84993579113512</v>
      </c>
      <c r="I1078">
        <v>0.76280000000000003</v>
      </c>
      <c r="J1078">
        <v>0.66449999999999998</v>
      </c>
      <c r="K1078">
        <v>0.57399999999999995</v>
      </c>
      <c r="L1078">
        <v>0.1183</v>
      </c>
      <c r="M1078">
        <v>0.1358</v>
      </c>
      <c r="N1078">
        <f>CONVERT(O1078,"lbf","N")</f>
        <v>5635.8967865350533</v>
      </c>
      <c r="O1078">
        <v>1267</v>
      </c>
      <c r="P1078">
        <f t="shared" si="16"/>
        <v>1.1479289940828403</v>
      </c>
    </row>
    <row r="1079" spans="1:16" hidden="1" x14ac:dyDescent="0.25">
      <c r="A1079">
        <v>0</v>
      </c>
      <c r="B1079">
        <v>30000</v>
      </c>
      <c r="C1079">
        <f>1.225 * (1 - 0.00000687559 * B1079) ^ 4.2561</f>
        <v>0.45828836225470948</v>
      </c>
      <c r="D1079">
        <f>E1079*(SQRT($C$2/C1079))</f>
        <v>130.79423945802586</v>
      </c>
      <c r="E1079">
        <v>80</v>
      </c>
      <c r="F1079">
        <v>1150</v>
      </c>
      <c r="G1079">
        <v>500</v>
      </c>
      <c r="H1079">
        <f>CONVERT(G1079,"HP","kW")</f>
        <v>372.84993579113512</v>
      </c>
      <c r="I1079">
        <v>0.83189999999999997</v>
      </c>
      <c r="J1079">
        <v>0.88590000000000002</v>
      </c>
      <c r="K1079">
        <v>0.59309999999999996</v>
      </c>
      <c r="L1079">
        <v>0.1183</v>
      </c>
      <c r="M1079">
        <v>0.1111</v>
      </c>
      <c r="N1079">
        <f>CONVERT(O1079,"lbf","N")</f>
        <v>4609.6920598944562</v>
      </c>
      <c r="O1079">
        <v>1036.3</v>
      </c>
      <c r="P1079">
        <f t="shared" si="16"/>
        <v>0.9391377852916315</v>
      </c>
    </row>
    <row r="1080" spans="1:16" hidden="1" x14ac:dyDescent="0.25">
      <c r="A1080">
        <v>0</v>
      </c>
      <c r="B1080">
        <v>30000</v>
      </c>
      <c r="C1080">
        <f>1.225 * (1 - 0.00000687559 * B1080) ^ 4.2561</f>
        <v>0.45828836225470948</v>
      </c>
      <c r="D1080">
        <f>E1080*(SQRT($C$2/C1080))</f>
        <v>163.49279932253233</v>
      </c>
      <c r="E1080">
        <v>100</v>
      </c>
      <c r="F1080">
        <v>1150</v>
      </c>
      <c r="G1080">
        <v>500</v>
      </c>
      <c r="H1080">
        <f>CONVERT(G1080,"HP","kW")</f>
        <v>372.84993579113512</v>
      </c>
      <c r="I1080">
        <v>0.86309999999999998</v>
      </c>
      <c r="J1080">
        <v>1.1073999999999999</v>
      </c>
      <c r="K1080">
        <v>0.61639999999999995</v>
      </c>
      <c r="L1080">
        <v>0.1183</v>
      </c>
      <c r="M1080">
        <v>9.2200000000000004E-2</v>
      </c>
      <c r="N1080">
        <f>CONVERT(O1080,"lbf","N")</f>
        <v>3825.9154112855558</v>
      </c>
      <c r="O1080">
        <v>860.1</v>
      </c>
      <c r="P1080">
        <f t="shared" si="16"/>
        <v>0.77937447168216401</v>
      </c>
    </row>
    <row r="1081" spans="1:16" hidden="1" x14ac:dyDescent="0.25">
      <c r="A1081">
        <v>0</v>
      </c>
      <c r="B1081">
        <v>30000</v>
      </c>
      <c r="C1081">
        <f>1.225 * (1 - 0.00000687559 * B1081) ^ 4.2561</f>
        <v>0.45828836225470948</v>
      </c>
      <c r="D1081">
        <f>E1081*(SQRT($C$2/C1081))</f>
        <v>196.19135918703881</v>
      </c>
      <c r="E1081">
        <v>120</v>
      </c>
      <c r="F1081">
        <v>1150</v>
      </c>
      <c r="G1081">
        <v>500</v>
      </c>
      <c r="H1081">
        <f>CONVERT(G1081,"HP","kW")</f>
        <v>372.84993579113512</v>
      </c>
      <c r="I1081">
        <v>0.87050000000000005</v>
      </c>
      <c r="J1081">
        <v>1.3289</v>
      </c>
      <c r="K1081">
        <v>0.64339999999999997</v>
      </c>
      <c r="L1081">
        <v>0.1183</v>
      </c>
      <c r="M1081">
        <v>7.7499999999999999E-2</v>
      </c>
      <c r="N1081">
        <f>CONVERT(O1081,"lbf","N")</f>
        <v>3215.6194056718155</v>
      </c>
      <c r="O1081">
        <v>722.9</v>
      </c>
      <c r="P1081">
        <f t="shared" si="16"/>
        <v>0.65511411665257813</v>
      </c>
    </row>
    <row r="1082" spans="1:16" hidden="1" x14ac:dyDescent="0.25">
      <c r="A1082">
        <v>0</v>
      </c>
      <c r="B1082">
        <v>30000</v>
      </c>
      <c r="C1082">
        <f>1.225 * (1 - 0.00000687559 * B1082) ^ 4.2561</f>
        <v>0.45828836225470948</v>
      </c>
      <c r="D1082">
        <f>E1082*(SQRT($C$2/C1082))</f>
        <v>228.88991905154526</v>
      </c>
      <c r="E1082">
        <v>140</v>
      </c>
      <c r="F1082">
        <v>1150</v>
      </c>
      <c r="G1082">
        <v>500</v>
      </c>
      <c r="H1082">
        <f>CONVERT(G1082,"HP","kW")</f>
        <v>372.84993579113512</v>
      </c>
      <c r="I1082">
        <v>0.85619999999999996</v>
      </c>
      <c r="J1082">
        <v>1.5504</v>
      </c>
      <c r="K1082">
        <v>0.67390000000000005</v>
      </c>
      <c r="L1082">
        <v>0.1183</v>
      </c>
      <c r="M1082">
        <v>6.5299999999999997E-2</v>
      </c>
      <c r="N1082">
        <f>CONVERT(O1082,"lbf","N")</f>
        <v>2711.1910745012747</v>
      </c>
      <c r="O1082">
        <v>609.5</v>
      </c>
      <c r="P1082">
        <f t="shared" si="16"/>
        <v>0.55198647506339815</v>
      </c>
    </row>
    <row r="1083" spans="1:16" hidden="1" x14ac:dyDescent="0.25">
      <c r="A1083">
        <v>0</v>
      </c>
      <c r="B1083">
        <v>30000</v>
      </c>
      <c r="C1083">
        <f>1.225 * (1 - 0.00000687559 * B1083) ^ 4.2561</f>
        <v>0.45828836225470948</v>
      </c>
      <c r="D1083">
        <f>E1083*(SQRT($C$2/C1083))</f>
        <v>261.58847891605171</v>
      </c>
      <c r="E1083">
        <v>160</v>
      </c>
      <c r="F1083">
        <v>1150</v>
      </c>
      <c r="G1083">
        <v>500</v>
      </c>
      <c r="H1083">
        <f>CONVERT(G1083,"HP","kW")</f>
        <v>372.84993579113512</v>
      </c>
      <c r="I1083">
        <v>0.80530000000000002</v>
      </c>
      <c r="J1083">
        <v>1.7719</v>
      </c>
      <c r="K1083">
        <v>0.70740000000000003</v>
      </c>
      <c r="L1083">
        <v>0.1183</v>
      </c>
      <c r="M1083">
        <v>5.3800000000000001E-2</v>
      </c>
      <c r="N1083">
        <f>CONVERT(O1083,"lbf","N")</f>
        <v>2231.2279622146671</v>
      </c>
      <c r="O1083">
        <v>501.6</v>
      </c>
      <c r="P1083">
        <f t="shared" si="16"/>
        <v>0.45477599323753171</v>
      </c>
    </row>
    <row r="1084" spans="1:16" hidden="1" x14ac:dyDescent="0.25">
      <c r="A1084">
        <v>0</v>
      </c>
      <c r="B1084">
        <v>30000</v>
      </c>
      <c r="C1084">
        <f>1.225 * (1 - 0.00000687559 * B1084) ^ 4.2561</f>
        <v>0.45828836225470948</v>
      </c>
      <c r="D1084">
        <f>E1084*(SQRT($C$2/C1084))</f>
        <v>326.98559864506467</v>
      </c>
      <c r="E1084">
        <v>200</v>
      </c>
      <c r="F1084">
        <v>1150</v>
      </c>
      <c r="G1084">
        <v>500</v>
      </c>
      <c r="H1084">
        <f>CONVERT(G1084,"HP","kW")</f>
        <v>372.84993579113512</v>
      </c>
      <c r="I1084">
        <v>0.54900000000000004</v>
      </c>
      <c r="J1084">
        <v>2.2149000000000001</v>
      </c>
      <c r="K1084">
        <v>0.78180000000000005</v>
      </c>
      <c r="L1084">
        <v>0.1183</v>
      </c>
      <c r="M1084">
        <v>2.93E-2</v>
      </c>
      <c r="N1084">
        <f>CONVERT(O1084,"lbf","N")</f>
        <v>1217.033433935273</v>
      </c>
      <c r="O1084">
        <v>273.60000000000002</v>
      </c>
      <c r="P1084">
        <f t="shared" si="16"/>
        <v>0.24767540152155537</v>
      </c>
    </row>
    <row r="1085" spans="1:16" hidden="1" x14ac:dyDescent="0.25">
      <c r="A1085">
        <v>0</v>
      </c>
      <c r="B1085">
        <v>30000</v>
      </c>
      <c r="C1085">
        <f>1.225 * (1 - 0.00000687559 * B1085) ^ 4.2561</f>
        <v>0.45828836225470948</v>
      </c>
      <c r="D1085">
        <f>E1085*(SQRT($C$2/C1085))</f>
        <v>359.68415850957115</v>
      </c>
      <c r="E1085">
        <v>220</v>
      </c>
      <c r="F1085">
        <v>1150</v>
      </c>
      <c r="G1085">
        <v>500</v>
      </c>
      <c r="H1085">
        <f>CONVERT(G1085,"HP","kW")</f>
        <v>372.84993579113512</v>
      </c>
      <c r="I1085">
        <v>0.2974</v>
      </c>
      <c r="J1085">
        <v>2.4363999999999999</v>
      </c>
      <c r="K1085">
        <v>0.82220000000000004</v>
      </c>
      <c r="L1085">
        <v>0.1183</v>
      </c>
      <c r="M1085">
        <v>1.44E-2</v>
      </c>
      <c r="N1085">
        <f>CONVERT(O1085,"lbf","N")</f>
        <v>599.17545157558936</v>
      </c>
      <c r="O1085">
        <v>134.69999999999999</v>
      </c>
      <c r="P1085">
        <f t="shared" si="16"/>
        <v>0.1217244294167371</v>
      </c>
    </row>
    <row r="1086" spans="1:16" hidden="1" x14ac:dyDescent="0.25">
      <c r="A1086">
        <v>0</v>
      </c>
      <c r="B1086">
        <v>30000</v>
      </c>
      <c r="C1086">
        <f>1.225 * (1 - 0.00000687559 * B1086) ^ 4.2561</f>
        <v>0.45828836225470948</v>
      </c>
      <c r="D1086">
        <f>E1086*(SQRT($C$2/C1086))</f>
        <v>392.38271837407763</v>
      </c>
      <c r="E1086">
        <v>240</v>
      </c>
      <c r="F1086">
        <v>1150</v>
      </c>
      <c r="G1086">
        <v>500</v>
      </c>
      <c r="H1086">
        <f>CONVERT(G1086,"HP","kW")</f>
        <v>372.84993579113512</v>
      </c>
      <c r="I1086">
        <v>-0.1774</v>
      </c>
      <c r="J1086">
        <v>2.6577999999999999</v>
      </c>
      <c r="K1086">
        <v>0.86409999999999998</v>
      </c>
      <c r="L1086">
        <v>0.1183</v>
      </c>
      <c r="M1086">
        <v>-7.9000000000000008E-3</v>
      </c>
      <c r="N1086">
        <f>CONVERT(O1086,"lbf","N")</f>
        <v>-327.3891108831728</v>
      </c>
      <c r="O1086">
        <v>-73.599999999999994</v>
      </c>
      <c r="P1086">
        <f t="shared" si="16"/>
        <v>-6.6779374471682168E-2</v>
      </c>
    </row>
    <row r="1087" spans="1:16" hidden="1" x14ac:dyDescent="0.25">
      <c r="A1087">
        <v>0</v>
      </c>
      <c r="B1087">
        <v>30000</v>
      </c>
      <c r="C1087">
        <f>1.225 * (1 - 0.00000687559 * B1087) ^ 4.2561</f>
        <v>0.45828836225470948</v>
      </c>
      <c r="D1087">
        <f>E1087*(SQRT($C$2/C1087))</f>
        <v>425.08127823858405</v>
      </c>
      <c r="E1087">
        <v>260</v>
      </c>
      <c r="F1087">
        <v>1150</v>
      </c>
      <c r="G1087">
        <v>500</v>
      </c>
      <c r="H1087">
        <f>CONVERT(G1087,"HP","kW")</f>
        <v>372.84993579113512</v>
      </c>
      <c r="I1087">
        <v>-0.9244</v>
      </c>
      <c r="J1087">
        <v>2.8793000000000002</v>
      </c>
      <c r="K1087">
        <v>0.90759999999999996</v>
      </c>
      <c r="L1087">
        <v>0.1183</v>
      </c>
      <c r="M1087">
        <v>-3.7999999999999999E-2</v>
      </c>
      <c r="N1087">
        <f>CONVERT(O1087,"lbf","N")</f>
        <v>-1576.4497404483211</v>
      </c>
      <c r="O1087">
        <v>-354.4</v>
      </c>
      <c r="P1087">
        <f t="shared" si="16"/>
        <v>-0.32121724429416737</v>
      </c>
    </row>
    <row r="1088" spans="1:16" hidden="1" x14ac:dyDescent="0.25">
      <c r="A1088">
        <v>0</v>
      </c>
      <c r="B1088">
        <v>15000</v>
      </c>
      <c r="C1088">
        <f>1.225 * (1 - 0.00000687559 * B1088) ^ 4.2561</f>
        <v>0.77079726910167001</v>
      </c>
      <c r="D1088">
        <f>E1088*(SQRT($C$2/C1088))</f>
        <v>151.27919566519836</v>
      </c>
      <c r="E1088">
        <v>120</v>
      </c>
      <c r="F1088">
        <v>1215</v>
      </c>
      <c r="G1088">
        <v>1000</v>
      </c>
      <c r="H1088">
        <f>CONVERT(G1088,"HP","kW")</f>
        <v>745.69987158227025</v>
      </c>
      <c r="I1088">
        <v>0.84699999999999998</v>
      </c>
      <c r="J1088">
        <v>0.96989999999999998</v>
      </c>
      <c r="K1088">
        <v>0.5978</v>
      </c>
      <c r="L1088">
        <v>0.1192</v>
      </c>
      <c r="M1088">
        <v>0.1041</v>
      </c>
      <c r="N1088">
        <f>CONVERT(O1088,"lbf","N")</f>
        <v>8116.2251592043076</v>
      </c>
      <c r="O1088">
        <v>1824.6</v>
      </c>
      <c r="P1088">
        <f t="shared" si="16"/>
        <v>0.87332214765100669</v>
      </c>
    </row>
    <row r="1089" spans="1:16" hidden="1" x14ac:dyDescent="0.25">
      <c r="A1089">
        <v>0</v>
      </c>
      <c r="B1089">
        <v>15000</v>
      </c>
      <c r="C1089">
        <f>1.225 * (1 - 0.00000687559 * B1089) ^ 4.2561</f>
        <v>0.77079726910167001</v>
      </c>
      <c r="D1089">
        <f>E1089*(SQRT($C$2/C1089))</f>
        <v>226.91879349779754</v>
      </c>
      <c r="E1089">
        <v>180</v>
      </c>
      <c r="F1089">
        <v>1215</v>
      </c>
      <c r="G1089">
        <v>1000</v>
      </c>
      <c r="H1089">
        <f>CONVERT(G1089,"HP","kW")</f>
        <v>745.69987158227025</v>
      </c>
      <c r="I1089">
        <v>0.8679</v>
      </c>
      <c r="J1089">
        <v>1.4548000000000001</v>
      </c>
      <c r="K1089">
        <v>0.65629999999999999</v>
      </c>
      <c r="L1089">
        <v>0.1192</v>
      </c>
      <c r="M1089">
        <v>7.1099999999999997E-2</v>
      </c>
      <c r="N1089">
        <f>CONVERT(O1089,"lbf","N")</f>
        <v>5544.2634212606881</v>
      </c>
      <c r="O1089">
        <v>1246.4000000000001</v>
      </c>
      <c r="P1089">
        <f t="shared" si="16"/>
        <v>0.59647651006711411</v>
      </c>
    </row>
    <row r="1090" spans="1:16" hidden="1" x14ac:dyDescent="0.25">
      <c r="A1090">
        <v>0</v>
      </c>
      <c r="B1090">
        <v>15000</v>
      </c>
      <c r="C1090">
        <f>1.225 * (1 - 0.00000687559 * B1090) ^ 4.2561</f>
        <v>0.77079726910167001</v>
      </c>
      <c r="D1090">
        <f>E1090*(SQRT($C$2/C1090))</f>
        <v>302.55839133039672</v>
      </c>
      <c r="E1090">
        <v>240</v>
      </c>
      <c r="F1090">
        <v>1215</v>
      </c>
      <c r="G1090">
        <v>1000</v>
      </c>
      <c r="H1090">
        <f>CONVERT(G1090,"HP","kW")</f>
        <v>745.69987158227025</v>
      </c>
      <c r="I1090">
        <v>0.74619999999999997</v>
      </c>
      <c r="J1090">
        <v>1.9398</v>
      </c>
      <c r="K1090">
        <v>0.73</v>
      </c>
      <c r="L1090">
        <v>0.1192</v>
      </c>
      <c r="M1090">
        <v>4.5900000000000003E-2</v>
      </c>
      <c r="N1090">
        <f>CONVERT(O1090,"lbf","N")</f>
        <v>3575.0357121848642</v>
      </c>
      <c r="O1090">
        <v>803.7</v>
      </c>
      <c r="P1090">
        <f t="shared" si="16"/>
        <v>0.38506711409395977</v>
      </c>
    </row>
    <row r="1091" spans="1:16" hidden="1" x14ac:dyDescent="0.25">
      <c r="A1091">
        <v>0</v>
      </c>
      <c r="B1091">
        <v>15000</v>
      </c>
      <c r="C1091">
        <f>1.225 * (1 - 0.00000687559 * B1091) ^ 4.2561</f>
        <v>0.77079726910167001</v>
      </c>
      <c r="D1091">
        <f>E1091*(SQRT($C$2/C1091))</f>
        <v>0</v>
      </c>
      <c r="E1091">
        <v>0</v>
      </c>
      <c r="F1091">
        <v>1215</v>
      </c>
      <c r="G1091">
        <v>1000</v>
      </c>
      <c r="H1091">
        <f>CONVERT(G1091,"HP","kW")</f>
        <v>745.69987158227025</v>
      </c>
      <c r="I1091">
        <v>0</v>
      </c>
      <c r="J1091">
        <v>0</v>
      </c>
      <c r="K1091">
        <v>0.53400000000000003</v>
      </c>
      <c r="L1091">
        <v>0.1193</v>
      </c>
      <c r="M1091">
        <v>0.23400000000000001</v>
      </c>
      <c r="N1091">
        <f>CONVERT(O1091,"lbf","N")</f>
        <v>18234.594867437369</v>
      </c>
      <c r="O1091">
        <v>4099.3</v>
      </c>
      <c r="P1091">
        <f t="shared" ref="P1091:P1154" si="17">M1091/L1091</f>
        <v>1.9614417435037721</v>
      </c>
    </row>
    <row r="1092" spans="1:16" hidden="1" x14ac:dyDescent="0.25">
      <c r="A1092">
        <v>0</v>
      </c>
      <c r="B1092">
        <v>15000</v>
      </c>
      <c r="C1092">
        <f>1.225 * (1 - 0.00000687559 * B1092) ^ 4.2561</f>
        <v>0.77079726910167001</v>
      </c>
      <c r="D1092">
        <f>E1092*(SQRT($C$2/C1092))</f>
        <v>25.213199277533057</v>
      </c>
      <c r="E1092">
        <v>20</v>
      </c>
      <c r="F1092">
        <v>1215</v>
      </c>
      <c r="G1092">
        <v>1000</v>
      </c>
      <c r="H1092">
        <f>CONVERT(G1092,"HP","kW")</f>
        <v>745.69987158227025</v>
      </c>
      <c r="I1092">
        <v>0.28599999999999998</v>
      </c>
      <c r="J1092">
        <v>0.16159999999999999</v>
      </c>
      <c r="K1092">
        <v>0.54079999999999995</v>
      </c>
      <c r="L1092">
        <v>0.1193</v>
      </c>
      <c r="M1092">
        <v>0.21110000000000001</v>
      </c>
      <c r="N1092">
        <f>CONVERT(O1092,"lbf","N")</f>
        <v>16444.630489456544</v>
      </c>
      <c r="O1092">
        <v>3696.9</v>
      </c>
      <c r="P1092">
        <f t="shared" si="17"/>
        <v>1.7694886839899413</v>
      </c>
    </row>
    <row r="1093" spans="1:16" hidden="1" x14ac:dyDescent="0.25">
      <c r="A1093">
        <v>0</v>
      </c>
      <c r="B1093">
        <v>15000</v>
      </c>
      <c r="C1093">
        <f>1.225 * (1 - 0.00000687559 * B1093) ^ 4.2561</f>
        <v>0.77079726910167001</v>
      </c>
      <c r="D1093">
        <f>E1093*(SQRT($C$2/C1093))</f>
        <v>50.426398555066115</v>
      </c>
      <c r="E1093">
        <v>40</v>
      </c>
      <c r="F1093">
        <v>1215</v>
      </c>
      <c r="G1093">
        <v>1000</v>
      </c>
      <c r="H1093">
        <f>CONVERT(G1093,"HP","kW")</f>
        <v>745.69987158227025</v>
      </c>
      <c r="I1093">
        <v>0.50580000000000003</v>
      </c>
      <c r="J1093">
        <v>0.32329999999999998</v>
      </c>
      <c r="K1093">
        <v>0.54869999999999997</v>
      </c>
      <c r="L1093">
        <v>0.1193</v>
      </c>
      <c r="M1093">
        <v>0.18659999999999999</v>
      </c>
      <c r="N1093">
        <f>CONVERT(O1093,"lbf","N")</f>
        <v>14540.346815963523</v>
      </c>
      <c r="O1093">
        <v>3268.8</v>
      </c>
      <c r="P1093">
        <f t="shared" si="17"/>
        <v>1.5641240569991617</v>
      </c>
    </row>
    <row r="1094" spans="1:16" hidden="1" x14ac:dyDescent="0.25">
      <c r="A1094">
        <v>0</v>
      </c>
      <c r="B1094">
        <v>15000</v>
      </c>
      <c r="C1094">
        <f>1.225 * (1 - 0.00000687559 * B1094) ^ 4.2561</f>
        <v>0.77079726910167001</v>
      </c>
      <c r="D1094">
        <f>E1094*(SQRT($C$2/C1094))</f>
        <v>75.639597832599179</v>
      </c>
      <c r="E1094">
        <v>60</v>
      </c>
      <c r="F1094">
        <v>1215</v>
      </c>
      <c r="G1094">
        <v>1000</v>
      </c>
      <c r="H1094">
        <f>CONVERT(G1094,"HP","kW")</f>
        <v>745.69987158227025</v>
      </c>
      <c r="I1094">
        <v>0.65759999999999996</v>
      </c>
      <c r="J1094">
        <v>0.4849</v>
      </c>
      <c r="K1094">
        <v>0.55800000000000005</v>
      </c>
      <c r="L1094">
        <v>0.1193</v>
      </c>
      <c r="M1094">
        <v>0.16170000000000001</v>
      </c>
      <c r="N1094">
        <f>CONVERT(O1094,"lbf","N")</f>
        <v>12601.367013871471</v>
      </c>
      <c r="O1094">
        <v>2832.9</v>
      </c>
      <c r="P1094">
        <f t="shared" si="17"/>
        <v>1.3554065381391451</v>
      </c>
    </row>
    <row r="1095" spans="1:16" hidden="1" x14ac:dyDescent="0.25">
      <c r="A1095">
        <v>0</v>
      </c>
      <c r="B1095">
        <v>15000</v>
      </c>
      <c r="C1095">
        <f>1.225 * (1 - 0.00000687559 * B1095) ^ 4.2561</f>
        <v>0.77079726910167001</v>
      </c>
      <c r="D1095">
        <f>E1095*(SQRT($C$2/C1095))</f>
        <v>100.85279711013223</v>
      </c>
      <c r="E1095">
        <v>80</v>
      </c>
      <c r="F1095">
        <v>1215</v>
      </c>
      <c r="G1095">
        <v>1000</v>
      </c>
      <c r="H1095">
        <f>CONVERT(G1095,"HP","kW")</f>
        <v>745.69987158227025</v>
      </c>
      <c r="I1095">
        <v>0.75409999999999999</v>
      </c>
      <c r="J1095">
        <v>0.64659999999999995</v>
      </c>
      <c r="K1095">
        <v>0.56910000000000005</v>
      </c>
      <c r="L1095">
        <v>0.1193</v>
      </c>
      <c r="M1095">
        <v>0.1391</v>
      </c>
      <c r="N1095">
        <f>CONVERT(O1095,"lbf","N")</f>
        <v>10838.536787743735</v>
      </c>
      <c r="O1095">
        <v>2436.6</v>
      </c>
      <c r="P1095">
        <f t="shared" si="17"/>
        <v>1.1659681475272423</v>
      </c>
    </row>
    <row r="1096" spans="1:16" hidden="1" x14ac:dyDescent="0.25">
      <c r="A1096">
        <v>0</v>
      </c>
      <c r="B1096">
        <v>15000</v>
      </c>
      <c r="C1096">
        <f>1.225 * (1 - 0.00000687559 * B1096) ^ 4.2561</f>
        <v>0.77079726910167001</v>
      </c>
      <c r="D1096">
        <f>E1096*(SQRT($C$2/C1096))</f>
        <v>126.06599638766529</v>
      </c>
      <c r="E1096">
        <v>100</v>
      </c>
      <c r="F1096">
        <v>1215</v>
      </c>
      <c r="G1096">
        <v>1000</v>
      </c>
      <c r="H1096">
        <f>CONVERT(G1096,"HP","kW")</f>
        <v>745.69987158227025</v>
      </c>
      <c r="I1096">
        <v>0.81289999999999996</v>
      </c>
      <c r="J1096">
        <v>0.80820000000000003</v>
      </c>
      <c r="K1096">
        <v>0.58240000000000003</v>
      </c>
      <c r="L1096">
        <v>0.1193</v>
      </c>
      <c r="M1096">
        <v>0.12</v>
      </c>
      <c r="N1096">
        <f>CONVERT(O1096,"lbf","N")</f>
        <v>9347.0480801468893</v>
      </c>
      <c r="O1096">
        <v>2101.3000000000002</v>
      </c>
      <c r="P1096">
        <f t="shared" si="17"/>
        <v>1.0058675607711651</v>
      </c>
    </row>
    <row r="1097" spans="1:16" hidden="1" x14ac:dyDescent="0.25">
      <c r="A1097">
        <v>0</v>
      </c>
      <c r="B1097">
        <v>15000</v>
      </c>
      <c r="C1097">
        <f>1.225 * (1 - 0.00000687559 * B1097) ^ 4.2561</f>
        <v>0.77079726910167001</v>
      </c>
      <c r="D1097">
        <f>E1097*(SQRT($C$2/C1097))</f>
        <v>176.49239494273141</v>
      </c>
      <c r="E1097">
        <v>140</v>
      </c>
      <c r="F1097">
        <v>1215</v>
      </c>
      <c r="G1097">
        <v>1000</v>
      </c>
      <c r="H1097">
        <f>CONVERT(G1097,"HP","kW")</f>
        <v>745.69987158227025</v>
      </c>
      <c r="I1097">
        <v>0.86529999999999996</v>
      </c>
      <c r="J1097">
        <v>1.1315</v>
      </c>
      <c r="K1097">
        <v>0.61539999999999995</v>
      </c>
      <c r="L1097">
        <v>0.1193</v>
      </c>
      <c r="M1097">
        <v>9.1200000000000003E-2</v>
      </c>
      <c r="N1097">
        <f>CONVERT(O1097,"lbf","N")</f>
        <v>7107.3684968632269</v>
      </c>
      <c r="O1097">
        <v>1597.8</v>
      </c>
      <c r="P1097">
        <f t="shared" si="17"/>
        <v>0.76445934618608546</v>
      </c>
    </row>
    <row r="1098" spans="1:16" hidden="1" x14ac:dyDescent="0.25">
      <c r="A1098">
        <v>0</v>
      </c>
      <c r="B1098">
        <v>15000</v>
      </c>
      <c r="C1098">
        <f>1.225 * (1 - 0.00000687559 * B1098) ^ 4.2561</f>
        <v>0.77079726910167001</v>
      </c>
      <c r="D1098">
        <f>E1098*(SQRT($C$2/C1098))</f>
        <v>201.70559422026446</v>
      </c>
      <c r="E1098">
        <v>160</v>
      </c>
      <c r="F1098">
        <v>1215</v>
      </c>
      <c r="G1098">
        <v>1000</v>
      </c>
      <c r="H1098">
        <f>CONVERT(G1098,"HP","kW")</f>
        <v>745.69987158227025</v>
      </c>
      <c r="I1098">
        <v>0.87209999999999999</v>
      </c>
      <c r="J1098">
        <v>1.2931999999999999</v>
      </c>
      <c r="K1098">
        <v>0.63490000000000002</v>
      </c>
      <c r="L1098">
        <v>0.1193</v>
      </c>
      <c r="M1098">
        <v>8.0500000000000002E-2</v>
      </c>
      <c r="N1098">
        <f>CONVERT(O1098,"lbf","N")</f>
        <v>6267.0994337405191</v>
      </c>
      <c r="O1098">
        <v>1408.9</v>
      </c>
      <c r="P1098">
        <f t="shared" si="17"/>
        <v>0.67476948868398989</v>
      </c>
    </row>
    <row r="1099" spans="1:16" hidden="1" x14ac:dyDescent="0.25">
      <c r="A1099">
        <v>0</v>
      </c>
      <c r="B1099">
        <v>15000</v>
      </c>
      <c r="C1099">
        <f>1.225 * (1 - 0.00000687559 * B1099) ^ 4.2561</f>
        <v>0.77079726910167001</v>
      </c>
      <c r="D1099">
        <f>E1099*(SQRT($C$2/C1099))</f>
        <v>252.13199277533059</v>
      </c>
      <c r="E1099">
        <v>200</v>
      </c>
      <c r="F1099">
        <v>1215</v>
      </c>
      <c r="G1099">
        <v>1000</v>
      </c>
      <c r="H1099">
        <f>CONVERT(G1099,"HP","kW")</f>
        <v>745.69987158227025</v>
      </c>
      <c r="I1099">
        <v>0.85040000000000004</v>
      </c>
      <c r="J1099">
        <v>1.6165</v>
      </c>
      <c r="K1099">
        <v>0.6794</v>
      </c>
      <c r="L1099">
        <v>0.1193</v>
      </c>
      <c r="M1099">
        <v>6.2700000000000006E-2</v>
      </c>
      <c r="N1099">
        <f>CONVERT(O1099,"lbf","N")</f>
        <v>4889.0403773328153</v>
      </c>
      <c r="O1099">
        <v>1099.0999999999999</v>
      </c>
      <c r="P1099">
        <f t="shared" si="17"/>
        <v>0.52556580050293378</v>
      </c>
    </row>
    <row r="1100" spans="1:16" hidden="1" x14ac:dyDescent="0.25">
      <c r="A1100">
        <v>0</v>
      </c>
      <c r="B1100">
        <v>15000</v>
      </c>
      <c r="C1100">
        <f>1.225 * (1 - 0.00000687559 * B1100) ^ 4.2561</f>
        <v>0.77079726910167001</v>
      </c>
      <c r="D1100">
        <f>E1100*(SQRT($C$2/C1100))</f>
        <v>277.34519205286364</v>
      </c>
      <c r="E1100">
        <v>220</v>
      </c>
      <c r="F1100">
        <v>1215</v>
      </c>
      <c r="G1100">
        <v>1000</v>
      </c>
      <c r="H1100">
        <f>CONVERT(G1100,"HP","kW")</f>
        <v>745.69987158227025</v>
      </c>
      <c r="I1100">
        <v>0.81189999999999996</v>
      </c>
      <c r="J1100">
        <v>1.7781</v>
      </c>
      <c r="K1100">
        <v>0.70399999999999996</v>
      </c>
      <c r="L1100">
        <v>0.1193</v>
      </c>
      <c r="M1100">
        <v>5.45E-2</v>
      </c>
      <c r="N1100">
        <f>CONVERT(O1100,"lbf","N")</f>
        <v>4243.6034209585168</v>
      </c>
      <c r="O1100">
        <v>954</v>
      </c>
      <c r="P1100">
        <f t="shared" si="17"/>
        <v>0.45683151718357079</v>
      </c>
    </row>
    <row r="1101" spans="1:16" hidden="1" x14ac:dyDescent="0.25">
      <c r="A1101">
        <v>0</v>
      </c>
      <c r="B1101">
        <v>15000</v>
      </c>
      <c r="C1101">
        <f>1.225 * (1 - 0.00000687559 * B1101) ^ 4.2561</f>
        <v>0.77079726910167001</v>
      </c>
      <c r="D1101">
        <f>E1101*(SQRT($C$2/C1101))</f>
        <v>327.77159060792974</v>
      </c>
      <c r="E1101">
        <v>260</v>
      </c>
      <c r="F1101">
        <v>1215</v>
      </c>
      <c r="G1101">
        <v>1000</v>
      </c>
      <c r="H1101">
        <f>CONVERT(G1101,"HP","kW")</f>
        <v>745.69987158227025</v>
      </c>
      <c r="I1101">
        <v>0.65780000000000005</v>
      </c>
      <c r="J1101">
        <v>2.1013999999999999</v>
      </c>
      <c r="K1101">
        <v>0.75729999999999997</v>
      </c>
      <c r="L1101">
        <v>0.1193</v>
      </c>
      <c r="M1101">
        <v>3.73E-2</v>
      </c>
      <c r="N1101">
        <f>CONVERT(O1101,"lbf","N")</f>
        <v>2909.1369363803674</v>
      </c>
      <c r="O1101">
        <v>654</v>
      </c>
      <c r="P1101">
        <f t="shared" si="17"/>
        <v>0.31265716680637046</v>
      </c>
    </row>
    <row r="1102" spans="1:16" hidden="1" x14ac:dyDescent="0.25">
      <c r="A1102">
        <v>0</v>
      </c>
      <c r="B1102">
        <v>10000</v>
      </c>
      <c r="C1102">
        <f>1.225 * (1 - 0.00000687559 * B1102) ^ 4.2561</f>
        <v>0.90462252368600637</v>
      </c>
      <c r="D1102">
        <f>E1102*(SQRT($C$2/C1102))</f>
        <v>232.73641570654067</v>
      </c>
      <c r="E1102">
        <v>200</v>
      </c>
      <c r="F1102">
        <v>1150</v>
      </c>
      <c r="G1102">
        <v>1000</v>
      </c>
      <c r="H1102">
        <f>CONVERT(G1102,"HP","kW")</f>
        <v>745.69987158227025</v>
      </c>
      <c r="I1102">
        <v>0.86929999999999996</v>
      </c>
      <c r="J1102">
        <v>1.5765</v>
      </c>
      <c r="K1102">
        <v>0.62560000000000004</v>
      </c>
      <c r="L1102">
        <v>0.1197</v>
      </c>
      <c r="M1102">
        <v>6.6000000000000003E-2</v>
      </c>
      <c r="N1102">
        <f>CONVERT(O1102,"lbf","N")</f>
        <v>5414.3753500950816</v>
      </c>
      <c r="O1102">
        <v>1217.2</v>
      </c>
      <c r="P1102">
        <f t="shared" si="17"/>
        <v>0.55137844611528819</v>
      </c>
    </row>
    <row r="1103" spans="1:16" hidden="1" x14ac:dyDescent="0.25">
      <c r="A1103">
        <v>0</v>
      </c>
      <c r="B1103">
        <v>10000</v>
      </c>
      <c r="C1103">
        <f>1.225 * (1 - 0.00000687559 * B1103) ^ 4.2561</f>
        <v>0.90462252368600637</v>
      </c>
      <c r="D1103">
        <f>E1103*(SQRT($C$2/C1103))</f>
        <v>279.28369884784883</v>
      </c>
      <c r="E1103">
        <v>240</v>
      </c>
      <c r="F1103">
        <v>1150</v>
      </c>
      <c r="G1103">
        <v>1000</v>
      </c>
      <c r="H1103">
        <f>CONVERT(G1103,"HP","kW")</f>
        <v>745.69987158227025</v>
      </c>
      <c r="I1103">
        <v>0.83109999999999995</v>
      </c>
      <c r="J1103">
        <v>1.8917999999999999</v>
      </c>
      <c r="K1103">
        <v>0.67079999999999995</v>
      </c>
      <c r="L1103">
        <v>0.1197</v>
      </c>
      <c r="M1103">
        <v>5.2600000000000001E-2</v>
      </c>
      <c r="N1103">
        <f>CONVERT(O1103,"lbf","N")</f>
        <v>4313.4405003181073</v>
      </c>
      <c r="O1103">
        <v>969.7</v>
      </c>
      <c r="P1103">
        <f t="shared" si="17"/>
        <v>0.43943191311612367</v>
      </c>
    </row>
    <row r="1104" spans="1:16" hidden="1" x14ac:dyDescent="0.25">
      <c r="A1104">
        <v>0</v>
      </c>
      <c r="B1104">
        <v>10000</v>
      </c>
      <c r="C1104">
        <f>1.225 * (1 - 0.00000687559 * B1104) ^ 4.2561</f>
        <v>0.90462252368600637</v>
      </c>
      <c r="D1104">
        <f>E1104*(SQRT($C$2/C1104))</f>
        <v>209.4627741358866</v>
      </c>
      <c r="E1104">
        <v>180</v>
      </c>
      <c r="F1104">
        <v>1150</v>
      </c>
      <c r="G1104">
        <v>1000</v>
      </c>
      <c r="H1104">
        <f>CONVERT(G1104,"HP","kW")</f>
        <v>745.69987158227025</v>
      </c>
      <c r="I1104">
        <v>0.87519999999999998</v>
      </c>
      <c r="J1104">
        <v>1.4188000000000001</v>
      </c>
      <c r="K1104">
        <v>0.60509999999999997</v>
      </c>
      <c r="L1104">
        <v>0.1198</v>
      </c>
      <c r="M1104">
        <v>7.3899999999999993E-2</v>
      </c>
      <c r="N1104">
        <f>CONVERT(O1104,"lbf","N")</f>
        <v>6056.2537291771714</v>
      </c>
      <c r="O1104">
        <v>1361.5</v>
      </c>
      <c r="P1104">
        <f t="shared" si="17"/>
        <v>0.61686143572621033</v>
      </c>
    </row>
    <row r="1105" spans="1:16" hidden="1" x14ac:dyDescent="0.25">
      <c r="A1105">
        <v>0</v>
      </c>
      <c r="B1105">
        <v>10000</v>
      </c>
      <c r="C1105">
        <f>1.225 * (1 - 0.00000687559 * B1105) ^ 4.2561</f>
        <v>0.90462252368600637</v>
      </c>
      <c r="D1105">
        <f>E1105*(SQRT($C$2/C1105))</f>
        <v>302.55734041850286</v>
      </c>
      <c r="E1105">
        <v>260</v>
      </c>
      <c r="F1105">
        <v>1150</v>
      </c>
      <c r="G1105">
        <v>1000</v>
      </c>
      <c r="H1105">
        <f>CONVERT(G1105,"HP","kW")</f>
        <v>745.69987158227025</v>
      </c>
      <c r="I1105">
        <v>0.79059999999999997</v>
      </c>
      <c r="J1105">
        <v>2.0493999999999999</v>
      </c>
      <c r="K1105">
        <v>0.69520000000000004</v>
      </c>
      <c r="L1105">
        <v>0.1198</v>
      </c>
      <c r="M1105">
        <v>4.6199999999999998E-2</v>
      </c>
      <c r="N1105">
        <f>CONVERT(O1105,"lbf","N")</f>
        <v>3787.6607053943158</v>
      </c>
      <c r="O1105">
        <v>851.5</v>
      </c>
      <c r="P1105">
        <f t="shared" si="17"/>
        <v>0.38564273789649411</v>
      </c>
    </row>
    <row r="1106" spans="1:16" hidden="1" x14ac:dyDescent="0.25">
      <c r="A1106">
        <v>0</v>
      </c>
      <c r="B1106">
        <v>10000</v>
      </c>
      <c r="C1106">
        <f>1.225 * (1 - 0.00000687559 * B1106) ^ 4.2561</f>
        <v>0.90462252368600637</v>
      </c>
      <c r="D1106">
        <f>E1106*(SQRT($C$2/C1106))</f>
        <v>0</v>
      </c>
      <c r="E1106">
        <v>0</v>
      </c>
      <c r="F1106">
        <v>1150</v>
      </c>
      <c r="G1106">
        <v>1000</v>
      </c>
      <c r="H1106">
        <f>CONVERT(G1106,"HP","kW")</f>
        <v>745.69987158227025</v>
      </c>
      <c r="I1106">
        <v>0</v>
      </c>
      <c r="J1106">
        <v>0</v>
      </c>
      <c r="K1106">
        <v>0.496</v>
      </c>
      <c r="L1106">
        <v>0.11990000000000001</v>
      </c>
      <c r="M1106">
        <v>0.2356</v>
      </c>
      <c r="N1106">
        <f>CONVERT(O1106,"lbf","N")</f>
        <v>19300.833588615311</v>
      </c>
      <c r="O1106">
        <v>4339</v>
      </c>
      <c r="P1106">
        <f t="shared" si="17"/>
        <v>1.9649708090075062</v>
      </c>
    </row>
    <row r="1107" spans="1:16" hidden="1" x14ac:dyDescent="0.25">
      <c r="A1107">
        <v>0</v>
      </c>
      <c r="B1107">
        <v>10000</v>
      </c>
      <c r="C1107">
        <f>1.225 * (1 - 0.00000687559 * B1107) ^ 4.2561</f>
        <v>0.90462252368600637</v>
      </c>
      <c r="D1107">
        <f>E1107*(SQRT($C$2/C1107))</f>
        <v>69.820924711962206</v>
      </c>
      <c r="E1107">
        <v>60</v>
      </c>
      <c r="F1107">
        <v>1150</v>
      </c>
      <c r="G1107">
        <v>1000</v>
      </c>
      <c r="H1107">
        <f>CONVERT(G1107,"HP","kW")</f>
        <v>745.69987158227025</v>
      </c>
      <c r="I1107">
        <v>0.64870000000000005</v>
      </c>
      <c r="J1107">
        <v>0.47289999999999999</v>
      </c>
      <c r="K1107">
        <v>0.51759999999999995</v>
      </c>
      <c r="L1107">
        <v>0.11990000000000001</v>
      </c>
      <c r="M1107">
        <v>0.16439999999999999</v>
      </c>
      <c r="N1107">
        <f>CONVERT(O1107,"lbf","N")</f>
        <v>13467.880584524215</v>
      </c>
      <c r="O1107">
        <v>3027.7</v>
      </c>
      <c r="P1107">
        <f t="shared" si="17"/>
        <v>1.3711426188490408</v>
      </c>
    </row>
    <row r="1108" spans="1:16" hidden="1" x14ac:dyDescent="0.25">
      <c r="A1108">
        <v>0</v>
      </c>
      <c r="B1108">
        <v>10000</v>
      </c>
      <c r="C1108">
        <f>1.225 * (1 - 0.00000687559 * B1108) ^ 4.2561</f>
        <v>0.90462252368600637</v>
      </c>
      <c r="D1108">
        <f>E1108*(SQRT($C$2/C1108))</f>
        <v>93.09456628261627</v>
      </c>
      <c r="E1108">
        <v>80</v>
      </c>
      <c r="F1108">
        <v>1150</v>
      </c>
      <c r="G1108">
        <v>1000</v>
      </c>
      <c r="H1108">
        <f>CONVERT(G1108,"HP","kW")</f>
        <v>745.69987158227025</v>
      </c>
      <c r="I1108">
        <v>0.74670000000000003</v>
      </c>
      <c r="J1108">
        <v>0.63060000000000005</v>
      </c>
      <c r="K1108">
        <v>0.52749999999999997</v>
      </c>
      <c r="L1108">
        <v>0.11990000000000001</v>
      </c>
      <c r="M1108">
        <v>0.1419</v>
      </c>
      <c r="N1108">
        <f>CONVERT(O1108,"lbf","N")</f>
        <v>11626.761657967896</v>
      </c>
      <c r="O1108">
        <v>2613.8000000000002</v>
      </c>
      <c r="P1108">
        <f t="shared" si="17"/>
        <v>1.1834862385321101</v>
      </c>
    </row>
    <row r="1109" spans="1:16" hidden="1" x14ac:dyDescent="0.25">
      <c r="A1109">
        <v>0</v>
      </c>
      <c r="B1109">
        <v>10000</v>
      </c>
      <c r="C1109">
        <f>1.225 * (1 - 0.00000687559 * B1109) ^ 4.2561</f>
        <v>0.90462252368600637</v>
      </c>
      <c r="D1109">
        <f>E1109*(SQRT($C$2/C1109))</f>
        <v>116.36820785327033</v>
      </c>
      <c r="E1109">
        <v>100</v>
      </c>
      <c r="F1109">
        <v>1150</v>
      </c>
      <c r="G1109">
        <v>1000</v>
      </c>
      <c r="H1109">
        <f>CONVERT(G1109,"HP","kW")</f>
        <v>745.69987158227025</v>
      </c>
      <c r="I1109">
        <v>0.8075</v>
      </c>
      <c r="J1109">
        <v>0.78820000000000001</v>
      </c>
      <c r="K1109">
        <v>0.5393</v>
      </c>
      <c r="L1109">
        <v>0.11990000000000001</v>
      </c>
      <c r="M1109">
        <v>0.1229</v>
      </c>
      <c r="N1109">
        <f>CONVERT(O1109,"lbf","N")</f>
        <v>10058.76353858857</v>
      </c>
      <c r="O1109">
        <v>2261.3000000000002</v>
      </c>
      <c r="P1109">
        <f t="shared" si="17"/>
        <v>1.025020850708924</v>
      </c>
    </row>
    <row r="1110" spans="1:16" hidden="1" x14ac:dyDescent="0.25">
      <c r="A1110">
        <v>0</v>
      </c>
      <c r="B1110">
        <v>10000</v>
      </c>
      <c r="C1110">
        <f>1.225 * (1 - 0.00000687559 * B1110) ^ 4.2561</f>
        <v>0.90462252368600637</v>
      </c>
      <c r="D1110">
        <f>E1110*(SQRT($C$2/C1110))</f>
        <v>162.91549099457848</v>
      </c>
      <c r="E1110">
        <v>140</v>
      </c>
      <c r="F1110">
        <v>1150</v>
      </c>
      <c r="G1110">
        <v>1000</v>
      </c>
      <c r="H1110">
        <f>CONVERT(G1110,"HP","kW")</f>
        <v>745.69987158227025</v>
      </c>
      <c r="I1110">
        <v>0.8639</v>
      </c>
      <c r="J1110">
        <v>1.1034999999999999</v>
      </c>
      <c r="K1110">
        <v>0.56859999999999999</v>
      </c>
      <c r="L1110">
        <v>0.11990000000000001</v>
      </c>
      <c r="M1110">
        <v>9.3799999999999994E-2</v>
      </c>
      <c r="N1110">
        <f>CONVERT(O1110,"lbf","N")</f>
        <v>7686.5269511701445</v>
      </c>
      <c r="O1110">
        <v>1728</v>
      </c>
      <c r="P1110">
        <f t="shared" si="17"/>
        <v>0.78231859883236021</v>
      </c>
    </row>
    <row r="1111" spans="1:16" hidden="1" x14ac:dyDescent="0.25">
      <c r="A1111">
        <v>0</v>
      </c>
      <c r="B1111">
        <v>10000</v>
      </c>
      <c r="C1111">
        <f>1.225 * (1 - 0.00000687559 * B1111) ^ 4.2561</f>
        <v>0.90462252368600637</v>
      </c>
      <c r="D1111">
        <f>E1111*(SQRT($C$2/C1111))</f>
        <v>186.18913256523254</v>
      </c>
      <c r="E1111">
        <v>160</v>
      </c>
      <c r="F1111">
        <v>1150</v>
      </c>
      <c r="G1111">
        <v>1000</v>
      </c>
      <c r="H1111">
        <f>CONVERT(G1111,"HP","kW")</f>
        <v>745.69987158227025</v>
      </c>
      <c r="I1111">
        <v>0.87350000000000005</v>
      </c>
      <c r="J1111">
        <v>1.2612000000000001</v>
      </c>
      <c r="K1111">
        <v>0.58599999999999997</v>
      </c>
      <c r="L1111">
        <v>0.11990000000000001</v>
      </c>
      <c r="M1111">
        <v>8.3000000000000004E-2</v>
      </c>
      <c r="N1111">
        <f>CONVERT(O1111,"lbf","N")</f>
        <v>6799.9963832487265</v>
      </c>
      <c r="O1111">
        <v>1528.7</v>
      </c>
      <c r="P1111">
        <f t="shared" si="17"/>
        <v>0.6922435362802335</v>
      </c>
    </row>
    <row r="1112" spans="1:16" hidden="1" x14ac:dyDescent="0.25">
      <c r="A1112">
        <v>0</v>
      </c>
      <c r="B1112">
        <v>10000</v>
      </c>
      <c r="C1112">
        <f>1.225 * (1 - 0.00000687559 * B1112) ^ 4.2561</f>
        <v>0.90462252368600637</v>
      </c>
      <c r="D1112">
        <f>E1112*(SQRT($C$2/C1112))</f>
        <v>256.01005727719473</v>
      </c>
      <c r="E1112">
        <v>220</v>
      </c>
      <c r="F1112">
        <v>1150</v>
      </c>
      <c r="G1112">
        <v>1000</v>
      </c>
      <c r="H1112">
        <f>CONVERT(G1112,"HP","kW")</f>
        <v>745.69987158227025</v>
      </c>
      <c r="I1112">
        <v>0.85599999999999998</v>
      </c>
      <c r="J1112">
        <v>1.7341</v>
      </c>
      <c r="K1112">
        <v>0.64759999999999995</v>
      </c>
      <c r="L1112">
        <v>0.11990000000000001</v>
      </c>
      <c r="M1112">
        <v>5.9200000000000003E-2</v>
      </c>
      <c r="N1112">
        <f>CONVERT(O1112,"lbf","N")</f>
        <v>4846.7822719878404</v>
      </c>
      <c r="O1112">
        <v>1089.5999999999999</v>
      </c>
      <c r="P1112">
        <f t="shared" si="17"/>
        <v>0.493744787322769</v>
      </c>
    </row>
    <row r="1113" spans="1:16" hidden="1" x14ac:dyDescent="0.25">
      <c r="A1113">
        <v>0</v>
      </c>
      <c r="B1113">
        <v>10000</v>
      </c>
      <c r="C1113">
        <f>1.225 * (1 - 0.00000687559 * B1113) ^ 4.2561</f>
        <v>0.90462252368600637</v>
      </c>
      <c r="D1113">
        <f>E1113*(SQRT($C$2/C1113))</f>
        <v>23.273641570654068</v>
      </c>
      <c r="E1113">
        <v>20</v>
      </c>
      <c r="F1113">
        <v>1150</v>
      </c>
      <c r="G1113">
        <v>1000</v>
      </c>
      <c r="H1113">
        <f>CONVERT(G1113,"HP","kW")</f>
        <v>745.69987158227025</v>
      </c>
      <c r="I1113">
        <v>0.28000000000000003</v>
      </c>
      <c r="J1113">
        <v>0.15759999999999999</v>
      </c>
      <c r="K1113">
        <v>0.50219999999999998</v>
      </c>
      <c r="L1113">
        <v>0.12</v>
      </c>
      <c r="M1113">
        <v>0.21310000000000001</v>
      </c>
      <c r="N1113">
        <f>CONVERT(O1113,"lbf","N")</f>
        <v>17439.697664790314</v>
      </c>
      <c r="O1113">
        <v>3920.6</v>
      </c>
      <c r="P1113">
        <f t="shared" si="17"/>
        <v>1.7758333333333336</v>
      </c>
    </row>
    <row r="1114" spans="1:16" hidden="1" x14ac:dyDescent="0.25">
      <c r="A1114">
        <v>0</v>
      </c>
      <c r="B1114">
        <v>10000</v>
      </c>
      <c r="C1114">
        <f>1.225 * (1 - 0.00000687559 * B1114) ^ 4.2561</f>
        <v>0.90462252368600637</v>
      </c>
      <c r="D1114">
        <f>E1114*(SQRT($C$2/C1114))</f>
        <v>46.547283141308135</v>
      </c>
      <c r="E1114">
        <v>40</v>
      </c>
      <c r="F1114">
        <v>1150</v>
      </c>
      <c r="G1114">
        <v>1000</v>
      </c>
      <c r="H1114">
        <f>CONVERT(G1114,"HP","kW")</f>
        <v>745.69987158227025</v>
      </c>
      <c r="I1114">
        <v>0.49669999999999997</v>
      </c>
      <c r="J1114">
        <v>0.31530000000000002</v>
      </c>
      <c r="K1114">
        <v>0.50929999999999997</v>
      </c>
      <c r="L1114">
        <v>0.12</v>
      </c>
      <c r="M1114">
        <v>0.189</v>
      </c>
      <c r="N1114">
        <f>CONVERT(O1114,"lbf","N")</f>
        <v>15467.801022745338</v>
      </c>
      <c r="O1114">
        <v>3477.3</v>
      </c>
      <c r="P1114">
        <f t="shared" si="17"/>
        <v>1.5750000000000002</v>
      </c>
    </row>
    <row r="1115" spans="1:16" hidden="1" x14ac:dyDescent="0.25">
      <c r="A1115">
        <v>0</v>
      </c>
      <c r="B1115">
        <v>10000</v>
      </c>
      <c r="C1115">
        <f>1.225 * (1 - 0.00000687559 * B1115) ^ 4.2561</f>
        <v>0.90462252368600637</v>
      </c>
      <c r="D1115">
        <f>E1115*(SQRT($C$2/C1115))</f>
        <v>139.64184942392441</v>
      </c>
      <c r="E1115">
        <v>120</v>
      </c>
      <c r="F1115">
        <v>1150</v>
      </c>
      <c r="G1115">
        <v>1000</v>
      </c>
      <c r="H1115">
        <f>CONVERT(G1115,"HP","kW")</f>
        <v>745.69987158227025</v>
      </c>
      <c r="I1115">
        <v>0.84360000000000002</v>
      </c>
      <c r="J1115">
        <v>0.94589999999999996</v>
      </c>
      <c r="K1115">
        <v>0.55300000000000005</v>
      </c>
      <c r="L1115">
        <v>0.12</v>
      </c>
      <c r="M1115">
        <v>0.107</v>
      </c>
      <c r="N1115">
        <f>CONVERT(O1115,"lbf","N")</f>
        <v>8757.213893963346</v>
      </c>
      <c r="O1115">
        <v>1968.7</v>
      </c>
      <c r="P1115">
        <f t="shared" si="17"/>
        <v>0.89166666666666672</v>
      </c>
    </row>
    <row r="1116" spans="1:16" hidden="1" x14ac:dyDescent="0.25">
      <c r="A1116">
        <v>0</v>
      </c>
      <c r="B1116">
        <v>5000</v>
      </c>
      <c r="C1116">
        <f>1.225 * (1 - 0.00000687559 * B1116) ^ 4.2561</f>
        <v>1.0555380742846066</v>
      </c>
      <c r="D1116">
        <f>E1116*(SQRT($C$2/C1116))</f>
        <v>172.3657904487294</v>
      </c>
      <c r="E1116">
        <v>160</v>
      </c>
      <c r="F1116">
        <v>987</v>
      </c>
      <c r="G1116">
        <v>750</v>
      </c>
      <c r="H1116">
        <f>CONVERT(G1116,"HP","kW")</f>
        <v>559.27490368670271</v>
      </c>
      <c r="I1116">
        <v>0.87949999999999995</v>
      </c>
      <c r="J1116">
        <v>1.3604000000000001</v>
      </c>
      <c r="K1116">
        <v>0.50390000000000001</v>
      </c>
      <c r="L1116">
        <v>0.12180000000000001</v>
      </c>
      <c r="M1116">
        <v>7.8700000000000006E-2</v>
      </c>
      <c r="N1116">
        <f>CONVERT(O1116,"lbf","N")</f>
        <v>5547.3771763913692</v>
      </c>
      <c r="O1116">
        <v>1247.0999999999999</v>
      </c>
      <c r="P1116">
        <f t="shared" si="17"/>
        <v>0.64614121510673239</v>
      </c>
    </row>
    <row r="1117" spans="1:16" hidden="1" x14ac:dyDescent="0.25">
      <c r="A1117">
        <v>0</v>
      </c>
      <c r="B1117">
        <v>5000</v>
      </c>
      <c r="C1117">
        <f>1.225 * (1 - 0.00000687559 * B1117) ^ 4.2561</f>
        <v>1.0555380742846066</v>
      </c>
      <c r="D1117">
        <f>E1117*(SQRT($C$2/C1117))</f>
        <v>193.91151425482059</v>
      </c>
      <c r="E1117">
        <v>180</v>
      </c>
      <c r="F1117">
        <v>987</v>
      </c>
      <c r="G1117">
        <v>750</v>
      </c>
      <c r="H1117">
        <f>CONVERT(G1117,"HP","kW")</f>
        <v>559.27490368670271</v>
      </c>
      <c r="I1117">
        <v>0.87890000000000001</v>
      </c>
      <c r="J1117">
        <v>1.5304</v>
      </c>
      <c r="K1117">
        <v>0.52210000000000001</v>
      </c>
      <c r="L1117">
        <v>0.12180000000000001</v>
      </c>
      <c r="M1117">
        <v>6.9900000000000004E-2</v>
      </c>
      <c r="N1117">
        <f>CONVERT(O1117,"lbf","N")</f>
        <v>4927.2950832240567</v>
      </c>
      <c r="O1117">
        <v>1107.7</v>
      </c>
      <c r="P1117">
        <f t="shared" si="17"/>
        <v>0.57389162561576357</v>
      </c>
    </row>
    <row r="1118" spans="1:16" hidden="1" x14ac:dyDescent="0.25">
      <c r="A1118">
        <v>0</v>
      </c>
      <c r="B1118">
        <v>5000</v>
      </c>
      <c r="C1118">
        <f>1.225 * (1 - 0.00000687559 * B1118) ^ 4.2561</f>
        <v>1.0555380742846066</v>
      </c>
      <c r="D1118">
        <f>E1118*(SQRT($C$2/C1118))</f>
        <v>215.45723806091175</v>
      </c>
      <c r="E1118">
        <v>200</v>
      </c>
      <c r="F1118">
        <v>987</v>
      </c>
      <c r="G1118">
        <v>750</v>
      </c>
      <c r="H1118">
        <f>CONVERT(G1118,"HP","kW")</f>
        <v>559.27490368670271</v>
      </c>
      <c r="I1118">
        <v>0.871</v>
      </c>
      <c r="J1118">
        <v>1.7004999999999999</v>
      </c>
      <c r="K1118">
        <v>0.54179999999999995</v>
      </c>
      <c r="L1118">
        <v>0.12180000000000001</v>
      </c>
      <c r="M1118">
        <v>6.2399999999999997E-2</v>
      </c>
      <c r="N1118">
        <f>CONVERT(O1118,"lbf","N")</f>
        <v>4394.8429558773742</v>
      </c>
      <c r="O1118">
        <v>988</v>
      </c>
      <c r="P1118">
        <f t="shared" si="17"/>
        <v>0.51231527093596052</v>
      </c>
    </row>
    <row r="1119" spans="1:16" hidden="1" x14ac:dyDescent="0.25">
      <c r="A1119">
        <v>0</v>
      </c>
      <c r="B1119">
        <v>5000</v>
      </c>
      <c r="C1119">
        <f>1.225 * (1 - 0.00000687559 * B1119) ^ 4.2561</f>
        <v>1.0555380742846066</v>
      </c>
      <c r="D1119">
        <f>E1119*(SQRT($C$2/C1119))</f>
        <v>237.00296186700291</v>
      </c>
      <c r="E1119">
        <v>220</v>
      </c>
      <c r="F1119">
        <v>987</v>
      </c>
      <c r="G1119">
        <v>750</v>
      </c>
      <c r="H1119">
        <f>CONVERT(G1119,"HP","kW")</f>
        <v>559.27490368670271</v>
      </c>
      <c r="I1119">
        <v>0.85580000000000001</v>
      </c>
      <c r="J1119">
        <v>1.8705000000000001</v>
      </c>
      <c r="K1119">
        <v>0.56269999999999998</v>
      </c>
      <c r="L1119">
        <v>0.12180000000000001</v>
      </c>
      <c r="M1119">
        <v>5.57E-2</v>
      </c>
      <c r="N1119">
        <f>CONVERT(O1119,"lbf","N")</f>
        <v>3926.0003976289177</v>
      </c>
      <c r="O1119">
        <v>882.6</v>
      </c>
      <c r="P1119">
        <f t="shared" si="17"/>
        <v>0.45730706075533661</v>
      </c>
    </row>
    <row r="1120" spans="1:16" hidden="1" x14ac:dyDescent="0.25">
      <c r="A1120">
        <v>0</v>
      </c>
      <c r="B1120">
        <v>5000</v>
      </c>
      <c r="C1120">
        <f>1.225 * (1 - 0.00000687559 * B1120) ^ 4.2561</f>
        <v>1.0555380742846066</v>
      </c>
      <c r="D1120">
        <f>E1120*(SQRT($C$2/C1120))</f>
        <v>258.5486856730941</v>
      </c>
      <c r="E1120">
        <v>240</v>
      </c>
      <c r="F1120">
        <v>987</v>
      </c>
      <c r="G1120">
        <v>750</v>
      </c>
      <c r="H1120">
        <f>CONVERT(G1120,"HP","kW")</f>
        <v>559.27490368670271</v>
      </c>
      <c r="I1120">
        <v>0.83240000000000003</v>
      </c>
      <c r="J1120">
        <v>2.0406</v>
      </c>
      <c r="K1120">
        <v>0.5847</v>
      </c>
      <c r="L1120">
        <v>0.12180000000000001</v>
      </c>
      <c r="M1120">
        <v>4.9700000000000001E-2</v>
      </c>
      <c r="N1120">
        <f>CONVERT(O1120,"lbf","N")</f>
        <v>3500.3055890484875</v>
      </c>
      <c r="O1120">
        <v>786.9</v>
      </c>
      <c r="P1120">
        <f t="shared" si="17"/>
        <v>0.40804597701149425</v>
      </c>
    </row>
    <row r="1121" spans="1:16" hidden="1" x14ac:dyDescent="0.25">
      <c r="A1121">
        <v>0</v>
      </c>
      <c r="B1121">
        <v>5000</v>
      </c>
      <c r="C1121">
        <f>1.225 * (1 - 0.00000687559 * B1121) ^ 4.2561</f>
        <v>1.0555380742846066</v>
      </c>
      <c r="D1121">
        <f>E1121*(SQRT($C$2/C1121))</f>
        <v>0</v>
      </c>
      <c r="E1121">
        <v>0</v>
      </c>
      <c r="F1121">
        <v>987</v>
      </c>
      <c r="G1121">
        <v>750</v>
      </c>
      <c r="H1121">
        <f>CONVERT(G1121,"HP","kW")</f>
        <v>559.27490368670271</v>
      </c>
      <c r="I1121">
        <v>0</v>
      </c>
      <c r="J1121">
        <v>0</v>
      </c>
      <c r="K1121">
        <v>0.41799999999999998</v>
      </c>
      <c r="L1121">
        <v>0.12189999999999999</v>
      </c>
      <c r="M1121">
        <v>0.23810000000000001</v>
      </c>
      <c r="N1121">
        <f>CONVERT(O1121,"lbf","N")</f>
        <v>16758.674935493935</v>
      </c>
      <c r="O1121">
        <v>3767.5</v>
      </c>
      <c r="P1121">
        <f t="shared" si="17"/>
        <v>1.9532403609515998</v>
      </c>
    </row>
    <row r="1122" spans="1:16" hidden="1" x14ac:dyDescent="0.25">
      <c r="A1122">
        <v>0</v>
      </c>
      <c r="B1122">
        <v>5000</v>
      </c>
      <c r="C1122">
        <f>1.225 * (1 - 0.00000687559 * B1122) ^ 4.2561</f>
        <v>1.0555380742846066</v>
      </c>
      <c r="D1122">
        <f>E1122*(SQRT($C$2/C1122))</f>
        <v>21.545723806091175</v>
      </c>
      <c r="E1122">
        <v>20</v>
      </c>
      <c r="F1122">
        <v>987</v>
      </c>
      <c r="G1122">
        <v>750</v>
      </c>
      <c r="H1122">
        <f>CONVERT(G1122,"HP","kW")</f>
        <v>559.27490368670271</v>
      </c>
      <c r="I1122">
        <v>0.29799999999999999</v>
      </c>
      <c r="J1122">
        <v>0.17</v>
      </c>
      <c r="K1122">
        <v>0.42359999999999998</v>
      </c>
      <c r="L1122">
        <v>0.12189999999999999</v>
      </c>
      <c r="M1122">
        <v>0.21360000000000001</v>
      </c>
      <c r="N1122">
        <f>CONVERT(O1122,"lbf","N")</f>
        <v>15034.09941525744</v>
      </c>
      <c r="O1122">
        <v>3379.8</v>
      </c>
      <c r="P1122">
        <f t="shared" si="17"/>
        <v>1.7522559474979493</v>
      </c>
    </row>
    <row r="1123" spans="1:16" hidden="1" x14ac:dyDescent="0.25">
      <c r="A1123">
        <v>0</v>
      </c>
      <c r="B1123">
        <v>5000</v>
      </c>
      <c r="C1123">
        <f>1.225 * (1 - 0.00000687559 * B1123) ^ 4.2561</f>
        <v>1.0555380742846066</v>
      </c>
      <c r="D1123">
        <f>E1123*(SQRT($C$2/C1123))</f>
        <v>43.09144761218235</v>
      </c>
      <c r="E1123">
        <v>40</v>
      </c>
      <c r="F1123">
        <v>987</v>
      </c>
      <c r="G1123">
        <v>750</v>
      </c>
      <c r="H1123">
        <f>CONVERT(G1123,"HP","kW")</f>
        <v>559.27490368670271</v>
      </c>
      <c r="I1123">
        <v>0.52280000000000004</v>
      </c>
      <c r="J1123">
        <v>0.34010000000000001</v>
      </c>
      <c r="K1123">
        <v>0.43020000000000003</v>
      </c>
      <c r="L1123">
        <v>0.12189999999999999</v>
      </c>
      <c r="M1123">
        <v>0.18740000000000001</v>
      </c>
      <c r="N1123">
        <f>CONVERT(O1123,"lbf","N")</f>
        <v>13190.756377893489</v>
      </c>
      <c r="O1123">
        <v>2965.4</v>
      </c>
      <c r="P1123">
        <f t="shared" si="17"/>
        <v>1.5373256767842496</v>
      </c>
    </row>
    <row r="1124" spans="1:16" hidden="1" x14ac:dyDescent="0.25">
      <c r="A1124">
        <v>0</v>
      </c>
      <c r="B1124">
        <v>5000</v>
      </c>
      <c r="C1124">
        <f>1.225 * (1 - 0.00000687559 * B1124) ^ 4.2561</f>
        <v>1.0555380742846066</v>
      </c>
      <c r="D1124">
        <f>E1124*(SQRT($C$2/C1124))</f>
        <v>86.1828952243647</v>
      </c>
      <c r="E1124">
        <v>80</v>
      </c>
      <c r="F1124">
        <v>987</v>
      </c>
      <c r="G1124">
        <v>750</v>
      </c>
      <c r="H1124">
        <f>CONVERT(G1124,"HP","kW")</f>
        <v>559.27490368670271</v>
      </c>
      <c r="I1124">
        <v>0.76790000000000003</v>
      </c>
      <c r="J1124">
        <v>0.68020000000000003</v>
      </c>
      <c r="K1124">
        <v>0.4476</v>
      </c>
      <c r="L1124">
        <v>0.12189999999999999</v>
      </c>
      <c r="M1124">
        <v>0.13769999999999999</v>
      </c>
      <c r="N1124">
        <f>CONVERT(O1124,"lbf","N")</f>
        <v>9686.8922115527912</v>
      </c>
      <c r="O1124">
        <v>2177.6999999999998</v>
      </c>
      <c r="P1124">
        <f t="shared" si="17"/>
        <v>1.1296144380639868</v>
      </c>
    </row>
    <row r="1125" spans="1:16" hidden="1" x14ac:dyDescent="0.25">
      <c r="A1125">
        <v>0</v>
      </c>
      <c r="B1125">
        <v>5000</v>
      </c>
      <c r="C1125">
        <f>1.225 * (1 - 0.00000687559 * B1125) ^ 4.2561</f>
        <v>1.0555380742846066</v>
      </c>
      <c r="D1125">
        <f>E1125*(SQRT($C$2/C1125))</f>
        <v>107.72861903045587</v>
      </c>
      <c r="E1125">
        <v>100</v>
      </c>
      <c r="F1125">
        <v>987</v>
      </c>
      <c r="G1125">
        <v>750</v>
      </c>
      <c r="H1125">
        <f>CONVERT(G1125,"HP","kW")</f>
        <v>559.27490368670271</v>
      </c>
      <c r="I1125">
        <v>0.82399999999999995</v>
      </c>
      <c r="J1125">
        <v>0.85019999999999996</v>
      </c>
      <c r="K1125">
        <v>0.45889999999999997</v>
      </c>
      <c r="L1125">
        <v>0.12189999999999999</v>
      </c>
      <c r="M1125">
        <v>0.1181</v>
      </c>
      <c r="N1125">
        <f>CONVERT(O1125,"lbf","N")</f>
        <v>8315.0606654064522</v>
      </c>
      <c r="O1125">
        <v>1869.3</v>
      </c>
      <c r="P1125">
        <f t="shared" si="17"/>
        <v>0.96882690730106646</v>
      </c>
    </row>
    <row r="1126" spans="1:16" hidden="1" x14ac:dyDescent="0.25">
      <c r="A1126">
        <v>0</v>
      </c>
      <c r="B1126">
        <v>5000</v>
      </c>
      <c r="C1126">
        <f>1.225 * (1 - 0.00000687559 * B1126) ^ 4.2561</f>
        <v>1.0555380742846066</v>
      </c>
      <c r="D1126">
        <f>E1126*(SQRT($C$2/C1126))</f>
        <v>129.27434283654705</v>
      </c>
      <c r="E1126">
        <v>120</v>
      </c>
      <c r="F1126">
        <v>987</v>
      </c>
      <c r="G1126">
        <v>750</v>
      </c>
      <c r="H1126">
        <f>CONVERT(G1126,"HP","kW")</f>
        <v>559.27490368670271</v>
      </c>
      <c r="I1126">
        <v>0.85589999999999999</v>
      </c>
      <c r="J1126">
        <v>1.0203</v>
      </c>
      <c r="K1126">
        <v>0.47210000000000002</v>
      </c>
      <c r="L1126">
        <v>0.12189999999999999</v>
      </c>
      <c r="M1126">
        <v>0.1022</v>
      </c>
      <c r="N1126">
        <f>CONVERT(O1126,"lbf","N")</f>
        <v>7198.1122178145424</v>
      </c>
      <c r="O1126">
        <v>1618.2</v>
      </c>
      <c r="P1126">
        <f t="shared" si="17"/>
        <v>0.83839212469237079</v>
      </c>
    </row>
    <row r="1127" spans="1:16" hidden="1" x14ac:dyDescent="0.25">
      <c r="A1127">
        <v>0</v>
      </c>
      <c r="B1127">
        <v>5000</v>
      </c>
      <c r="C1127">
        <f>1.225 * (1 - 0.00000687559 * B1127) ^ 4.2561</f>
        <v>1.0555380742846066</v>
      </c>
      <c r="D1127">
        <f>E1127*(SQRT($C$2/C1127))</f>
        <v>150.82006664263821</v>
      </c>
      <c r="E1127">
        <v>140</v>
      </c>
      <c r="F1127">
        <v>987</v>
      </c>
      <c r="G1127">
        <v>750</v>
      </c>
      <c r="H1127">
        <f>CONVERT(G1127,"HP","kW")</f>
        <v>559.27490368670271</v>
      </c>
      <c r="I1127">
        <v>0.87280000000000002</v>
      </c>
      <c r="J1127">
        <v>1.1902999999999999</v>
      </c>
      <c r="K1127">
        <v>0.48720000000000002</v>
      </c>
      <c r="L1127">
        <v>0.12189999999999999</v>
      </c>
      <c r="M1127">
        <v>8.9399999999999993E-2</v>
      </c>
      <c r="N1127">
        <f>CONVERT(O1127,"lbf","N")</f>
        <v>6291.1198304629252</v>
      </c>
      <c r="O1127">
        <v>1414.3</v>
      </c>
      <c r="P1127">
        <f t="shared" si="17"/>
        <v>0.73338802296964722</v>
      </c>
    </row>
    <row r="1128" spans="1:16" hidden="1" x14ac:dyDescent="0.25">
      <c r="A1128">
        <v>0</v>
      </c>
      <c r="B1128">
        <v>5000</v>
      </c>
      <c r="C1128">
        <f>1.225 * (1 - 0.00000687559 * B1128) ^ 4.2561</f>
        <v>1.0555380742846066</v>
      </c>
      <c r="D1128">
        <f>E1128*(SQRT($C$2/C1128))</f>
        <v>280.09440947918529</v>
      </c>
      <c r="E1128">
        <v>260</v>
      </c>
      <c r="F1128">
        <v>987</v>
      </c>
      <c r="G1128">
        <v>750</v>
      </c>
      <c r="H1128">
        <f>CONVERT(G1128,"HP","kW")</f>
        <v>559.27490368670271</v>
      </c>
      <c r="I1128">
        <v>0.79849999999999999</v>
      </c>
      <c r="J1128">
        <v>2.2105999999999999</v>
      </c>
      <c r="K1128">
        <v>0.60780000000000001</v>
      </c>
      <c r="L1128">
        <v>0.12189999999999999</v>
      </c>
      <c r="M1128">
        <v>4.3999999999999997E-2</v>
      </c>
      <c r="N1128">
        <f>CONVERT(O1128,"lbf","N")</f>
        <v>3099.5208215135162</v>
      </c>
      <c r="O1128">
        <v>696.8</v>
      </c>
      <c r="P1128">
        <f t="shared" si="17"/>
        <v>0.36095159967186219</v>
      </c>
    </row>
    <row r="1129" spans="1:16" hidden="1" x14ac:dyDescent="0.25">
      <c r="A1129">
        <v>0</v>
      </c>
      <c r="B1129">
        <v>5000</v>
      </c>
      <c r="C1129">
        <f>1.225 * (1 - 0.00000687559 * B1129) ^ 4.2561</f>
        <v>1.0555380742846066</v>
      </c>
      <c r="D1129">
        <f>E1129*(SQRT($C$2/C1129))</f>
        <v>64.637171418273525</v>
      </c>
      <c r="E1129">
        <v>60</v>
      </c>
      <c r="F1129">
        <v>987</v>
      </c>
      <c r="G1129">
        <v>750</v>
      </c>
      <c r="H1129">
        <f>CONVERT(G1129,"HP","kW")</f>
        <v>559.27490368670271</v>
      </c>
      <c r="I1129">
        <v>0.67400000000000004</v>
      </c>
      <c r="J1129">
        <v>0.5101</v>
      </c>
      <c r="K1129">
        <v>0.43809999999999999</v>
      </c>
      <c r="L1129">
        <v>0.122</v>
      </c>
      <c r="M1129">
        <v>0.16120000000000001</v>
      </c>
      <c r="N1129">
        <f>CONVERT(O1129,"lbf","N")</f>
        <v>11336.292786491385</v>
      </c>
      <c r="O1129">
        <v>2548.5</v>
      </c>
      <c r="P1129">
        <f t="shared" si="17"/>
        <v>1.3213114754098361</v>
      </c>
    </row>
    <row r="1130" spans="1:16" hidden="1" x14ac:dyDescent="0.25">
      <c r="A1130">
        <v>0</v>
      </c>
      <c r="B1130">
        <v>20000</v>
      </c>
      <c r="C1130">
        <f>1.225 * (1 - 0.00000687559 * B1130) ^ 4.2561</f>
        <v>0.65267221054298263</v>
      </c>
      <c r="D1130">
        <f>E1130*(SQRT($C$2/C1130))</f>
        <v>219.19995777331309</v>
      </c>
      <c r="E1130">
        <v>160</v>
      </c>
      <c r="F1130">
        <v>1150</v>
      </c>
      <c r="G1130">
        <v>750</v>
      </c>
      <c r="H1130">
        <f>CONVERT(G1130,"HP","kW")</f>
        <v>559.27490368670271</v>
      </c>
      <c r="I1130">
        <v>0.876</v>
      </c>
      <c r="J1130">
        <v>1.4847999999999999</v>
      </c>
      <c r="K1130">
        <v>0.63749999999999996</v>
      </c>
      <c r="L1130">
        <v>0.1245</v>
      </c>
      <c r="M1130">
        <v>7.3499999999999996E-2</v>
      </c>
      <c r="N1130">
        <f>CONVERT(O1130,"lbf","N")</f>
        <v>4344.5780516249306</v>
      </c>
      <c r="O1130">
        <v>976.7</v>
      </c>
      <c r="P1130">
        <f t="shared" si="17"/>
        <v>0.59036144578313254</v>
      </c>
    </row>
    <row r="1131" spans="1:16" hidden="1" x14ac:dyDescent="0.25">
      <c r="A1131">
        <v>0</v>
      </c>
      <c r="B1131">
        <v>20000</v>
      </c>
      <c r="C1131">
        <f>1.225 * (1 - 0.00000687559 * B1131) ^ 4.2561</f>
        <v>0.65267221054298263</v>
      </c>
      <c r="D1131">
        <f>E1131*(SQRT($C$2/C1131))</f>
        <v>82.199984164992401</v>
      </c>
      <c r="E1131">
        <v>60</v>
      </c>
      <c r="F1131">
        <v>1150</v>
      </c>
      <c r="G1131">
        <v>750</v>
      </c>
      <c r="H1131">
        <f>CONVERT(G1131,"HP","kW")</f>
        <v>559.27490368670271</v>
      </c>
      <c r="I1131">
        <v>0.70189999999999997</v>
      </c>
      <c r="J1131">
        <v>0.55679999999999996</v>
      </c>
      <c r="K1131">
        <v>0.54300000000000004</v>
      </c>
      <c r="L1131">
        <v>0.1246</v>
      </c>
      <c r="M1131">
        <v>0.15709999999999999</v>
      </c>
      <c r="N1131">
        <f>CONVERT(O1131,"lbf","N")</f>
        <v>9283.8833332101894</v>
      </c>
      <c r="O1131">
        <v>2087.1</v>
      </c>
      <c r="P1131">
        <f t="shared" si="17"/>
        <v>1.2608346709470304</v>
      </c>
    </row>
    <row r="1132" spans="1:16" hidden="1" x14ac:dyDescent="0.25">
      <c r="A1132">
        <v>0</v>
      </c>
      <c r="B1132">
        <v>20000</v>
      </c>
      <c r="C1132">
        <f>1.225 * (1 - 0.00000687559 * B1132) ^ 4.2561</f>
        <v>0.65267221054298263</v>
      </c>
      <c r="D1132">
        <f>E1132*(SQRT($C$2/C1132))</f>
        <v>136.99997360832069</v>
      </c>
      <c r="E1132">
        <v>100</v>
      </c>
      <c r="F1132">
        <v>1150</v>
      </c>
      <c r="G1132">
        <v>750</v>
      </c>
      <c r="H1132">
        <f>CONVERT(G1132,"HP","kW")</f>
        <v>559.27490368670271</v>
      </c>
      <c r="I1132">
        <v>0.83930000000000005</v>
      </c>
      <c r="J1132">
        <v>0.92800000000000005</v>
      </c>
      <c r="K1132">
        <v>0.57289999999999996</v>
      </c>
      <c r="L1132">
        <v>0.1246</v>
      </c>
      <c r="M1132">
        <v>0.11269999999999999</v>
      </c>
      <c r="N1132">
        <f>CONVERT(O1132,"lbf","N")</f>
        <v>6660.7670466910731</v>
      </c>
      <c r="O1132">
        <v>1497.4</v>
      </c>
      <c r="P1132">
        <f t="shared" si="17"/>
        <v>0.9044943820224719</v>
      </c>
    </row>
    <row r="1133" spans="1:16" hidden="1" x14ac:dyDescent="0.25">
      <c r="A1133">
        <v>0</v>
      </c>
      <c r="B1133">
        <v>20000</v>
      </c>
      <c r="C1133">
        <f>1.225 * (1 - 0.00000687559 * B1133) ^ 4.2561</f>
        <v>0.65267221054298263</v>
      </c>
      <c r="D1133">
        <f>E1133*(SQRT($C$2/C1133))</f>
        <v>164.3999683299848</v>
      </c>
      <c r="E1133">
        <v>120</v>
      </c>
      <c r="F1133">
        <v>1150</v>
      </c>
      <c r="G1133">
        <v>750</v>
      </c>
      <c r="H1133">
        <f>CONVERT(G1133,"HP","kW")</f>
        <v>559.27490368670271</v>
      </c>
      <c r="I1133">
        <v>0.86499999999999999</v>
      </c>
      <c r="J1133">
        <v>1.1135999999999999</v>
      </c>
      <c r="K1133">
        <v>0.59189999999999998</v>
      </c>
      <c r="L1133">
        <v>0.1246</v>
      </c>
      <c r="M1133">
        <v>9.6799999999999997E-2</v>
      </c>
      <c r="N1133">
        <f>CONVERT(O1133,"lbf","N")</f>
        <v>5720.412997225003</v>
      </c>
      <c r="O1133">
        <v>1286</v>
      </c>
      <c r="P1133">
        <f t="shared" si="17"/>
        <v>0.7768860353130016</v>
      </c>
    </row>
    <row r="1134" spans="1:16" hidden="1" x14ac:dyDescent="0.25">
      <c r="A1134">
        <v>0</v>
      </c>
      <c r="B1134">
        <v>20000</v>
      </c>
      <c r="C1134">
        <f>1.225 * (1 - 0.00000687559 * B1134) ^ 4.2561</f>
        <v>0.65267221054298263</v>
      </c>
      <c r="D1134">
        <f>E1134*(SQRT($C$2/C1134))</f>
        <v>191.79996305164894</v>
      </c>
      <c r="E1134">
        <v>140</v>
      </c>
      <c r="F1134">
        <v>1150</v>
      </c>
      <c r="G1134">
        <v>750</v>
      </c>
      <c r="H1134">
        <f>CONVERT(G1134,"HP","kW")</f>
        <v>559.27490368670271</v>
      </c>
      <c r="I1134">
        <v>0.876</v>
      </c>
      <c r="J1134">
        <v>1.2991999999999999</v>
      </c>
      <c r="K1134">
        <v>0.61350000000000005</v>
      </c>
      <c r="L1134">
        <v>0.1246</v>
      </c>
      <c r="M1134">
        <v>8.4000000000000005E-2</v>
      </c>
      <c r="N1134">
        <f>CONVERT(O1134,"lbf","N")</f>
        <v>4965.1049669537706</v>
      </c>
      <c r="O1134">
        <v>1116.2</v>
      </c>
      <c r="P1134">
        <f t="shared" si="17"/>
        <v>0.6741573033707865</v>
      </c>
    </row>
    <row r="1135" spans="1:16" hidden="1" x14ac:dyDescent="0.25">
      <c r="A1135">
        <v>0</v>
      </c>
      <c r="B1135">
        <v>20000</v>
      </c>
      <c r="C1135">
        <f>1.225 * (1 - 0.00000687559 * B1135) ^ 4.2561</f>
        <v>0.65267221054298263</v>
      </c>
      <c r="D1135">
        <f>E1135*(SQRT($C$2/C1135))</f>
        <v>246.59995249497723</v>
      </c>
      <c r="E1135">
        <v>180</v>
      </c>
      <c r="F1135">
        <v>1150</v>
      </c>
      <c r="G1135">
        <v>750</v>
      </c>
      <c r="H1135">
        <f>CONVERT(G1135,"HP","kW")</f>
        <v>559.27490368670271</v>
      </c>
      <c r="I1135">
        <v>0.86299999999999999</v>
      </c>
      <c r="J1135">
        <v>1.6704000000000001</v>
      </c>
      <c r="K1135">
        <v>0.66349999999999998</v>
      </c>
      <c r="L1135">
        <v>0.1246</v>
      </c>
      <c r="M1135">
        <v>6.4399999999999999E-2</v>
      </c>
      <c r="N1135">
        <f>CONVERT(O1135,"lbf","N")</f>
        <v>3804.5639475323055</v>
      </c>
      <c r="O1135">
        <v>855.3</v>
      </c>
      <c r="P1135">
        <f t="shared" si="17"/>
        <v>0.51685393258426959</v>
      </c>
    </row>
    <row r="1136" spans="1:16" hidden="1" x14ac:dyDescent="0.25">
      <c r="A1136">
        <v>0</v>
      </c>
      <c r="B1136">
        <v>20000</v>
      </c>
      <c r="C1136">
        <f>1.225 * (1 - 0.00000687559 * B1136) ^ 4.2561</f>
        <v>0.65267221054298263</v>
      </c>
      <c r="D1136">
        <f>E1136*(SQRT($C$2/C1136))</f>
        <v>273.99994721664137</v>
      </c>
      <c r="E1136">
        <v>200</v>
      </c>
      <c r="F1136">
        <v>1150</v>
      </c>
      <c r="G1136">
        <v>750</v>
      </c>
      <c r="H1136">
        <f>CONVERT(G1136,"HP","kW")</f>
        <v>559.27490368670271</v>
      </c>
      <c r="I1136">
        <v>0.83020000000000005</v>
      </c>
      <c r="J1136">
        <v>1.8560000000000001</v>
      </c>
      <c r="K1136">
        <v>0.69140000000000001</v>
      </c>
      <c r="L1136">
        <v>0.1246</v>
      </c>
      <c r="M1136">
        <v>5.57E-2</v>
      </c>
      <c r="N1136">
        <f>CONVERT(O1136,"lbf","N")</f>
        <v>3293.9081061003999</v>
      </c>
      <c r="O1136">
        <v>740.5</v>
      </c>
      <c r="P1136">
        <f t="shared" si="17"/>
        <v>0.44703049759229535</v>
      </c>
    </row>
    <row r="1137" spans="1:16" hidden="1" x14ac:dyDescent="0.25">
      <c r="A1137">
        <v>0</v>
      </c>
      <c r="B1137">
        <v>20000</v>
      </c>
      <c r="C1137">
        <f>1.225 * (1 - 0.00000687559 * B1137) ^ 4.2561</f>
        <v>0.65267221054298263</v>
      </c>
      <c r="D1137">
        <f>E1137*(SQRT($C$2/C1137))</f>
        <v>301.39994193830552</v>
      </c>
      <c r="E1137">
        <v>220</v>
      </c>
      <c r="F1137">
        <v>1150</v>
      </c>
      <c r="G1137">
        <v>750</v>
      </c>
      <c r="H1137">
        <f>CONVERT(G1137,"HP","kW")</f>
        <v>559.27490368670271</v>
      </c>
      <c r="I1137">
        <v>0.76319999999999999</v>
      </c>
      <c r="J1137">
        <v>2.0415999999999999</v>
      </c>
      <c r="K1137">
        <v>0.72099999999999997</v>
      </c>
      <c r="L1137">
        <v>0.1246</v>
      </c>
      <c r="M1137">
        <v>4.6600000000000003E-2</v>
      </c>
      <c r="N1137">
        <f>CONVERT(O1137,"lbf","N")</f>
        <v>2752.5595355231972</v>
      </c>
      <c r="O1137">
        <v>618.79999999999995</v>
      </c>
      <c r="P1137">
        <f t="shared" si="17"/>
        <v>0.3739967897271268</v>
      </c>
    </row>
    <row r="1138" spans="1:16" hidden="1" x14ac:dyDescent="0.25">
      <c r="A1138">
        <v>0</v>
      </c>
      <c r="B1138">
        <v>20000</v>
      </c>
      <c r="C1138">
        <f>1.225 * (1 - 0.00000687559 * B1138) ^ 4.2561</f>
        <v>0.65267221054298263</v>
      </c>
      <c r="D1138">
        <f>E1138*(SQRT($C$2/C1138))</f>
        <v>328.7999366599696</v>
      </c>
      <c r="E1138">
        <v>240</v>
      </c>
      <c r="F1138">
        <v>1150</v>
      </c>
      <c r="G1138">
        <v>750</v>
      </c>
      <c r="H1138">
        <f>CONVERT(G1138,"HP","kW")</f>
        <v>559.27490368670271</v>
      </c>
      <c r="I1138">
        <v>0.65710000000000002</v>
      </c>
      <c r="J1138">
        <v>2.2271999999999998</v>
      </c>
      <c r="K1138">
        <v>0.75209999999999999</v>
      </c>
      <c r="L1138">
        <v>0.1246</v>
      </c>
      <c r="M1138">
        <v>3.6799999999999999E-2</v>
      </c>
      <c r="N1138">
        <f>CONVERT(O1138,"lbf","N")</f>
        <v>2172.5114368932282</v>
      </c>
      <c r="O1138">
        <v>488.4</v>
      </c>
      <c r="P1138">
        <f t="shared" si="17"/>
        <v>0.29534510433386835</v>
      </c>
    </row>
    <row r="1139" spans="1:16" hidden="1" x14ac:dyDescent="0.25">
      <c r="A1139">
        <v>0</v>
      </c>
      <c r="B1139">
        <v>20000</v>
      </c>
      <c r="C1139">
        <f>1.225 * (1 - 0.00000687559 * B1139) ^ 4.2561</f>
        <v>0.65267221054298263</v>
      </c>
      <c r="D1139">
        <f>E1139*(SQRT($C$2/C1139))</f>
        <v>356.19993138163375</v>
      </c>
      <c r="E1139">
        <v>260</v>
      </c>
      <c r="F1139">
        <v>1150</v>
      </c>
      <c r="G1139">
        <v>750</v>
      </c>
      <c r="H1139">
        <f>CONVERT(G1139,"HP","kW")</f>
        <v>559.27490368670271</v>
      </c>
      <c r="I1139">
        <v>0.48259999999999997</v>
      </c>
      <c r="J1139">
        <v>2.4127999999999998</v>
      </c>
      <c r="K1139">
        <v>0.78449999999999998</v>
      </c>
      <c r="L1139">
        <v>0.1246</v>
      </c>
      <c r="M1139">
        <v>2.4899999999999999E-2</v>
      </c>
      <c r="N1139">
        <f>CONVERT(O1139,"lbf","N")</f>
        <v>1472.8061768127516</v>
      </c>
      <c r="O1139">
        <v>331.1</v>
      </c>
      <c r="P1139">
        <f t="shared" si="17"/>
        <v>0.19983948635634027</v>
      </c>
    </row>
    <row r="1140" spans="1:16" hidden="1" x14ac:dyDescent="0.25">
      <c r="A1140">
        <v>0</v>
      </c>
      <c r="B1140">
        <v>20000</v>
      </c>
      <c r="C1140">
        <f>1.225 * (1 - 0.00000687559 * B1140) ^ 4.2561</f>
        <v>0.65267221054298263</v>
      </c>
      <c r="D1140">
        <f>E1140*(SQRT($C$2/C1140))</f>
        <v>0</v>
      </c>
      <c r="E1140">
        <v>0</v>
      </c>
      <c r="F1140">
        <v>1150</v>
      </c>
      <c r="G1140">
        <v>750</v>
      </c>
      <c r="H1140">
        <f>CONVERT(G1140,"HP","kW")</f>
        <v>559.27490368670271</v>
      </c>
      <c r="I1140">
        <v>0</v>
      </c>
      <c r="J1140">
        <v>0</v>
      </c>
      <c r="K1140">
        <v>0.51500000000000001</v>
      </c>
      <c r="L1140">
        <v>0.12470000000000001</v>
      </c>
      <c r="M1140">
        <v>0.2404</v>
      </c>
      <c r="N1140">
        <f>CONVERT(O1140,"lbf","N")</f>
        <v>14192.051063488627</v>
      </c>
      <c r="O1140">
        <v>3190.5</v>
      </c>
      <c r="P1140">
        <f t="shared" si="17"/>
        <v>1.9278267842822774</v>
      </c>
    </row>
    <row r="1141" spans="1:16" hidden="1" x14ac:dyDescent="0.25">
      <c r="A1141">
        <v>0</v>
      </c>
      <c r="B1141">
        <v>20000</v>
      </c>
      <c r="C1141">
        <f>1.225 * (1 - 0.00000687559 * B1141) ^ 4.2561</f>
        <v>0.65267221054298263</v>
      </c>
      <c r="D1141">
        <f>E1141*(SQRT($C$2/C1141))</f>
        <v>27.399994721664136</v>
      </c>
      <c r="E1141">
        <v>20</v>
      </c>
      <c r="F1141">
        <v>1150</v>
      </c>
      <c r="G1141">
        <v>750</v>
      </c>
      <c r="H1141">
        <f>CONVERT(G1141,"HP","kW")</f>
        <v>559.27490368670271</v>
      </c>
      <c r="I1141">
        <v>0.31869999999999998</v>
      </c>
      <c r="J1141">
        <v>0.18559999999999999</v>
      </c>
      <c r="K1141">
        <v>0.52270000000000005</v>
      </c>
      <c r="L1141">
        <v>0.12470000000000001</v>
      </c>
      <c r="M1141">
        <v>0.2142</v>
      </c>
      <c r="N1141">
        <f>CONVERT(O1141,"lbf","N")</f>
        <v>12646.738874347126</v>
      </c>
      <c r="O1141">
        <v>2843.1</v>
      </c>
      <c r="P1141">
        <f t="shared" si="17"/>
        <v>1.7177225340817963</v>
      </c>
    </row>
    <row r="1142" spans="1:16" hidden="1" x14ac:dyDescent="0.25">
      <c r="A1142">
        <v>0</v>
      </c>
      <c r="B1142">
        <v>20000</v>
      </c>
      <c r="C1142">
        <f>1.225 * (1 - 0.00000687559 * B1142) ^ 4.2561</f>
        <v>0.65267221054298263</v>
      </c>
      <c r="D1142">
        <f>E1142*(SQRT($C$2/C1142))</f>
        <v>54.799989443328272</v>
      </c>
      <c r="E1142">
        <v>40</v>
      </c>
      <c r="F1142">
        <v>1150</v>
      </c>
      <c r="G1142">
        <v>750</v>
      </c>
      <c r="H1142">
        <f>CONVERT(G1142,"HP","kW")</f>
        <v>559.27490368670271</v>
      </c>
      <c r="I1142">
        <v>0.55249999999999999</v>
      </c>
      <c r="J1142">
        <v>0.37119999999999997</v>
      </c>
      <c r="K1142">
        <v>0.53190000000000004</v>
      </c>
      <c r="L1142">
        <v>0.12470000000000001</v>
      </c>
      <c r="M1142">
        <v>0.1857</v>
      </c>
      <c r="N1142">
        <f>CONVERT(O1142,"lbf","N")</f>
        <v>10961.307704324923</v>
      </c>
      <c r="O1142">
        <v>2464.1999999999998</v>
      </c>
      <c r="P1142">
        <f t="shared" si="17"/>
        <v>1.4891740176423416</v>
      </c>
    </row>
    <row r="1143" spans="1:16" hidden="1" x14ac:dyDescent="0.25">
      <c r="A1143">
        <v>0</v>
      </c>
      <c r="B1143">
        <v>20000</v>
      </c>
      <c r="C1143">
        <f>1.225 * (1 - 0.00000687559 * B1143) ^ 4.2561</f>
        <v>0.65267221054298263</v>
      </c>
      <c r="D1143">
        <f>E1143*(SQRT($C$2/C1143))</f>
        <v>109.59997888665654</v>
      </c>
      <c r="E1143">
        <v>80</v>
      </c>
      <c r="F1143">
        <v>1150</v>
      </c>
      <c r="G1143">
        <v>750</v>
      </c>
      <c r="H1143">
        <f>CONVERT(G1143,"HP","kW")</f>
        <v>559.27490368670271</v>
      </c>
      <c r="I1143">
        <v>0.79</v>
      </c>
      <c r="J1143">
        <v>0.74239999999999995</v>
      </c>
      <c r="K1143">
        <v>0.55659999999999998</v>
      </c>
      <c r="L1143">
        <v>0.12470000000000001</v>
      </c>
      <c r="M1143">
        <v>0.13270000000000001</v>
      </c>
      <c r="N1143">
        <f>CONVERT(O1143,"lbf","N")</f>
        <v>7836.8768417659485</v>
      </c>
      <c r="O1143">
        <v>1761.8</v>
      </c>
      <c r="P1143">
        <f t="shared" si="17"/>
        <v>1.0641539695268645</v>
      </c>
    </row>
    <row r="1144" spans="1:16" hidden="1" x14ac:dyDescent="0.25">
      <c r="A1144">
        <v>0</v>
      </c>
      <c r="B1144">
        <v>25000</v>
      </c>
      <c r="C1144">
        <f>1.225 * (1 - 0.00000687559 * B1144) ^ 4.2561</f>
        <v>0.54892259437885793</v>
      </c>
      <c r="D1144">
        <f>E1144*(SQRT($C$2/C1144))</f>
        <v>149.38689160910337</v>
      </c>
      <c r="E1144">
        <v>100</v>
      </c>
      <c r="F1144">
        <v>1215</v>
      </c>
      <c r="G1144">
        <v>750</v>
      </c>
      <c r="H1144">
        <f>CONVERT(G1144,"HP","kW")</f>
        <v>559.27490368670271</v>
      </c>
      <c r="I1144">
        <v>0.84389999999999998</v>
      </c>
      <c r="J1144">
        <v>0.95779999999999998</v>
      </c>
      <c r="K1144">
        <v>0.62080000000000002</v>
      </c>
      <c r="L1144">
        <v>0.1255</v>
      </c>
      <c r="M1144">
        <v>0.1106</v>
      </c>
      <c r="N1144">
        <f>CONVERT(O1144,"lbf","N")</f>
        <v>6141.6595841901735</v>
      </c>
      <c r="O1144">
        <v>1380.7</v>
      </c>
      <c r="P1144">
        <f t="shared" si="17"/>
        <v>0.88127490039840639</v>
      </c>
    </row>
    <row r="1145" spans="1:16" hidden="1" x14ac:dyDescent="0.25">
      <c r="A1145">
        <v>0</v>
      </c>
      <c r="B1145">
        <v>25000</v>
      </c>
      <c r="C1145">
        <f>1.225 * (1 - 0.00000687559 * B1145) ^ 4.2561</f>
        <v>0.54892259437885793</v>
      </c>
      <c r="D1145">
        <f>E1145*(SQRT($C$2/C1145))</f>
        <v>388.40591818366875</v>
      </c>
      <c r="E1145">
        <v>260</v>
      </c>
      <c r="F1145">
        <v>1215</v>
      </c>
      <c r="G1145">
        <v>750</v>
      </c>
      <c r="H1145">
        <f>CONVERT(G1145,"HP","kW")</f>
        <v>559.27490368670271</v>
      </c>
      <c r="I1145">
        <v>0.1179</v>
      </c>
      <c r="J1145">
        <v>2.4902000000000002</v>
      </c>
      <c r="K1145">
        <v>0.86080000000000001</v>
      </c>
      <c r="L1145">
        <v>0.1255</v>
      </c>
      <c r="M1145">
        <v>5.8999999999999999E-3</v>
      </c>
      <c r="N1145">
        <f>CONVERT(O1145,"lbf","N")</f>
        <v>330.05804385232909</v>
      </c>
      <c r="O1145">
        <v>74.2</v>
      </c>
      <c r="P1145">
        <f t="shared" si="17"/>
        <v>4.7011952191235058E-2</v>
      </c>
    </row>
    <row r="1146" spans="1:16" hidden="1" x14ac:dyDescent="0.25">
      <c r="A1146">
        <v>0</v>
      </c>
      <c r="B1146">
        <v>25000</v>
      </c>
      <c r="C1146">
        <f>1.225 * (1 - 0.00000687559 * B1146) ^ 4.2561</f>
        <v>0.54892259437885793</v>
      </c>
      <c r="D1146">
        <f>E1146*(SQRT($C$2/C1146))</f>
        <v>29.877378321820672</v>
      </c>
      <c r="E1146">
        <v>20</v>
      </c>
      <c r="F1146">
        <v>1215</v>
      </c>
      <c r="G1146">
        <v>750</v>
      </c>
      <c r="H1146">
        <f>CONVERT(G1146,"HP","kW")</f>
        <v>559.27490368670271</v>
      </c>
      <c r="I1146">
        <v>0.32579999999999998</v>
      </c>
      <c r="J1146">
        <v>0.19159999999999999</v>
      </c>
      <c r="K1146">
        <v>0.56379999999999997</v>
      </c>
      <c r="L1146">
        <v>0.12559999999999999</v>
      </c>
      <c r="M1146">
        <v>0.21360000000000001</v>
      </c>
      <c r="N1146">
        <f>CONVERT(O1146,"lbf","N")</f>
        <v>11854.955426830758</v>
      </c>
      <c r="O1146">
        <v>2665.1</v>
      </c>
      <c r="P1146">
        <f t="shared" si="17"/>
        <v>1.7006369426751595</v>
      </c>
    </row>
    <row r="1147" spans="1:16" hidden="1" x14ac:dyDescent="0.25">
      <c r="A1147">
        <v>0</v>
      </c>
      <c r="B1147">
        <v>25000</v>
      </c>
      <c r="C1147">
        <f>1.225 * (1 - 0.00000687559 * B1147) ^ 4.2561</f>
        <v>0.54892259437885793</v>
      </c>
      <c r="D1147">
        <f>E1147*(SQRT($C$2/C1147))</f>
        <v>59.754756643641343</v>
      </c>
      <c r="E1147">
        <v>40</v>
      </c>
      <c r="F1147">
        <v>1215</v>
      </c>
      <c r="G1147">
        <v>750</v>
      </c>
      <c r="H1147">
        <f>CONVERT(G1147,"HP","kW")</f>
        <v>559.27490368670271</v>
      </c>
      <c r="I1147">
        <v>0.56240000000000001</v>
      </c>
      <c r="J1147">
        <v>0.3831</v>
      </c>
      <c r="K1147">
        <v>0.57410000000000005</v>
      </c>
      <c r="L1147">
        <v>0.12559999999999999</v>
      </c>
      <c r="M1147">
        <v>0.18440000000000001</v>
      </c>
      <c r="N1147">
        <f>CONVERT(O1147,"lbf","N")</f>
        <v>10233.133825906782</v>
      </c>
      <c r="O1147">
        <v>2300.5</v>
      </c>
      <c r="P1147">
        <f t="shared" si="17"/>
        <v>1.4681528662420384</v>
      </c>
    </row>
    <row r="1148" spans="1:16" hidden="1" x14ac:dyDescent="0.25">
      <c r="A1148">
        <v>0</v>
      </c>
      <c r="B1148">
        <v>25000</v>
      </c>
      <c r="C1148">
        <f>1.225 * (1 - 0.00000687559 * B1148) ^ 4.2561</f>
        <v>0.54892259437885793</v>
      </c>
      <c r="D1148">
        <f>E1148*(SQRT($C$2/C1148))</f>
        <v>89.632134965462015</v>
      </c>
      <c r="E1148">
        <v>60</v>
      </c>
      <c r="F1148">
        <v>1215</v>
      </c>
      <c r="G1148">
        <v>750</v>
      </c>
      <c r="H1148">
        <f>CONVERT(G1148,"HP","kW")</f>
        <v>559.27490368670271</v>
      </c>
      <c r="I1148">
        <v>0.71099999999999997</v>
      </c>
      <c r="J1148">
        <v>0.57469999999999999</v>
      </c>
      <c r="K1148">
        <v>0.5867</v>
      </c>
      <c r="L1148">
        <v>0.12559999999999999</v>
      </c>
      <c r="M1148">
        <v>0.15540000000000001</v>
      </c>
      <c r="N1148">
        <f>CONVERT(O1148,"lbf","N")</f>
        <v>8623.7672455055326</v>
      </c>
      <c r="O1148">
        <v>1938.7</v>
      </c>
      <c r="P1148">
        <f t="shared" si="17"/>
        <v>1.2372611464968155</v>
      </c>
    </row>
    <row r="1149" spans="1:16" hidden="1" x14ac:dyDescent="0.25">
      <c r="A1149">
        <v>0</v>
      </c>
      <c r="B1149">
        <v>25000</v>
      </c>
      <c r="C1149">
        <f>1.225 * (1 - 0.00000687559 * B1149) ^ 4.2561</f>
        <v>0.54892259437885793</v>
      </c>
      <c r="D1149">
        <f>E1149*(SQRT($C$2/C1149))</f>
        <v>179.26426993092403</v>
      </c>
      <c r="E1149">
        <v>120</v>
      </c>
      <c r="F1149">
        <v>1215</v>
      </c>
      <c r="G1149">
        <v>750</v>
      </c>
      <c r="H1149">
        <f>CONVERT(G1149,"HP","kW")</f>
        <v>559.27490368670271</v>
      </c>
      <c r="I1149">
        <v>0.86470000000000002</v>
      </c>
      <c r="J1149">
        <v>1.1493</v>
      </c>
      <c r="K1149">
        <v>0.64249999999999996</v>
      </c>
      <c r="L1149">
        <v>0.12559999999999999</v>
      </c>
      <c r="M1149">
        <v>9.4500000000000001E-2</v>
      </c>
      <c r="N1149">
        <f>CONVERT(O1149,"lbf","N")</f>
        <v>5244.008462230604</v>
      </c>
      <c r="O1149">
        <v>1178.9000000000001</v>
      </c>
      <c r="P1149">
        <f t="shared" si="17"/>
        <v>0.75238853503184722</v>
      </c>
    </row>
    <row r="1150" spans="1:16" hidden="1" x14ac:dyDescent="0.25">
      <c r="A1150">
        <v>0</v>
      </c>
      <c r="B1150">
        <v>25000</v>
      </c>
      <c r="C1150">
        <f>1.225 * (1 - 0.00000687559 * B1150) ^ 4.2561</f>
        <v>0.54892259437885793</v>
      </c>
      <c r="D1150">
        <f>E1150*(SQRT($C$2/C1150))</f>
        <v>209.14164825274472</v>
      </c>
      <c r="E1150">
        <v>140</v>
      </c>
      <c r="F1150">
        <v>1215</v>
      </c>
      <c r="G1150">
        <v>750</v>
      </c>
      <c r="H1150">
        <f>CONVERT(G1150,"HP","kW")</f>
        <v>559.27490368670271</v>
      </c>
      <c r="I1150">
        <v>0.86609999999999998</v>
      </c>
      <c r="J1150">
        <v>1.3409</v>
      </c>
      <c r="K1150">
        <v>0.66710000000000003</v>
      </c>
      <c r="L1150">
        <v>0.12559999999999999</v>
      </c>
      <c r="M1150">
        <v>8.1100000000000005E-2</v>
      </c>
      <c r="N1150">
        <f>CONVERT(O1150,"lbf","N")</f>
        <v>4502.0450968051518</v>
      </c>
      <c r="O1150">
        <v>1012.1</v>
      </c>
      <c r="P1150">
        <f t="shared" si="17"/>
        <v>0.64570063694267521</v>
      </c>
    </row>
    <row r="1151" spans="1:16" hidden="1" x14ac:dyDescent="0.25">
      <c r="A1151">
        <v>0</v>
      </c>
      <c r="B1151">
        <v>25000</v>
      </c>
      <c r="C1151">
        <f>1.225 * (1 - 0.00000687559 * B1151) ^ 4.2561</f>
        <v>0.54892259437885793</v>
      </c>
      <c r="D1151">
        <f>E1151*(SQRT($C$2/C1151))</f>
        <v>239.01902657456537</v>
      </c>
      <c r="E1151">
        <v>160</v>
      </c>
      <c r="F1151">
        <v>1215</v>
      </c>
      <c r="G1151">
        <v>750</v>
      </c>
      <c r="H1151">
        <f>CONVERT(G1151,"HP","kW")</f>
        <v>559.27490368670271</v>
      </c>
      <c r="I1151">
        <v>0.84619999999999995</v>
      </c>
      <c r="J1151">
        <v>1.5324</v>
      </c>
      <c r="K1151">
        <v>0.69430000000000003</v>
      </c>
      <c r="L1151">
        <v>0.12559999999999999</v>
      </c>
      <c r="M1151">
        <v>6.9400000000000003E-2</v>
      </c>
      <c r="N1151">
        <f>CONVERT(O1151,"lbf","N")</f>
        <v>3849.0461636849104</v>
      </c>
      <c r="O1151">
        <v>865.3</v>
      </c>
      <c r="P1151">
        <f t="shared" si="17"/>
        <v>0.55254777070063699</v>
      </c>
    </row>
    <row r="1152" spans="1:16" hidden="1" x14ac:dyDescent="0.25">
      <c r="A1152">
        <v>0</v>
      </c>
      <c r="B1152">
        <v>25000</v>
      </c>
      <c r="C1152">
        <f>1.225 * (1 - 0.00000687559 * B1152) ^ 4.2561</f>
        <v>0.54892259437885793</v>
      </c>
      <c r="D1152">
        <f>E1152*(SQRT($C$2/C1152))</f>
        <v>268.89640489638606</v>
      </c>
      <c r="E1152">
        <v>180</v>
      </c>
      <c r="F1152">
        <v>1215</v>
      </c>
      <c r="G1152">
        <v>750</v>
      </c>
      <c r="H1152">
        <f>CONVERT(G1152,"HP","kW")</f>
        <v>559.27490368670271</v>
      </c>
      <c r="I1152">
        <v>0.79700000000000004</v>
      </c>
      <c r="J1152">
        <v>1.724</v>
      </c>
      <c r="K1152">
        <v>0.72389999999999999</v>
      </c>
      <c r="L1152">
        <v>0.12559999999999999</v>
      </c>
      <c r="M1152">
        <v>5.8099999999999999E-2</v>
      </c>
      <c r="N1152">
        <f>CONVERT(O1152,"lbf","N")</f>
        <v>3222.291738094706</v>
      </c>
      <c r="O1152">
        <v>724.4</v>
      </c>
      <c r="P1152">
        <f t="shared" si="17"/>
        <v>0.46257961783439494</v>
      </c>
    </row>
    <row r="1153" spans="1:16" hidden="1" x14ac:dyDescent="0.25">
      <c r="A1153">
        <v>0</v>
      </c>
      <c r="B1153">
        <v>25000</v>
      </c>
      <c r="C1153">
        <f>1.225 * (1 - 0.00000687559 * B1153) ^ 4.2561</f>
        <v>0.54892259437885793</v>
      </c>
      <c r="D1153">
        <f>E1153*(SQRT($C$2/C1153))</f>
        <v>298.77378321820675</v>
      </c>
      <c r="E1153">
        <v>200</v>
      </c>
      <c r="F1153">
        <v>1215</v>
      </c>
      <c r="G1153">
        <v>750</v>
      </c>
      <c r="H1153">
        <f>CONVERT(G1153,"HP","kW")</f>
        <v>559.27490368670271</v>
      </c>
      <c r="I1153">
        <v>0.72470000000000001</v>
      </c>
      <c r="J1153">
        <v>1.9155</v>
      </c>
      <c r="K1153">
        <v>0.75560000000000005</v>
      </c>
      <c r="L1153">
        <v>0.12559999999999999</v>
      </c>
      <c r="M1153">
        <v>4.7500000000000001E-2</v>
      </c>
      <c r="N1153">
        <f>CONVERT(O1153,"lbf","N")</f>
        <v>2636.9057735264241</v>
      </c>
      <c r="O1153">
        <v>592.79999999999995</v>
      </c>
      <c r="P1153">
        <f t="shared" si="17"/>
        <v>0.37818471337579623</v>
      </c>
    </row>
    <row r="1154" spans="1:16" hidden="1" x14ac:dyDescent="0.25">
      <c r="A1154">
        <v>0</v>
      </c>
      <c r="B1154">
        <v>25000</v>
      </c>
      <c r="C1154">
        <f>1.225 * (1 - 0.00000687559 * B1154) ^ 4.2561</f>
        <v>0.54892259437885793</v>
      </c>
      <c r="D1154">
        <f>E1154*(SQRT($C$2/C1154))</f>
        <v>328.65116154002743</v>
      </c>
      <c r="E1154">
        <v>220</v>
      </c>
      <c r="F1154">
        <v>1215</v>
      </c>
      <c r="G1154">
        <v>750</v>
      </c>
      <c r="H1154">
        <f>CONVERT(G1154,"HP","kW")</f>
        <v>559.27490368670271</v>
      </c>
      <c r="I1154">
        <v>0.60360000000000003</v>
      </c>
      <c r="J1154">
        <v>2.1071</v>
      </c>
      <c r="K1154">
        <v>0.78910000000000002</v>
      </c>
      <c r="L1154">
        <v>0.12559999999999999</v>
      </c>
      <c r="M1154">
        <v>3.5999999999999997E-2</v>
      </c>
      <c r="N1154">
        <f>CONVERT(O1154,"lbf","N")</f>
        <v>1996.8066830904386</v>
      </c>
      <c r="O1154">
        <v>448.9</v>
      </c>
      <c r="P1154">
        <f t="shared" si="17"/>
        <v>0.28662420382165604</v>
      </c>
    </row>
    <row r="1155" spans="1:16" hidden="1" x14ac:dyDescent="0.25">
      <c r="A1155">
        <v>0</v>
      </c>
      <c r="B1155">
        <v>25000</v>
      </c>
      <c r="C1155">
        <f>1.225 * (1 - 0.00000687559 * B1155) ^ 4.2561</f>
        <v>0.54892259437885793</v>
      </c>
      <c r="D1155">
        <f>E1155*(SQRT($C$2/C1155))</f>
        <v>358.52853986184806</v>
      </c>
      <c r="E1155">
        <v>240</v>
      </c>
      <c r="F1155">
        <v>1215</v>
      </c>
      <c r="G1155">
        <v>750</v>
      </c>
      <c r="H1155">
        <f>CONVERT(G1155,"HP","kW")</f>
        <v>559.27490368670271</v>
      </c>
      <c r="I1155">
        <v>0.43259999999999998</v>
      </c>
      <c r="J1155">
        <v>2.2986</v>
      </c>
      <c r="K1155">
        <v>0.82420000000000004</v>
      </c>
      <c r="L1155">
        <v>0.12559999999999999</v>
      </c>
      <c r="M1155">
        <v>2.3599999999999999E-2</v>
      </c>
      <c r="N1155">
        <f>CONVERT(O1155,"lbf","N")</f>
        <v>1311.7805543403215</v>
      </c>
      <c r="O1155">
        <v>294.89999999999998</v>
      </c>
      <c r="P1155">
        <f t="shared" ref="P1155:P1218" si="18">M1155/L1155</f>
        <v>0.18789808917197454</v>
      </c>
    </row>
    <row r="1156" spans="1:16" hidden="1" x14ac:dyDescent="0.25">
      <c r="A1156">
        <v>0</v>
      </c>
      <c r="B1156">
        <v>25000</v>
      </c>
      <c r="C1156">
        <f>1.225 * (1 - 0.00000687559 * B1156) ^ 4.2561</f>
        <v>0.54892259437885793</v>
      </c>
      <c r="D1156">
        <f>E1156*(SQRT($C$2/C1156))</f>
        <v>0</v>
      </c>
      <c r="E1156">
        <v>0</v>
      </c>
      <c r="F1156">
        <v>1215</v>
      </c>
      <c r="G1156">
        <v>750</v>
      </c>
      <c r="H1156">
        <f>CONVERT(G1156,"HP","kW")</f>
        <v>559.27490368670271</v>
      </c>
      <c r="I1156">
        <v>0</v>
      </c>
      <c r="J1156">
        <v>0</v>
      </c>
      <c r="K1156">
        <v>0.55520000000000003</v>
      </c>
      <c r="L1156">
        <v>0.12570000000000001</v>
      </c>
      <c r="M1156">
        <v>0.24049999999999999</v>
      </c>
      <c r="N1156">
        <f>CONVERT(O1156,"lbf","N")</f>
        <v>13338.437335520137</v>
      </c>
      <c r="O1156">
        <v>2998.6</v>
      </c>
      <c r="P1156">
        <f t="shared" si="18"/>
        <v>1.9132856006364358</v>
      </c>
    </row>
    <row r="1157" spans="1:16" hidden="1" x14ac:dyDescent="0.25">
      <c r="A1157">
        <v>0</v>
      </c>
      <c r="B1157">
        <v>25000</v>
      </c>
      <c r="C1157">
        <f>1.225 * (1 - 0.00000687559 * B1157) ^ 4.2561</f>
        <v>0.54892259437885793</v>
      </c>
      <c r="D1157">
        <f>E1157*(SQRT($C$2/C1157))</f>
        <v>119.50951328728269</v>
      </c>
      <c r="E1157">
        <v>80</v>
      </c>
      <c r="F1157">
        <v>1215</v>
      </c>
      <c r="G1157">
        <v>750</v>
      </c>
      <c r="H1157">
        <f>CONVERT(G1157,"HP","kW")</f>
        <v>559.27490368670271</v>
      </c>
      <c r="I1157">
        <v>0.79710000000000003</v>
      </c>
      <c r="J1157">
        <v>0.76619999999999999</v>
      </c>
      <c r="K1157">
        <v>0.60219999999999996</v>
      </c>
      <c r="L1157">
        <v>0.12570000000000001</v>
      </c>
      <c r="M1157">
        <v>0.13070000000000001</v>
      </c>
      <c r="N1157">
        <f>CONVERT(O1157,"lbf","N")</f>
        <v>7251.0460550361404</v>
      </c>
      <c r="O1157">
        <v>1630.1</v>
      </c>
      <c r="P1157">
        <f t="shared" si="18"/>
        <v>1.0397772474144789</v>
      </c>
    </row>
    <row r="1158" spans="1:16" hidden="1" x14ac:dyDescent="0.25">
      <c r="A1158">
        <v>0</v>
      </c>
      <c r="B1158">
        <v>10000</v>
      </c>
      <c r="C1158">
        <f>1.225 * (1 - 0.00000687559 * B1158) ^ 4.2561</f>
        <v>0.90462252368600637</v>
      </c>
      <c r="D1158">
        <f>E1158*(SQRT($C$2/C1158))</f>
        <v>232.73641570654067</v>
      </c>
      <c r="E1158">
        <v>200</v>
      </c>
      <c r="F1158">
        <v>1215</v>
      </c>
      <c r="G1158">
        <v>1250</v>
      </c>
      <c r="H1158">
        <f>CONVERT(G1158,"HP","kW")</f>
        <v>932.12483947783778</v>
      </c>
      <c r="I1158">
        <v>0.876</v>
      </c>
      <c r="J1158">
        <v>1.4922</v>
      </c>
      <c r="K1158">
        <v>0.6492</v>
      </c>
      <c r="L1158">
        <v>0.12690000000000001</v>
      </c>
      <c r="M1158">
        <v>7.4499999999999997E-2</v>
      </c>
      <c r="N1158">
        <f>CONVERT(O1158,"lbf","N")</f>
        <v>6820.0133805173991</v>
      </c>
      <c r="O1158">
        <v>1533.2</v>
      </c>
      <c r="P1158">
        <f t="shared" si="18"/>
        <v>0.58707643814026789</v>
      </c>
    </row>
    <row r="1159" spans="1:16" hidden="1" x14ac:dyDescent="0.25">
      <c r="A1159">
        <v>0</v>
      </c>
      <c r="B1159">
        <v>10000</v>
      </c>
      <c r="C1159">
        <f>1.225 * (1 - 0.00000687559 * B1159) ^ 4.2561</f>
        <v>0.90462252368600637</v>
      </c>
      <c r="D1159">
        <f>E1159*(SQRT($C$2/C1159))</f>
        <v>302.55734041850286</v>
      </c>
      <c r="E1159">
        <v>260</v>
      </c>
      <c r="F1159">
        <v>1215</v>
      </c>
      <c r="G1159">
        <v>1250</v>
      </c>
      <c r="H1159">
        <f>CONVERT(G1159,"HP","kW")</f>
        <v>932.12483947783778</v>
      </c>
      <c r="I1159">
        <v>0.79200000000000004</v>
      </c>
      <c r="J1159">
        <v>1.9398</v>
      </c>
      <c r="K1159">
        <v>0.71640000000000004</v>
      </c>
      <c r="L1159">
        <v>0.12690000000000001</v>
      </c>
      <c r="M1159">
        <v>5.1799999999999999E-2</v>
      </c>
      <c r="N1159">
        <f>CONVERT(O1159,"lbf","N")</f>
        <v>4743.1387083522714</v>
      </c>
      <c r="O1159">
        <v>1066.3</v>
      </c>
      <c r="P1159">
        <f t="shared" si="18"/>
        <v>0.40819542947202514</v>
      </c>
    </row>
    <row r="1160" spans="1:16" hidden="1" x14ac:dyDescent="0.25">
      <c r="A1160">
        <v>0</v>
      </c>
      <c r="B1160">
        <v>10000</v>
      </c>
      <c r="C1160">
        <f>1.225 * (1 - 0.00000687559 * B1160) ^ 4.2561</f>
        <v>0.90462252368600637</v>
      </c>
      <c r="D1160">
        <f>E1160*(SQRT($C$2/C1160))</f>
        <v>23.273641570654068</v>
      </c>
      <c r="E1160">
        <v>20</v>
      </c>
      <c r="F1160">
        <v>1215</v>
      </c>
      <c r="G1160">
        <v>1250</v>
      </c>
      <c r="H1160">
        <f>CONVERT(G1160,"HP","kW")</f>
        <v>932.12483947783778</v>
      </c>
      <c r="I1160">
        <v>0.26119999999999999</v>
      </c>
      <c r="J1160">
        <v>0.1492</v>
      </c>
      <c r="K1160">
        <v>0.52969999999999995</v>
      </c>
      <c r="L1160">
        <v>0.127</v>
      </c>
      <c r="M1160">
        <v>0.22239999999999999</v>
      </c>
      <c r="N1160">
        <f>CONVERT(O1160,"lbf","N")</f>
        <v>20337.714047132537</v>
      </c>
      <c r="O1160">
        <v>4572.1000000000004</v>
      </c>
      <c r="P1160">
        <f t="shared" si="18"/>
        <v>1.7511811023622046</v>
      </c>
    </row>
    <row r="1161" spans="1:16" hidden="1" x14ac:dyDescent="0.25">
      <c r="A1161">
        <v>0</v>
      </c>
      <c r="B1161">
        <v>10000</v>
      </c>
      <c r="C1161">
        <f>1.225 * (1 - 0.00000687559 * B1161) ^ 4.2561</f>
        <v>0.90462252368600637</v>
      </c>
      <c r="D1161">
        <f>E1161*(SQRT($C$2/C1161))</f>
        <v>69.820924711962206</v>
      </c>
      <c r="E1161">
        <v>60</v>
      </c>
      <c r="F1161">
        <v>1215</v>
      </c>
      <c r="G1161">
        <v>1250</v>
      </c>
      <c r="H1161">
        <f>CONVERT(G1161,"HP","kW")</f>
        <v>932.12483947783778</v>
      </c>
      <c r="I1161">
        <v>0.62080000000000002</v>
      </c>
      <c r="J1161">
        <v>0.4476</v>
      </c>
      <c r="K1161">
        <v>0.54510000000000003</v>
      </c>
      <c r="L1161">
        <v>0.127</v>
      </c>
      <c r="M1161">
        <v>0.1762</v>
      </c>
      <c r="N1161">
        <f>CONVERT(O1161,"lbf","N")</f>
        <v>16111.013868312006</v>
      </c>
      <c r="O1161">
        <v>3621.9</v>
      </c>
      <c r="P1161">
        <f t="shared" si="18"/>
        <v>1.3874015748031496</v>
      </c>
    </row>
    <row r="1162" spans="1:16" hidden="1" x14ac:dyDescent="0.25">
      <c r="A1162">
        <v>0</v>
      </c>
      <c r="B1162">
        <v>10000</v>
      </c>
      <c r="C1162">
        <f>1.225 * (1 - 0.00000687559 * B1162) ^ 4.2561</f>
        <v>0.90462252368600637</v>
      </c>
      <c r="D1162">
        <f>E1162*(SQRT($C$2/C1162))</f>
        <v>139.64184942392441</v>
      </c>
      <c r="E1162">
        <v>120</v>
      </c>
      <c r="F1162">
        <v>1215</v>
      </c>
      <c r="G1162">
        <v>1250</v>
      </c>
      <c r="H1162">
        <f>CONVERT(G1162,"HP","kW")</f>
        <v>932.12483947783778</v>
      </c>
      <c r="I1162">
        <v>0.83189999999999997</v>
      </c>
      <c r="J1162">
        <v>0.89529999999999998</v>
      </c>
      <c r="K1162">
        <v>0.57930000000000004</v>
      </c>
      <c r="L1162">
        <v>0.127</v>
      </c>
      <c r="M1162">
        <v>0.11799999999999999</v>
      </c>
      <c r="N1162">
        <f>CONVERT(O1162,"lbf","N")</f>
        <v>10794.499393752656</v>
      </c>
      <c r="O1162">
        <v>2426.6999999999998</v>
      </c>
      <c r="P1162">
        <f t="shared" si="18"/>
        <v>0.92913385826771644</v>
      </c>
    </row>
    <row r="1163" spans="1:16" hidden="1" x14ac:dyDescent="0.25">
      <c r="A1163">
        <v>0</v>
      </c>
      <c r="B1163">
        <v>10000</v>
      </c>
      <c r="C1163">
        <f>1.225 * (1 - 0.00000687559 * B1163) ^ 4.2561</f>
        <v>0.90462252368600637</v>
      </c>
      <c r="D1163">
        <f>E1163*(SQRT($C$2/C1163))</f>
        <v>162.91549099457848</v>
      </c>
      <c r="E1163">
        <v>140</v>
      </c>
      <c r="F1163">
        <v>1215</v>
      </c>
      <c r="G1163">
        <v>1250</v>
      </c>
      <c r="H1163">
        <f>CONVERT(G1163,"HP","kW")</f>
        <v>932.12483947783778</v>
      </c>
      <c r="I1163">
        <v>0.85729999999999995</v>
      </c>
      <c r="J1163">
        <v>1.0445</v>
      </c>
      <c r="K1163">
        <v>0.59430000000000005</v>
      </c>
      <c r="L1163">
        <v>0.127</v>
      </c>
      <c r="M1163">
        <v>0.1043</v>
      </c>
      <c r="N1163">
        <f>CONVERT(O1163,"lbf","N")</f>
        <v>9535.2078544724063</v>
      </c>
      <c r="O1163">
        <v>2143.6</v>
      </c>
      <c r="P1163">
        <f t="shared" si="18"/>
        <v>0.82125984251968509</v>
      </c>
    </row>
    <row r="1164" spans="1:16" hidden="1" x14ac:dyDescent="0.25">
      <c r="A1164">
        <v>0</v>
      </c>
      <c r="B1164">
        <v>10000</v>
      </c>
      <c r="C1164">
        <f>1.225 * (1 - 0.00000687559 * B1164) ^ 4.2561</f>
        <v>0.90462252368600637</v>
      </c>
      <c r="D1164">
        <f>E1164*(SQRT($C$2/C1164))</f>
        <v>209.4627741358866</v>
      </c>
      <c r="E1164">
        <v>180</v>
      </c>
      <c r="F1164">
        <v>1215</v>
      </c>
      <c r="G1164">
        <v>1250</v>
      </c>
      <c r="H1164">
        <f>CONVERT(G1164,"HP","kW")</f>
        <v>932.12483947783778</v>
      </c>
      <c r="I1164">
        <v>0.87770000000000004</v>
      </c>
      <c r="J1164">
        <v>1.3429</v>
      </c>
      <c r="K1164">
        <v>0.62929999999999997</v>
      </c>
      <c r="L1164">
        <v>0.127</v>
      </c>
      <c r="M1164">
        <v>8.3000000000000004E-2</v>
      </c>
      <c r="N1164">
        <f>CONVERT(O1164,"lbf","N")</f>
        <v>7592.2246529266213</v>
      </c>
      <c r="O1164">
        <v>1706.8</v>
      </c>
      <c r="P1164">
        <f t="shared" si="18"/>
        <v>0.65354330708661423</v>
      </c>
    </row>
    <row r="1165" spans="1:16" hidden="1" x14ac:dyDescent="0.25">
      <c r="A1165">
        <v>0</v>
      </c>
      <c r="B1165">
        <v>10000</v>
      </c>
      <c r="C1165">
        <f>1.225 * (1 - 0.00000687559 * B1165) ^ 4.2561</f>
        <v>0.90462252368600637</v>
      </c>
      <c r="D1165">
        <f>E1165*(SQRT($C$2/C1165))</f>
        <v>256.01005727719473</v>
      </c>
      <c r="E1165">
        <v>220</v>
      </c>
      <c r="F1165">
        <v>1215</v>
      </c>
      <c r="G1165">
        <v>1250</v>
      </c>
      <c r="H1165">
        <f>CONVERT(G1165,"HP","kW")</f>
        <v>932.12483947783778</v>
      </c>
      <c r="I1165">
        <v>0.86429999999999996</v>
      </c>
      <c r="J1165">
        <v>1.6414</v>
      </c>
      <c r="K1165">
        <v>0.6704</v>
      </c>
      <c r="L1165">
        <v>0.127</v>
      </c>
      <c r="M1165">
        <v>6.6900000000000001E-2</v>
      </c>
      <c r="N1165">
        <f>CONVERT(O1165,"lbf","N")</f>
        <v>6117.1943653062399</v>
      </c>
      <c r="O1165">
        <v>1375.2</v>
      </c>
      <c r="P1165">
        <f t="shared" si="18"/>
        <v>0.52677165354330713</v>
      </c>
    </row>
    <row r="1166" spans="1:16" hidden="1" x14ac:dyDescent="0.25">
      <c r="A1166">
        <v>0</v>
      </c>
      <c r="B1166">
        <v>10000</v>
      </c>
      <c r="C1166">
        <f>1.225 * (1 - 0.00000687559 * B1166) ^ 4.2561</f>
        <v>0.90462252368600637</v>
      </c>
      <c r="D1166">
        <f>E1166*(SQRT($C$2/C1166))</f>
        <v>279.28369884784883</v>
      </c>
      <c r="E1166">
        <v>240</v>
      </c>
      <c r="F1166">
        <v>1215</v>
      </c>
      <c r="G1166">
        <v>1250</v>
      </c>
      <c r="H1166">
        <f>CONVERT(G1166,"HP","kW")</f>
        <v>932.12483947783778</v>
      </c>
      <c r="I1166">
        <v>0.83879999999999999</v>
      </c>
      <c r="J1166">
        <v>1.7906</v>
      </c>
      <c r="K1166">
        <v>0.69279999999999997</v>
      </c>
      <c r="L1166">
        <v>0.127</v>
      </c>
      <c r="M1166">
        <v>5.9499999999999997E-2</v>
      </c>
      <c r="N1166">
        <f>CONVERT(O1166,"lbf","N")</f>
        <v>5441.5095019481696</v>
      </c>
      <c r="O1166">
        <v>1223.3</v>
      </c>
      <c r="P1166">
        <f t="shared" si="18"/>
        <v>0.46850393700787396</v>
      </c>
    </row>
    <row r="1167" spans="1:16" hidden="1" x14ac:dyDescent="0.25">
      <c r="A1167">
        <v>0</v>
      </c>
      <c r="B1167">
        <v>10000</v>
      </c>
      <c r="C1167">
        <f>1.225 * (1 - 0.00000687559 * B1167) ^ 4.2561</f>
        <v>0.90462252368600637</v>
      </c>
      <c r="D1167">
        <f>E1167*(SQRT($C$2/C1167))</f>
        <v>0</v>
      </c>
      <c r="E1167">
        <v>0</v>
      </c>
      <c r="F1167">
        <v>1215</v>
      </c>
      <c r="G1167">
        <v>1250</v>
      </c>
      <c r="H1167">
        <f>CONVERT(G1167,"HP","kW")</f>
        <v>932.12483947783778</v>
      </c>
      <c r="I1167">
        <v>0</v>
      </c>
      <c r="J1167">
        <v>0</v>
      </c>
      <c r="K1167">
        <v>0.52349999999999997</v>
      </c>
      <c r="L1167">
        <v>0.12709999999999999</v>
      </c>
      <c r="M1167">
        <v>0.24260000000000001</v>
      </c>
      <c r="N1167">
        <f>CONVERT(O1167,"lbf","N")</f>
        <v>22170.381352619861</v>
      </c>
      <c r="O1167">
        <v>4984.1000000000004</v>
      </c>
      <c r="P1167">
        <f t="shared" si="18"/>
        <v>1.9087332808811961</v>
      </c>
    </row>
    <row r="1168" spans="1:16" hidden="1" x14ac:dyDescent="0.25">
      <c r="A1168">
        <v>0</v>
      </c>
      <c r="B1168">
        <v>10000</v>
      </c>
      <c r="C1168">
        <f>1.225 * (1 - 0.00000687559 * B1168) ^ 4.2561</f>
        <v>0.90462252368600637</v>
      </c>
      <c r="D1168">
        <f>E1168*(SQRT($C$2/C1168))</f>
        <v>116.36820785327033</v>
      </c>
      <c r="E1168">
        <v>100</v>
      </c>
      <c r="F1168">
        <v>1215</v>
      </c>
      <c r="G1168">
        <v>1250</v>
      </c>
      <c r="H1168">
        <f>CONVERT(G1168,"HP","kW")</f>
        <v>932.12483947783778</v>
      </c>
      <c r="I1168">
        <v>0.78979999999999995</v>
      </c>
      <c r="J1168">
        <v>0.74609999999999999</v>
      </c>
      <c r="K1168">
        <v>0.56620000000000004</v>
      </c>
      <c r="L1168">
        <v>0.12709999999999999</v>
      </c>
      <c r="M1168">
        <v>0.1346</v>
      </c>
      <c r="N1168">
        <f>CONVERT(O1168,"lbf","N")</f>
        <v>12298.443121872231</v>
      </c>
      <c r="O1168">
        <v>2764.8</v>
      </c>
      <c r="P1168">
        <f t="shared" si="18"/>
        <v>1.0590086546026751</v>
      </c>
    </row>
    <row r="1169" spans="1:16" hidden="1" x14ac:dyDescent="0.25">
      <c r="A1169">
        <v>0</v>
      </c>
      <c r="B1169">
        <v>10000</v>
      </c>
      <c r="C1169">
        <f>1.225 * (1 - 0.00000687559 * B1169) ^ 4.2561</f>
        <v>0.90462252368600637</v>
      </c>
      <c r="D1169">
        <f>E1169*(SQRT($C$2/C1169))</f>
        <v>186.18913256523254</v>
      </c>
      <c r="E1169">
        <v>160</v>
      </c>
      <c r="F1169">
        <v>1215</v>
      </c>
      <c r="G1169">
        <v>1250</v>
      </c>
      <c r="H1169">
        <f>CONVERT(G1169,"HP","kW")</f>
        <v>932.12483947783778</v>
      </c>
      <c r="I1169">
        <v>0.87160000000000004</v>
      </c>
      <c r="J1169">
        <v>1.1937</v>
      </c>
      <c r="K1169">
        <v>0.61099999999999999</v>
      </c>
      <c r="L1169">
        <v>0.12709999999999999</v>
      </c>
      <c r="M1169">
        <v>9.2799999999999994E-2</v>
      </c>
      <c r="N1169">
        <f>CONVERT(O1169,"lbf","N")</f>
        <v>8481.8689759787212</v>
      </c>
      <c r="O1169">
        <v>1906.8</v>
      </c>
      <c r="P1169">
        <f t="shared" si="18"/>
        <v>0.7301337529504327</v>
      </c>
    </row>
    <row r="1170" spans="1:16" hidden="1" x14ac:dyDescent="0.25">
      <c r="A1170">
        <v>0</v>
      </c>
      <c r="B1170">
        <v>10000</v>
      </c>
      <c r="C1170">
        <f>1.225 * (1 - 0.00000687559 * B1170) ^ 4.2561</f>
        <v>0.90462252368600637</v>
      </c>
      <c r="D1170">
        <f>E1170*(SQRT($C$2/C1170))</f>
        <v>46.547283141308135</v>
      </c>
      <c r="E1170">
        <v>40</v>
      </c>
      <c r="F1170">
        <v>1215</v>
      </c>
      <c r="G1170">
        <v>1250</v>
      </c>
      <c r="H1170">
        <f>CONVERT(G1170,"HP","kW")</f>
        <v>932.12483947783778</v>
      </c>
      <c r="I1170">
        <v>0.46839999999999998</v>
      </c>
      <c r="J1170">
        <v>0.2984</v>
      </c>
      <c r="K1170">
        <v>0.53680000000000005</v>
      </c>
      <c r="L1170">
        <v>0.12720000000000001</v>
      </c>
      <c r="M1170">
        <v>0.1996</v>
      </c>
      <c r="N1170">
        <f>CONVERT(O1170,"lbf","N")</f>
        <v>18234.150045275841</v>
      </c>
      <c r="O1170">
        <v>4099.2</v>
      </c>
      <c r="P1170">
        <f t="shared" si="18"/>
        <v>1.5691823899371069</v>
      </c>
    </row>
    <row r="1171" spans="1:16" hidden="1" x14ac:dyDescent="0.25">
      <c r="A1171">
        <v>0</v>
      </c>
      <c r="B1171">
        <v>10000</v>
      </c>
      <c r="C1171">
        <f>1.225 * (1 - 0.00000687559 * B1171) ^ 4.2561</f>
        <v>0.90462252368600637</v>
      </c>
      <c r="D1171">
        <f>E1171*(SQRT($C$2/C1171))</f>
        <v>93.09456628261627</v>
      </c>
      <c r="E1171">
        <v>80</v>
      </c>
      <c r="F1171">
        <v>1215</v>
      </c>
      <c r="G1171">
        <v>1250</v>
      </c>
      <c r="H1171">
        <f>CONVERT(G1171,"HP","kW")</f>
        <v>932.12483947783778</v>
      </c>
      <c r="I1171">
        <v>0.72299999999999998</v>
      </c>
      <c r="J1171">
        <v>0.59689999999999999</v>
      </c>
      <c r="K1171">
        <v>0.55479999999999996</v>
      </c>
      <c r="L1171">
        <v>0.12720000000000001</v>
      </c>
      <c r="M1171">
        <v>0.15409999999999999</v>
      </c>
      <c r="N1171">
        <f>CONVERT(O1171,"lbf","N")</f>
        <v>14071.949079876593</v>
      </c>
      <c r="O1171">
        <v>3163.5</v>
      </c>
      <c r="P1171">
        <f t="shared" si="18"/>
        <v>1.2114779874213835</v>
      </c>
    </row>
    <row r="1172" spans="1:16" hidden="1" x14ac:dyDescent="0.25">
      <c r="A1172">
        <v>0</v>
      </c>
      <c r="B1172">
        <v>5000</v>
      </c>
      <c r="C1172">
        <f>1.225 * (1 - 0.00000687559 * B1172) ^ 4.2561</f>
        <v>1.0555380742846066</v>
      </c>
      <c r="D1172">
        <f>E1172*(SQRT($C$2/C1172))</f>
        <v>215.45723806091175</v>
      </c>
      <c r="E1172">
        <v>200</v>
      </c>
      <c r="F1172">
        <v>1150</v>
      </c>
      <c r="G1172">
        <v>1250</v>
      </c>
      <c r="H1172">
        <f>CONVERT(G1172,"HP","kW")</f>
        <v>932.12483947783778</v>
      </c>
      <c r="I1172">
        <v>0.88</v>
      </c>
      <c r="J1172">
        <v>1.4595</v>
      </c>
      <c r="K1172">
        <v>0.59919999999999995</v>
      </c>
      <c r="L1172">
        <v>0.1283</v>
      </c>
      <c r="M1172">
        <v>7.7399999999999997E-2</v>
      </c>
      <c r="N1172">
        <f>CONVERT(O1172,"lbf","N")</f>
        <v>7400.9511234704196</v>
      </c>
      <c r="O1172">
        <v>1663.8</v>
      </c>
      <c r="P1172">
        <f t="shared" si="18"/>
        <v>0.60327357755261102</v>
      </c>
    </row>
    <row r="1173" spans="1:16" hidden="1" x14ac:dyDescent="0.25">
      <c r="A1173">
        <v>0</v>
      </c>
      <c r="B1173">
        <v>5000</v>
      </c>
      <c r="C1173">
        <f>1.225 * (1 - 0.00000687559 * B1173) ^ 4.2561</f>
        <v>1.0555380742846066</v>
      </c>
      <c r="D1173">
        <f>E1173*(SQRT($C$2/C1173))</f>
        <v>237.00296186700291</v>
      </c>
      <c r="E1173">
        <v>220</v>
      </c>
      <c r="F1173">
        <v>1150</v>
      </c>
      <c r="G1173">
        <v>1250</v>
      </c>
      <c r="H1173">
        <f>CONVERT(G1173,"HP","kW")</f>
        <v>932.12483947783778</v>
      </c>
      <c r="I1173">
        <v>0.87580000000000002</v>
      </c>
      <c r="J1173">
        <v>1.6053999999999999</v>
      </c>
      <c r="K1173">
        <v>0.61819999999999997</v>
      </c>
      <c r="L1173">
        <v>0.1283</v>
      </c>
      <c r="M1173">
        <v>7.0000000000000007E-2</v>
      </c>
      <c r="N1173">
        <f>CONVERT(O1173,"lbf","N")</f>
        <v>6695.463175290105</v>
      </c>
      <c r="O1173">
        <v>1505.2</v>
      </c>
      <c r="P1173">
        <f t="shared" si="18"/>
        <v>0.54559625876851137</v>
      </c>
    </row>
    <row r="1174" spans="1:16" hidden="1" x14ac:dyDescent="0.25">
      <c r="A1174">
        <v>0</v>
      </c>
      <c r="B1174">
        <v>5000</v>
      </c>
      <c r="C1174">
        <f>1.225 * (1 - 0.00000687559 * B1174) ^ 4.2561</f>
        <v>1.0555380742846066</v>
      </c>
      <c r="D1174">
        <f>E1174*(SQRT($C$2/C1174))</f>
        <v>280.09440947918529</v>
      </c>
      <c r="E1174">
        <v>260</v>
      </c>
      <c r="F1174">
        <v>1150</v>
      </c>
      <c r="G1174">
        <v>1250</v>
      </c>
      <c r="H1174">
        <f>CONVERT(G1174,"HP","kW")</f>
        <v>932.12483947783778</v>
      </c>
      <c r="I1174">
        <v>0.8478</v>
      </c>
      <c r="J1174">
        <v>1.8973</v>
      </c>
      <c r="K1174">
        <v>0.65959999999999996</v>
      </c>
      <c r="L1174">
        <v>0.1283</v>
      </c>
      <c r="M1174">
        <v>5.7299999999999997E-2</v>
      </c>
      <c r="N1174">
        <f>CONVERT(O1174,"lbf","N")</f>
        <v>5484.6572516161968</v>
      </c>
      <c r="O1174">
        <v>1233</v>
      </c>
      <c r="P1174">
        <f t="shared" si="18"/>
        <v>0.4466095089633671</v>
      </c>
    </row>
    <row r="1175" spans="1:16" hidden="1" x14ac:dyDescent="0.25">
      <c r="A1175">
        <v>0</v>
      </c>
      <c r="B1175">
        <v>5000</v>
      </c>
      <c r="C1175">
        <f>1.225 * (1 - 0.00000687559 * B1175) ^ 4.2561</f>
        <v>1.0555380742846066</v>
      </c>
      <c r="D1175">
        <f>E1175*(SQRT($C$2/C1175))</f>
        <v>0</v>
      </c>
      <c r="E1175">
        <v>0</v>
      </c>
      <c r="F1175">
        <v>1150</v>
      </c>
      <c r="G1175">
        <v>1250</v>
      </c>
      <c r="H1175">
        <f>CONVERT(G1175,"HP","kW")</f>
        <v>932.12483947783778</v>
      </c>
      <c r="I1175">
        <v>0</v>
      </c>
      <c r="J1175">
        <v>0</v>
      </c>
      <c r="K1175">
        <v>0.48649999999999999</v>
      </c>
      <c r="L1175">
        <v>0.12839999999999999</v>
      </c>
      <c r="M1175">
        <v>0.24479999999999999</v>
      </c>
      <c r="N1175">
        <f>CONVERT(O1175,"lbf","N")</f>
        <v>23395.866407624129</v>
      </c>
      <c r="O1175">
        <v>5259.6</v>
      </c>
      <c r="P1175">
        <f t="shared" si="18"/>
        <v>1.9065420560747666</v>
      </c>
    </row>
    <row r="1176" spans="1:16" hidden="1" x14ac:dyDescent="0.25">
      <c r="A1176">
        <v>0</v>
      </c>
      <c r="B1176">
        <v>5000</v>
      </c>
      <c r="C1176">
        <f>1.225 * (1 - 0.00000687559 * B1176) ^ 4.2561</f>
        <v>1.0555380742846066</v>
      </c>
      <c r="D1176">
        <f>E1176*(SQRT($C$2/C1176))</f>
        <v>43.09144761218235</v>
      </c>
      <c r="E1176">
        <v>40</v>
      </c>
      <c r="F1176">
        <v>1150</v>
      </c>
      <c r="G1176">
        <v>1250</v>
      </c>
      <c r="H1176">
        <f>CONVERT(G1176,"HP","kW")</f>
        <v>932.12483947783778</v>
      </c>
      <c r="I1176">
        <v>0.46</v>
      </c>
      <c r="J1176">
        <v>0.29189999999999999</v>
      </c>
      <c r="K1176">
        <v>0.49869999999999998</v>
      </c>
      <c r="L1176">
        <v>0.12839999999999999</v>
      </c>
      <c r="M1176">
        <v>0.2024</v>
      </c>
      <c r="N1176">
        <f>CONVERT(O1176,"lbf","N")</f>
        <v>19341.757227475704</v>
      </c>
      <c r="O1176">
        <v>4348.2</v>
      </c>
      <c r="P1176">
        <f t="shared" si="18"/>
        <v>1.576323987538941</v>
      </c>
    </row>
    <row r="1177" spans="1:16" hidden="1" x14ac:dyDescent="0.25">
      <c r="A1177">
        <v>0</v>
      </c>
      <c r="B1177">
        <v>5000</v>
      </c>
      <c r="C1177">
        <f>1.225 * (1 - 0.00000687559 * B1177) ^ 4.2561</f>
        <v>1.0555380742846066</v>
      </c>
      <c r="D1177">
        <f>E1177*(SQRT($C$2/C1177))</f>
        <v>129.27434283654705</v>
      </c>
      <c r="E1177">
        <v>120</v>
      </c>
      <c r="F1177">
        <v>1150</v>
      </c>
      <c r="G1177">
        <v>1250</v>
      </c>
      <c r="H1177">
        <f>CONVERT(G1177,"HP","kW")</f>
        <v>932.12483947783778</v>
      </c>
      <c r="I1177">
        <v>0.82750000000000001</v>
      </c>
      <c r="J1177">
        <v>0.87570000000000003</v>
      </c>
      <c r="K1177">
        <v>0.53680000000000005</v>
      </c>
      <c r="L1177">
        <v>0.12839999999999999</v>
      </c>
      <c r="M1177">
        <v>0.12130000000000001</v>
      </c>
      <c r="N1177">
        <f>CONVERT(O1177,"lbf","N")</f>
        <v>11597.848217468703</v>
      </c>
      <c r="O1177">
        <v>2607.3000000000002</v>
      </c>
      <c r="P1177">
        <f t="shared" si="18"/>
        <v>0.94470404984423695</v>
      </c>
    </row>
    <row r="1178" spans="1:16" hidden="1" x14ac:dyDescent="0.25">
      <c r="A1178">
        <v>0</v>
      </c>
      <c r="B1178">
        <v>5000</v>
      </c>
      <c r="C1178">
        <f>1.225 * (1 - 0.00000687559 * B1178) ^ 4.2561</f>
        <v>1.0555380742846066</v>
      </c>
      <c r="D1178">
        <f>E1178*(SQRT($C$2/C1178))</f>
        <v>150.82006664263821</v>
      </c>
      <c r="E1178">
        <v>140</v>
      </c>
      <c r="F1178">
        <v>1150</v>
      </c>
      <c r="G1178">
        <v>1250</v>
      </c>
      <c r="H1178">
        <f>CONVERT(G1178,"HP","kW")</f>
        <v>932.12483947783778</v>
      </c>
      <c r="I1178">
        <v>0.85460000000000003</v>
      </c>
      <c r="J1178">
        <v>1.0216000000000001</v>
      </c>
      <c r="K1178">
        <v>0.55020000000000002</v>
      </c>
      <c r="L1178">
        <v>0.12839999999999999</v>
      </c>
      <c r="M1178">
        <v>0.1074</v>
      </c>
      <c r="N1178">
        <f>CONVERT(O1178,"lbf","N")</f>
        <v>10266.495488021234</v>
      </c>
      <c r="O1178">
        <v>2308</v>
      </c>
      <c r="P1178">
        <f t="shared" si="18"/>
        <v>0.83644859813084116</v>
      </c>
    </row>
    <row r="1179" spans="1:16" hidden="1" x14ac:dyDescent="0.25">
      <c r="A1179">
        <v>0</v>
      </c>
      <c r="B1179">
        <v>5000</v>
      </c>
      <c r="C1179">
        <f>1.225 * (1 - 0.00000687559 * B1179) ^ 4.2561</f>
        <v>1.0555380742846066</v>
      </c>
      <c r="D1179">
        <f>E1179*(SQRT($C$2/C1179))</f>
        <v>172.3657904487294</v>
      </c>
      <c r="E1179">
        <v>160</v>
      </c>
      <c r="F1179">
        <v>1150</v>
      </c>
      <c r="G1179">
        <v>1250</v>
      </c>
      <c r="H1179">
        <f>CONVERT(G1179,"HP","kW")</f>
        <v>932.12483947783778</v>
      </c>
      <c r="I1179">
        <v>0.87039999999999995</v>
      </c>
      <c r="J1179">
        <v>1.1676</v>
      </c>
      <c r="K1179">
        <v>0.56510000000000005</v>
      </c>
      <c r="L1179">
        <v>0.12839999999999999</v>
      </c>
      <c r="M1179">
        <v>9.5699999999999993E-2</v>
      </c>
      <c r="N1179">
        <f>CONVERT(O1179,"lbf","N")</f>
        <v>9149.9918625908485</v>
      </c>
      <c r="O1179">
        <v>2057</v>
      </c>
      <c r="P1179">
        <f t="shared" si="18"/>
        <v>0.74532710280373837</v>
      </c>
    </row>
    <row r="1180" spans="1:16" hidden="1" x14ac:dyDescent="0.25">
      <c r="A1180">
        <v>0</v>
      </c>
      <c r="B1180">
        <v>5000</v>
      </c>
      <c r="C1180">
        <f>1.225 * (1 - 0.00000687559 * B1180) ^ 4.2561</f>
        <v>1.0555380742846066</v>
      </c>
      <c r="D1180">
        <f>E1180*(SQRT($C$2/C1180))</f>
        <v>193.91151425482059</v>
      </c>
      <c r="E1180">
        <v>180</v>
      </c>
      <c r="F1180">
        <v>1150</v>
      </c>
      <c r="G1180">
        <v>1250</v>
      </c>
      <c r="H1180">
        <f>CONVERT(G1180,"HP","kW")</f>
        <v>932.12483947783778</v>
      </c>
      <c r="I1180">
        <v>0.87829999999999997</v>
      </c>
      <c r="J1180">
        <v>1.3134999999999999</v>
      </c>
      <c r="K1180">
        <v>0.58150000000000002</v>
      </c>
      <c r="L1180">
        <v>0.12839999999999999</v>
      </c>
      <c r="M1180">
        <v>8.5900000000000004E-2</v>
      </c>
      <c r="N1180">
        <f>CONVERT(O1180,"lbf","N")</f>
        <v>8206.5240579940983</v>
      </c>
      <c r="O1180">
        <v>1844.9</v>
      </c>
      <c r="P1180">
        <f t="shared" si="18"/>
        <v>0.66900311526479761</v>
      </c>
    </row>
    <row r="1181" spans="1:16" hidden="1" x14ac:dyDescent="0.25">
      <c r="A1181">
        <v>0</v>
      </c>
      <c r="B1181">
        <v>5000</v>
      </c>
      <c r="C1181">
        <f>1.225 * (1 - 0.00000687559 * B1181) ^ 4.2561</f>
        <v>1.0555380742846066</v>
      </c>
      <c r="D1181">
        <f>E1181*(SQRT($C$2/C1181))</f>
        <v>258.5486856730941</v>
      </c>
      <c r="E1181">
        <v>240</v>
      </c>
      <c r="F1181">
        <v>1150</v>
      </c>
      <c r="G1181">
        <v>1250</v>
      </c>
      <c r="H1181">
        <f>CONVERT(G1181,"HP","kW")</f>
        <v>932.12483947783778</v>
      </c>
      <c r="I1181">
        <v>0.86539999999999995</v>
      </c>
      <c r="J1181">
        <v>1.7513000000000001</v>
      </c>
      <c r="K1181">
        <v>0.63839999999999997</v>
      </c>
      <c r="L1181">
        <v>0.12839999999999999</v>
      </c>
      <c r="M1181">
        <v>6.3399999999999998E-2</v>
      </c>
      <c r="N1181">
        <f>CONVERT(O1181,"lbf","N")</f>
        <v>6064.7053502461658</v>
      </c>
      <c r="O1181">
        <v>1363.4</v>
      </c>
      <c r="P1181">
        <f t="shared" si="18"/>
        <v>0.49376947040498448</v>
      </c>
    </row>
    <row r="1182" spans="1:16" hidden="1" x14ac:dyDescent="0.25">
      <c r="A1182">
        <v>0</v>
      </c>
      <c r="B1182">
        <v>5000</v>
      </c>
      <c r="C1182">
        <f>1.225 * (1 - 0.00000687559 * B1182) ^ 4.2561</f>
        <v>1.0555380742846066</v>
      </c>
      <c r="D1182">
        <f>E1182*(SQRT($C$2/C1182))</f>
        <v>21.545723806091175</v>
      </c>
      <c r="E1182">
        <v>20</v>
      </c>
      <c r="F1182">
        <v>1150</v>
      </c>
      <c r="G1182">
        <v>1250</v>
      </c>
      <c r="H1182">
        <f>CONVERT(G1182,"HP","kW")</f>
        <v>932.12483947783778</v>
      </c>
      <c r="I1182">
        <v>0.25580000000000003</v>
      </c>
      <c r="J1182">
        <v>0.1459</v>
      </c>
      <c r="K1182">
        <v>0.49220000000000003</v>
      </c>
      <c r="L1182">
        <v>0.1285</v>
      </c>
      <c r="M1182">
        <v>0.22520000000000001</v>
      </c>
      <c r="N1182">
        <f>CONVERT(O1182,"lbf","N")</f>
        <v>21509.375620592145</v>
      </c>
      <c r="O1182">
        <v>4835.5</v>
      </c>
      <c r="P1182">
        <f t="shared" si="18"/>
        <v>1.7525291828793774</v>
      </c>
    </row>
    <row r="1183" spans="1:16" hidden="1" x14ac:dyDescent="0.25">
      <c r="A1183">
        <v>0</v>
      </c>
      <c r="B1183">
        <v>5000</v>
      </c>
      <c r="C1183">
        <f>1.225 * (1 - 0.00000687559 * B1183) ^ 4.2561</f>
        <v>1.0555380742846066</v>
      </c>
      <c r="D1183">
        <f>E1183*(SQRT($C$2/C1183))</f>
        <v>64.637171418273525</v>
      </c>
      <c r="E1183">
        <v>60</v>
      </c>
      <c r="F1183">
        <v>1150</v>
      </c>
      <c r="G1183">
        <v>1250</v>
      </c>
      <c r="H1183">
        <f>CONVERT(G1183,"HP","kW")</f>
        <v>932.12483947783778</v>
      </c>
      <c r="I1183">
        <v>0.6119</v>
      </c>
      <c r="J1183">
        <v>0.43780000000000002</v>
      </c>
      <c r="K1183">
        <v>0.50609999999999999</v>
      </c>
      <c r="L1183">
        <v>0.1285</v>
      </c>
      <c r="M1183">
        <v>0.17960000000000001</v>
      </c>
      <c r="N1183">
        <f>CONVERT(O1183,"lbf","N")</f>
        <v>17152.787370606016</v>
      </c>
      <c r="O1183">
        <v>3856.1</v>
      </c>
      <c r="P1183">
        <f t="shared" si="18"/>
        <v>1.3976653696498056</v>
      </c>
    </row>
    <row r="1184" spans="1:16" hidden="1" x14ac:dyDescent="0.25">
      <c r="A1184">
        <v>0</v>
      </c>
      <c r="B1184">
        <v>5000</v>
      </c>
      <c r="C1184">
        <f>1.225 * (1 - 0.00000687559 * B1184) ^ 4.2561</f>
        <v>1.0555380742846066</v>
      </c>
      <c r="D1184">
        <f>E1184*(SQRT($C$2/C1184))</f>
        <v>86.1828952243647</v>
      </c>
      <c r="E1184">
        <v>80</v>
      </c>
      <c r="F1184">
        <v>1150</v>
      </c>
      <c r="G1184">
        <v>1250</v>
      </c>
      <c r="H1184">
        <f>CONVERT(G1184,"HP","kW")</f>
        <v>932.12483947783778</v>
      </c>
      <c r="I1184">
        <v>0.71519999999999995</v>
      </c>
      <c r="J1184">
        <v>0.58379999999999999</v>
      </c>
      <c r="K1184">
        <v>0.51480000000000004</v>
      </c>
      <c r="L1184">
        <v>0.1285</v>
      </c>
      <c r="M1184">
        <v>0.1575</v>
      </c>
      <c r="N1184">
        <f>CONVERT(O1184,"lbf","N")</f>
        <v>15036.323526065069</v>
      </c>
      <c r="O1184">
        <v>3380.3</v>
      </c>
      <c r="P1184">
        <f t="shared" si="18"/>
        <v>1.2256809338521402</v>
      </c>
    </row>
    <row r="1185" spans="1:16" hidden="1" x14ac:dyDescent="0.25">
      <c r="A1185">
        <v>0</v>
      </c>
      <c r="B1185">
        <v>5000</v>
      </c>
      <c r="C1185">
        <f>1.225 * (1 - 0.00000687559 * B1185) ^ 4.2561</f>
        <v>1.0555380742846066</v>
      </c>
      <c r="D1185">
        <f>E1185*(SQRT($C$2/C1185))</f>
        <v>107.72861903045587</v>
      </c>
      <c r="E1185">
        <v>100</v>
      </c>
      <c r="F1185">
        <v>1150</v>
      </c>
      <c r="G1185">
        <v>1250</v>
      </c>
      <c r="H1185">
        <f>CONVERT(G1185,"HP","kW")</f>
        <v>932.12483947783778</v>
      </c>
      <c r="I1185">
        <v>0.78359999999999996</v>
      </c>
      <c r="J1185">
        <v>0.72970000000000002</v>
      </c>
      <c r="K1185">
        <v>0.52500000000000002</v>
      </c>
      <c r="L1185">
        <v>0.1285</v>
      </c>
      <c r="M1185">
        <v>0.13789999999999999</v>
      </c>
      <c r="N1185">
        <f>CONVERT(O1185,"lbf","N")</f>
        <v>13179.635823855335</v>
      </c>
      <c r="O1185">
        <v>2962.9</v>
      </c>
      <c r="P1185">
        <f t="shared" si="18"/>
        <v>1.0731517509727626</v>
      </c>
    </row>
    <row r="1186" spans="1:16" hidden="1" x14ac:dyDescent="0.25">
      <c r="A1186">
        <v>0</v>
      </c>
      <c r="B1186">
        <v>5000</v>
      </c>
      <c r="C1186">
        <f>1.225 * (1 - 0.00000687559 * B1186) ^ 4.2561</f>
        <v>1.0555380742846066</v>
      </c>
      <c r="D1186">
        <f>E1186*(SQRT($C$2/C1186))</f>
        <v>237.00296186700291</v>
      </c>
      <c r="E1186">
        <v>220</v>
      </c>
      <c r="F1186">
        <v>1215</v>
      </c>
      <c r="G1186">
        <v>1500</v>
      </c>
      <c r="H1186">
        <f>CONVERT(G1186,"HP","kW")</f>
        <v>1118.5498073734054</v>
      </c>
      <c r="I1186">
        <v>0.879</v>
      </c>
      <c r="J1186">
        <v>1.5195000000000001</v>
      </c>
      <c r="K1186">
        <v>0.64119999999999999</v>
      </c>
      <c r="L1186">
        <v>0.1305</v>
      </c>
      <c r="M1186">
        <v>7.5499999999999998E-2</v>
      </c>
      <c r="N1186">
        <f>CONVERT(O1186,"lbf","N")</f>
        <v>8064.1809663057611</v>
      </c>
      <c r="O1186">
        <v>1812.9</v>
      </c>
      <c r="P1186">
        <f t="shared" si="18"/>
        <v>0.57854406130268199</v>
      </c>
    </row>
    <row r="1187" spans="1:16" hidden="1" x14ac:dyDescent="0.25">
      <c r="A1187">
        <v>0</v>
      </c>
      <c r="B1187">
        <v>5000</v>
      </c>
      <c r="C1187">
        <f>1.225 * (1 - 0.00000687559 * B1187) ^ 4.2561</f>
        <v>1.0555380742846066</v>
      </c>
      <c r="D1187">
        <f>E1187*(SQRT($C$2/C1187))</f>
        <v>215.45723806091175</v>
      </c>
      <c r="E1187">
        <v>200</v>
      </c>
      <c r="F1187">
        <v>1215</v>
      </c>
      <c r="G1187">
        <v>1500</v>
      </c>
      <c r="H1187">
        <f>CONVERT(G1187,"HP","kW")</f>
        <v>1118.5498073734054</v>
      </c>
      <c r="I1187">
        <v>0.88</v>
      </c>
      <c r="J1187">
        <v>1.3814</v>
      </c>
      <c r="K1187">
        <v>0.62290000000000001</v>
      </c>
      <c r="L1187">
        <v>0.13059999999999999</v>
      </c>
      <c r="M1187">
        <v>8.3199999999999996E-2</v>
      </c>
      <c r="N1187">
        <f>CONVERT(O1187,"lbf","N")</f>
        <v>8879.9848105445362</v>
      </c>
      <c r="O1187">
        <v>1996.3</v>
      </c>
      <c r="P1187">
        <f t="shared" si="18"/>
        <v>0.6370597243491577</v>
      </c>
    </row>
    <row r="1188" spans="1:16" hidden="1" x14ac:dyDescent="0.25">
      <c r="A1188">
        <v>0</v>
      </c>
      <c r="B1188">
        <v>5000</v>
      </c>
      <c r="C1188">
        <f>1.225 * (1 - 0.00000687559 * B1188) ^ 4.2561</f>
        <v>1.0555380742846066</v>
      </c>
      <c r="D1188">
        <f>E1188*(SQRT($C$2/C1188))</f>
        <v>258.5486856730941</v>
      </c>
      <c r="E1188">
        <v>240</v>
      </c>
      <c r="F1188">
        <v>1215</v>
      </c>
      <c r="G1188">
        <v>1500</v>
      </c>
      <c r="H1188">
        <f>CONVERT(G1188,"HP","kW")</f>
        <v>1118.5498073734054</v>
      </c>
      <c r="I1188">
        <v>0.87080000000000002</v>
      </c>
      <c r="J1188">
        <v>1.6577</v>
      </c>
      <c r="K1188">
        <v>0.66069999999999995</v>
      </c>
      <c r="L1188">
        <v>0.13059999999999999</v>
      </c>
      <c r="M1188">
        <v>6.8599999999999994E-2</v>
      </c>
      <c r="N1188">
        <f>CONVERT(O1188,"lbf","N")</f>
        <v>7323.1072452033613</v>
      </c>
      <c r="O1188">
        <v>1646.3</v>
      </c>
      <c r="P1188">
        <f t="shared" si="18"/>
        <v>0.52526799387442569</v>
      </c>
    </row>
    <row r="1189" spans="1:16" hidden="1" x14ac:dyDescent="0.25">
      <c r="A1189">
        <v>0</v>
      </c>
      <c r="B1189">
        <v>5000</v>
      </c>
      <c r="C1189">
        <f>1.225 * (1 - 0.00000687559 * B1189) ^ 4.2561</f>
        <v>1.0555380742846066</v>
      </c>
      <c r="D1189">
        <f>E1189*(SQRT($C$2/C1189))</f>
        <v>0</v>
      </c>
      <c r="E1189">
        <v>0</v>
      </c>
      <c r="F1189">
        <v>1215</v>
      </c>
      <c r="G1189">
        <v>1500</v>
      </c>
      <c r="H1189">
        <f>CONVERT(G1189,"HP","kW")</f>
        <v>1118.5498073734054</v>
      </c>
      <c r="I1189">
        <v>0</v>
      </c>
      <c r="J1189">
        <v>0</v>
      </c>
      <c r="K1189">
        <v>0.51390000000000002</v>
      </c>
      <c r="L1189">
        <v>0.13070000000000001</v>
      </c>
      <c r="M1189">
        <v>0.24629999999999999</v>
      </c>
      <c r="N1189">
        <f>CONVERT(O1189,"lbf","N")</f>
        <v>26274.755437020722</v>
      </c>
      <c r="O1189">
        <v>5906.8</v>
      </c>
      <c r="P1189">
        <f t="shared" si="18"/>
        <v>1.8844682478959447</v>
      </c>
    </row>
    <row r="1190" spans="1:16" hidden="1" x14ac:dyDescent="0.25">
      <c r="A1190">
        <v>0</v>
      </c>
      <c r="B1190">
        <v>5000</v>
      </c>
      <c r="C1190">
        <f>1.225 * (1 - 0.00000687559 * B1190) ^ 4.2561</f>
        <v>1.0555380742846066</v>
      </c>
      <c r="D1190">
        <f>E1190*(SQRT($C$2/C1190))</f>
        <v>21.545723806091175</v>
      </c>
      <c r="E1190">
        <v>20</v>
      </c>
      <c r="F1190">
        <v>1215</v>
      </c>
      <c r="G1190">
        <v>1500</v>
      </c>
      <c r="H1190">
        <f>CONVERT(G1190,"HP","kW")</f>
        <v>1118.5498073734054</v>
      </c>
      <c r="I1190">
        <v>0.24160000000000001</v>
      </c>
      <c r="J1190">
        <v>0.1381</v>
      </c>
      <c r="K1190">
        <v>0.51949999999999996</v>
      </c>
      <c r="L1190">
        <v>0.13070000000000001</v>
      </c>
      <c r="M1190">
        <v>0.22850000000000001</v>
      </c>
      <c r="N1190">
        <f>CONVERT(O1190,"lbf","N")</f>
        <v>24383.371606211957</v>
      </c>
      <c r="O1190">
        <v>5481.6</v>
      </c>
      <c r="P1190">
        <f t="shared" si="18"/>
        <v>1.7482785003825554</v>
      </c>
    </row>
    <row r="1191" spans="1:16" hidden="1" x14ac:dyDescent="0.25">
      <c r="A1191">
        <v>0</v>
      </c>
      <c r="B1191">
        <v>5000</v>
      </c>
      <c r="C1191">
        <f>1.225 * (1 - 0.00000687559 * B1191) ^ 4.2561</f>
        <v>1.0555380742846066</v>
      </c>
      <c r="D1191">
        <f>E1191*(SQRT($C$2/C1191))</f>
        <v>43.09144761218235</v>
      </c>
      <c r="E1191">
        <v>40</v>
      </c>
      <c r="F1191">
        <v>1215</v>
      </c>
      <c r="G1191">
        <v>1500</v>
      </c>
      <c r="H1191">
        <f>CONVERT(G1191,"HP","kW")</f>
        <v>1118.5498073734054</v>
      </c>
      <c r="I1191">
        <v>0.43780000000000002</v>
      </c>
      <c r="J1191">
        <v>0.27629999999999999</v>
      </c>
      <c r="K1191">
        <v>0.52590000000000003</v>
      </c>
      <c r="L1191">
        <v>0.13070000000000001</v>
      </c>
      <c r="M1191">
        <v>0.20710000000000001</v>
      </c>
      <c r="N1191">
        <f>CONVERT(O1191,"lbf","N")</f>
        <v>22089.868541383643</v>
      </c>
      <c r="O1191">
        <v>4966</v>
      </c>
      <c r="P1191">
        <f t="shared" si="18"/>
        <v>1.5845447589900534</v>
      </c>
    </row>
    <row r="1192" spans="1:16" hidden="1" x14ac:dyDescent="0.25">
      <c r="A1192">
        <v>0</v>
      </c>
      <c r="B1192">
        <v>5000</v>
      </c>
      <c r="C1192">
        <f>1.225 * (1 - 0.00000687559 * B1192) ^ 4.2561</f>
        <v>1.0555380742846066</v>
      </c>
      <c r="D1192">
        <f>E1192*(SQRT($C$2/C1192))</f>
        <v>107.72861903045587</v>
      </c>
      <c r="E1192">
        <v>100</v>
      </c>
      <c r="F1192">
        <v>1215</v>
      </c>
      <c r="G1192">
        <v>1500</v>
      </c>
      <c r="H1192">
        <f>CONVERT(G1192,"HP","kW")</f>
        <v>1118.5498073734054</v>
      </c>
      <c r="I1192">
        <v>0.76619999999999999</v>
      </c>
      <c r="J1192">
        <v>0.69069999999999998</v>
      </c>
      <c r="K1192">
        <v>0.55159999999999998</v>
      </c>
      <c r="L1192">
        <v>0.13070000000000001</v>
      </c>
      <c r="M1192">
        <v>0.14499999999999999</v>
      </c>
      <c r="N1192">
        <f>CONVERT(O1192,"lbf","N")</f>
        <v>15464.242445453128</v>
      </c>
      <c r="O1192">
        <v>3476.5</v>
      </c>
      <c r="P1192">
        <f t="shared" si="18"/>
        <v>1.1094108645753633</v>
      </c>
    </row>
    <row r="1193" spans="1:16" hidden="1" x14ac:dyDescent="0.25">
      <c r="A1193">
        <v>0</v>
      </c>
      <c r="B1193">
        <v>5000</v>
      </c>
      <c r="C1193">
        <f>1.225 * (1 - 0.00000687559 * B1193) ^ 4.2561</f>
        <v>1.0555380742846066</v>
      </c>
      <c r="D1193">
        <f>E1193*(SQRT($C$2/C1193))</f>
        <v>129.27434283654705</v>
      </c>
      <c r="E1193">
        <v>120</v>
      </c>
      <c r="F1193">
        <v>1215</v>
      </c>
      <c r="G1193">
        <v>1500</v>
      </c>
      <c r="H1193">
        <f>CONVERT(G1193,"HP","kW")</f>
        <v>1118.5498073734054</v>
      </c>
      <c r="I1193">
        <v>0.81420000000000003</v>
      </c>
      <c r="J1193">
        <v>0.82879999999999998</v>
      </c>
      <c r="K1193">
        <v>0.56289999999999996</v>
      </c>
      <c r="L1193">
        <v>0.13070000000000001</v>
      </c>
      <c r="M1193">
        <v>0.12839999999999999</v>
      </c>
      <c r="N1193">
        <f>CONVERT(O1193,"lbf","N")</f>
        <v>13694.295064740974</v>
      </c>
      <c r="O1193">
        <v>3078.6</v>
      </c>
      <c r="P1193">
        <f t="shared" si="18"/>
        <v>0.98240244835501134</v>
      </c>
    </row>
    <row r="1194" spans="1:16" hidden="1" x14ac:dyDescent="0.25">
      <c r="A1194">
        <v>0</v>
      </c>
      <c r="B1194">
        <v>5000</v>
      </c>
      <c r="C1194">
        <f>1.225 * (1 - 0.00000687559 * B1194) ^ 4.2561</f>
        <v>1.0555380742846066</v>
      </c>
      <c r="D1194">
        <f>E1194*(SQRT($C$2/C1194))</f>
        <v>150.82006664263821</v>
      </c>
      <c r="E1194">
        <v>140</v>
      </c>
      <c r="F1194">
        <v>1215</v>
      </c>
      <c r="G1194">
        <v>1500</v>
      </c>
      <c r="H1194">
        <f>CONVERT(G1194,"HP","kW")</f>
        <v>1118.5498073734054</v>
      </c>
      <c r="I1194">
        <v>0.84519999999999995</v>
      </c>
      <c r="J1194">
        <v>0.96699999999999997</v>
      </c>
      <c r="K1194">
        <v>0.57579999999999998</v>
      </c>
      <c r="L1194">
        <v>0.13070000000000001</v>
      </c>
      <c r="M1194">
        <v>0.1142</v>
      </c>
      <c r="N1194">
        <f>CONVERT(O1194,"lbf","N")</f>
        <v>12184.568648521561</v>
      </c>
      <c r="O1194">
        <v>2739.2</v>
      </c>
      <c r="P1194">
        <f t="shared" si="18"/>
        <v>0.87375669472073436</v>
      </c>
    </row>
    <row r="1195" spans="1:16" hidden="1" x14ac:dyDescent="0.25">
      <c r="A1195">
        <v>0</v>
      </c>
      <c r="B1195">
        <v>5000</v>
      </c>
      <c r="C1195">
        <f>1.225 * (1 - 0.00000687559 * B1195) ^ 4.2561</f>
        <v>1.0555380742846066</v>
      </c>
      <c r="D1195">
        <f>E1195*(SQRT($C$2/C1195))</f>
        <v>172.3657904487294</v>
      </c>
      <c r="E1195">
        <v>160</v>
      </c>
      <c r="F1195">
        <v>1215</v>
      </c>
      <c r="G1195">
        <v>1500</v>
      </c>
      <c r="H1195">
        <f>CONVERT(G1195,"HP","kW")</f>
        <v>1118.5498073734054</v>
      </c>
      <c r="I1195">
        <v>0.86439999999999995</v>
      </c>
      <c r="J1195">
        <v>1.1051</v>
      </c>
      <c r="K1195">
        <v>0.59009999999999996</v>
      </c>
      <c r="L1195">
        <v>0.13070000000000001</v>
      </c>
      <c r="M1195">
        <v>0.1022</v>
      </c>
      <c r="N1195">
        <f>CONVERT(O1195,"lbf","N")</f>
        <v>10903.480823326538</v>
      </c>
      <c r="O1195">
        <v>2451.1999999999998</v>
      </c>
      <c r="P1195">
        <f t="shared" si="18"/>
        <v>0.78194338179035949</v>
      </c>
    </row>
    <row r="1196" spans="1:16" hidden="1" x14ac:dyDescent="0.25">
      <c r="A1196">
        <v>0</v>
      </c>
      <c r="B1196">
        <v>5000</v>
      </c>
      <c r="C1196">
        <f>1.225 * (1 - 0.00000687559 * B1196) ^ 4.2561</f>
        <v>1.0555380742846066</v>
      </c>
      <c r="D1196">
        <f>E1196*(SQRT($C$2/C1196))</f>
        <v>193.91151425482059</v>
      </c>
      <c r="E1196">
        <v>180</v>
      </c>
      <c r="F1196">
        <v>1215</v>
      </c>
      <c r="G1196">
        <v>1500</v>
      </c>
      <c r="H1196">
        <f>CONVERT(G1196,"HP","kW")</f>
        <v>1118.5498073734054</v>
      </c>
      <c r="I1196">
        <v>0.87529999999999997</v>
      </c>
      <c r="J1196">
        <v>1.2432000000000001</v>
      </c>
      <c r="K1196">
        <v>0.60580000000000001</v>
      </c>
      <c r="L1196">
        <v>0.13070000000000001</v>
      </c>
      <c r="M1196">
        <v>9.1999999999999998E-2</v>
      </c>
      <c r="N1196">
        <f>CONVERT(O1196,"lbf","N")</f>
        <v>9815.0009940722939</v>
      </c>
      <c r="O1196">
        <v>2206.5</v>
      </c>
      <c r="P1196">
        <f t="shared" si="18"/>
        <v>0.70390206579954084</v>
      </c>
    </row>
    <row r="1197" spans="1:16" hidden="1" x14ac:dyDescent="0.25">
      <c r="A1197">
        <v>0</v>
      </c>
      <c r="B1197">
        <v>5000</v>
      </c>
      <c r="C1197">
        <f>1.225 * (1 - 0.00000687559 * B1197) ^ 4.2561</f>
        <v>1.0555380742846066</v>
      </c>
      <c r="D1197">
        <f>E1197*(SQRT($C$2/C1197))</f>
        <v>280.09440947918529</v>
      </c>
      <c r="E1197">
        <v>260</v>
      </c>
      <c r="F1197">
        <v>1215</v>
      </c>
      <c r="G1197">
        <v>1500</v>
      </c>
      <c r="H1197">
        <f>CONVERT(G1197,"HP","kW")</f>
        <v>1118.5498073734054</v>
      </c>
      <c r="I1197">
        <v>0.85309999999999997</v>
      </c>
      <c r="J1197">
        <v>1.7958000000000001</v>
      </c>
      <c r="K1197">
        <v>0.68120000000000003</v>
      </c>
      <c r="L1197">
        <v>0.13070000000000001</v>
      </c>
      <c r="M1197">
        <v>6.2100000000000002E-2</v>
      </c>
      <c r="N1197">
        <f>CONVERT(O1197,"lbf","N")</f>
        <v>6622.0675186383069</v>
      </c>
      <c r="O1197">
        <v>1488.7</v>
      </c>
      <c r="P1197">
        <f t="shared" si="18"/>
        <v>0.47513389441469012</v>
      </c>
    </row>
    <row r="1198" spans="1:16" hidden="1" x14ac:dyDescent="0.25">
      <c r="A1198">
        <v>0</v>
      </c>
      <c r="B1198">
        <v>5000</v>
      </c>
      <c r="C1198">
        <f>1.225 * (1 - 0.00000687559 * B1198) ^ 4.2561</f>
        <v>1.0555380742846066</v>
      </c>
      <c r="D1198">
        <f>E1198*(SQRT($C$2/C1198))</f>
        <v>64.637171418273525</v>
      </c>
      <c r="E1198">
        <v>60</v>
      </c>
      <c r="F1198">
        <v>1215</v>
      </c>
      <c r="G1198">
        <v>1500</v>
      </c>
      <c r="H1198">
        <f>CONVERT(G1198,"HP","kW")</f>
        <v>1118.5498073734054</v>
      </c>
      <c r="I1198">
        <v>0.58830000000000005</v>
      </c>
      <c r="J1198">
        <v>0.41439999999999999</v>
      </c>
      <c r="K1198">
        <v>0.53320000000000001</v>
      </c>
      <c r="L1198">
        <v>0.1308</v>
      </c>
      <c r="M1198">
        <v>0.18559999999999999</v>
      </c>
      <c r="N1198">
        <f>CONVERT(O1198,"lbf","N")</f>
        <v>19788.358677647862</v>
      </c>
      <c r="O1198">
        <v>4448.6000000000004</v>
      </c>
      <c r="P1198">
        <f t="shared" si="18"/>
        <v>1.418960244648318</v>
      </c>
    </row>
    <row r="1199" spans="1:16" hidden="1" x14ac:dyDescent="0.25">
      <c r="A1199">
        <v>0</v>
      </c>
      <c r="B1199">
        <v>5000</v>
      </c>
      <c r="C1199">
        <f>1.225 * (1 - 0.00000687559 * B1199) ^ 4.2561</f>
        <v>1.0555380742846066</v>
      </c>
      <c r="D1199">
        <f>E1199*(SQRT($C$2/C1199))</f>
        <v>86.1828952243647</v>
      </c>
      <c r="E1199">
        <v>80</v>
      </c>
      <c r="F1199">
        <v>1215</v>
      </c>
      <c r="G1199">
        <v>1500</v>
      </c>
      <c r="H1199">
        <f>CONVERT(G1199,"HP","kW")</f>
        <v>1118.5498073734054</v>
      </c>
      <c r="I1199">
        <v>0.69399999999999995</v>
      </c>
      <c r="J1199">
        <v>0.55259999999999998</v>
      </c>
      <c r="K1199">
        <v>0.54169999999999996</v>
      </c>
      <c r="L1199">
        <v>0.1308</v>
      </c>
      <c r="M1199">
        <v>0.16420000000000001</v>
      </c>
      <c r="N1199">
        <f>CONVERT(O1199,"lbf","N")</f>
        <v>17508.200277665328</v>
      </c>
      <c r="O1199">
        <v>3936</v>
      </c>
      <c r="P1199">
        <f t="shared" si="18"/>
        <v>1.2553516819571866</v>
      </c>
    </row>
    <row r="1200" spans="1:16" hidden="1" x14ac:dyDescent="0.25">
      <c r="A1200">
        <v>0</v>
      </c>
      <c r="B1200">
        <v>0</v>
      </c>
      <c r="C1200">
        <f>1.225 * (1 - 0.00000687559 * B1200) ^ 4.2561</f>
        <v>1.2250000000000001</v>
      </c>
      <c r="D1200">
        <f>E1200*(SQRT($C$2/C1200))</f>
        <v>240</v>
      </c>
      <c r="E1200">
        <v>240</v>
      </c>
      <c r="F1200">
        <v>1215</v>
      </c>
      <c r="G1200">
        <v>1750</v>
      </c>
      <c r="H1200">
        <f>CONVERT(G1200,"HP","kW")</f>
        <v>1304.974775268973</v>
      </c>
      <c r="I1200">
        <v>0.87939999999999996</v>
      </c>
      <c r="J1200">
        <v>1.5387</v>
      </c>
      <c r="K1200">
        <v>0.63270000000000004</v>
      </c>
      <c r="L1200">
        <v>0.13120000000000001</v>
      </c>
      <c r="M1200">
        <v>7.4999999999999997E-2</v>
      </c>
      <c r="N1200">
        <f>CONVERT(O1200,"lbf","N")</f>
        <v>9295.0038872483401</v>
      </c>
      <c r="O1200">
        <v>2089.6</v>
      </c>
      <c r="P1200">
        <f t="shared" si="18"/>
        <v>0.57164634146341453</v>
      </c>
    </row>
    <row r="1201" spans="1:16" hidden="1" x14ac:dyDescent="0.25">
      <c r="A1201">
        <v>0</v>
      </c>
      <c r="B1201">
        <v>20000</v>
      </c>
      <c r="C1201">
        <f>1.225 * (1 - 0.00000687559 * B1201) ^ 4.2561</f>
        <v>0.65267221054298263</v>
      </c>
      <c r="D1201">
        <f>E1201*(SQRT($C$2/C1201))</f>
        <v>191.79996305164894</v>
      </c>
      <c r="E1201">
        <v>140</v>
      </c>
      <c r="F1201">
        <v>987</v>
      </c>
      <c r="G1201">
        <v>500</v>
      </c>
      <c r="H1201">
        <f>CONVERT(G1201,"HP","kW")</f>
        <v>372.84993579113512</v>
      </c>
      <c r="I1201">
        <v>0.88270000000000004</v>
      </c>
      <c r="J1201">
        <v>1.5137</v>
      </c>
      <c r="K1201">
        <v>0.55049999999999999</v>
      </c>
      <c r="L1201">
        <v>0.1313</v>
      </c>
      <c r="M1201">
        <v>7.6600000000000001E-2</v>
      </c>
      <c r="N1201">
        <f>CONVERT(O1201,"lbf","N")</f>
        <v>3335.2765671223228</v>
      </c>
      <c r="O1201">
        <v>749.8</v>
      </c>
      <c r="P1201">
        <f t="shared" si="18"/>
        <v>0.58339680121858339</v>
      </c>
    </row>
    <row r="1202" spans="1:16" hidden="1" x14ac:dyDescent="0.25">
      <c r="A1202">
        <v>0</v>
      </c>
      <c r="B1202">
        <v>20000</v>
      </c>
      <c r="C1202">
        <f>1.225 * (1 - 0.00000687559 * B1202) ^ 4.2561</f>
        <v>0.65267221054298263</v>
      </c>
      <c r="D1202">
        <f>E1202*(SQRT($C$2/C1202))</f>
        <v>219.19995777331309</v>
      </c>
      <c r="E1202">
        <v>160</v>
      </c>
      <c r="F1202">
        <v>987</v>
      </c>
      <c r="G1202">
        <v>500</v>
      </c>
      <c r="H1202">
        <f>CONVERT(G1202,"HP","kW")</f>
        <v>372.84993579113512</v>
      </c>
      <c r="I1202">
        <v>0.87419999999999998</v>
      </c>
      <c r="J1202">
        <v>1.73</v>
      </c>
      <c r="K1202">
        <v>0.57699999999999996</v>
      </c>
      <c r="L1202">
        <v>0.1313</v>
      </c>
      <c r="M1202">
        <v>6.6299999999999998E-2</v>
      </c>
      <c r="N1202">
        <f>CONVERT(O1202,"lbf","N")</f>
        <v>2890.4544055962729</v>
      </c>
      <c r="O1202">
        <v>649.79999999999995</v>
      </c>
      <c r="P1202">
        <f t="shared" si="18"/>
        <v>0.50495049504950495</v>
      </c>
    </row>
    <row r="1203" spans="1:16" hidden="1" x14ac:dyDescent="0.25">
      <c r="A1203">
        <v>0</v>
      </c>
      <c r="B1203">
        <v>20000</v>
      </c>
      <c r="C1203">
        <f>1.225 * (1 - 0.00000687559 * B1203) ^ 4.2561</f>
        <v>0.65267221054298263</v>
      </c>
      <c r="D1203">
        <f>E1203*(SQRT($C$2/C1203))</f>
        <v>246.59995249497723</v>
      </c>
      <c r="E1203">
        <v>180</v>
      </c>
      <c r="F1203">
        <v>987</v>
      </c>
      <c r="G1203">
        <v>500</v>
      </c>
      <c r="H1203">
        <f>CONVERT(G1203,"HP","kW")</f>
        <v>372.84993579113512</v>
      </c>
      <c r="I1203">
        <v>0.85360000000000003</v>
      </c>
      <c r="J1203">
        <v>1.9461999999999999</v>
      </c>
      <c r="K1203">
        <v>0.60560000000000003</v>
      </c>
      <c r="L1203">
        <v>0.1313</v>
      </c>
      <c r="M1203">
        <v>5.7599999999999998E-2</v>
      </c>
      <c r="N1203">
        <f>CONVERT(O1203,"lbf","N")</f>
        <v>2508.7969910069223</v>
      </c>
      <c r="O1203">
        <v>564</v>
      </c>
      <c r="P1203">
        <f t="shared" si="18"/>
        <v>0.43869002284843867</v>
      </c>
    </row>
    <row r="1204" spans="1:16" hidden="1" x14ac:dyDescent="0.25">
      <c r="A1204">
        <v>0</v>
      </c>
      <c r="B1204">
        <v>20000</v>
      </c>
      <c r="C1204">
        <f>1.225 * (1 - 0.00000687559 * B1204) ^ 4.2561</f>
        <v>0.65267221054298263</v>
      </c>
      <c r="D1204">
        <f>E1204*(SQRT($C$2/C1204))</f>
        <v>301.39994193830552</v>
      </c>
      <c r="E1204">
        <v>220</v>
      </c>
      <c r="F1204">
        <v>987</v>
      </c>
      <c r="G1204">
        <v>500</v>
      </c>
      <c r="H1204">
        <f>CONVERT(G1204,"HP","kW")</f>
        <v>372.84993579113512</v>
      </c>
      <c r="I1204">
        <v>0.75890000000000002</v>
      </c>
      <c r="J1204">
        <v>2.3786999999999998</v>
      </c>
      <c r="K1204">
        <v>0.66810000000000003</v>
      </c>
      <c r="L1204">
        <v>0.1313</v>
      </c>
      <c r="M1204">
        <v>4.19E-2</v>
      </c>
      <c r="N1204">
        <f>CONVERT(O1204,"lbf","N")</f>
        <v>1825.1053287413833</v>
      </c>
      <c r="O1204">
        <v>410.3</v>
      </c>
      <c r="P1204">
        <f t="shared" si="18"/>
        <v>0.31911652703731913</v>
      </c>
    </row>
    <row r="1205" spans="1:16" hidden="1" x14ac:dyDescent="0.25">
      <c r="A1205">
        <v>0</v>
      </c>
      <c r="B1205">
        <v>0</v>
      </c>
      <c r="C1205">
        <f>1.225 * (1 - 0.00000687559 * B1205) ^ 4.2561</f>
        <v>1.2250000000000001</v>
      </c>
      <c r="D1205">
        <f>E1205*(SQRT($C$2/C1205))</f>
        <v>140</v>
      </c>
      <c r="E1205">
        <v>140</v>
      </c>
      <c r="F1205">
        <v>1215</v>
      </c>
      <c r="G1205">
        <v>1750</v>
      </c>
      <c r="H1205">
        <f>CONVERT(G1205,"HP","kW")</f>
        <v>1304.974775268973</v>
      </c>
      <c r="I1205">
        <v>0.83130000000000004</v>
      </c>
      <c r="J1205">
        <v>0.89759999999999995</v>
      </c>
      <c r="K1205">
        <v>0.55920000000000003</v>
      </c>
      <c r="L1205">
        <v>0.1313</v>
      </c>
      <c r="M1205">
        <v>0.1216</v>
      </c>
      <c r="N1205">
        <f>CONVERT(O1205,"lbf","N")</f>
        <v>15061.678389272054</v>
      </c>
      <c r="O1205">
        <v>3386</v>
      </c>
      <c r="P1205">
        <f t="shared" si="18"/>
        <v>0.92612338156892615</v>
      </c>
    </row>
    <row r="1206" spans="1:16" hidden="1" x14ac:dyDescent="0.25">
      <c r="A1206">
        <v>0</v>
      </c>
      <c r="B1206">
        <v>0</v>
      </c>
      <c r="C1206">
        <f>1.225 * (1 - 0.00000687559 * B1206) ^ 4.2561</f>
        <v>1.2250000000000001</v>
      </c>
      <c r="D1206">
        <f>E1206*(SQRT($C$2/C1206))</f>
        <v>160</v>
      </c>
      <c r="E1206">
        <v>160</v>
      </c>
      <c r="F1206">
        <v>1215</v>
      </c>
      <c r="G1206">
        <v>1750</v>
      </c>
      <c r="H1206">
        <f>CONVERT(G1206,"HP","kW")</f>
        <v>1304.974775268973</v>
      </c>
      <c r="I1206">
        <v>0.85450000000000004</v>
      </c>
      <c r="J1206">
        <v>1.0258</v>
      </c>
      <c r="K1206">
        <v>0.5716</v>
      </c>
      <c r="L1206">
        <v>0.1313</v>
      </c>
      <c r="M1206">
        <v>0.1094</v>
      </c>
      <c r="N1206">
        <f>CONVERT(O1206,"lbf","N")</f>
        <v>13547.948573598904</v>
      </c>
      <c r="O1206">
        <v>3045.7</v>
      </c>
      <c r="P1206">
        <f t="shared" si="18"/>
        <v>0.83320639756283321</v>
      </c>
    </row>
    <row r="1207" spans="1:16" hidden="1" x14ac:dyDescent="0.25">
      <c r="A1207">
        <v>0</v>
      </c>
      <c r="B1207">
        <v>0</v>
      </c>
      <c r="C1207">
        <f>1.225 * (1 - 0.00000687559 * B1207) ^ 4.2561</f>
        <v>1.2250000000000001</v>
      </c>
      <c r="D1207">
        <f>E1207*(SQRT($C$2/C1207))</f>
        <v>220</v>
      </c>
      <c r="E1207">
        <v>220</v>
      </c>
      <c r="F1207">
        <v>1215</v>
      </c>
      <c r="G1207">
        <v>1750</v>
      </c>
      <c r="H1207">
        <f>CONVERT(G1207,"HP","kW")</f>
        <v>1304.974775268973</v>
      </c>
      <c r="I1207">
        <v>0.88070000000000004</v>
      </c>
      <c r="J1207">
        <v>1.4105000000000001</v>
      </c>
      <c r="K1207">
        <v>0.61580000000000001</v>
      </c>
      <c r="L1207">
        <v>0.1313</v>
      </c>
      <c r="M1207">
        <v>8.2000000000000003E-2</v>
      </c>
      <c r="N1207">
        <f>CONVERT(O1207,"lbf","N")</f>
        <v>10155.289947639722</v>
      </c>
      <c r="O1207">
        <v>2283</v>
      </c>
      <c r="P1207">
        <f t="shared" si="18"/>
        <v>0.6245239908606246</v>
      </c>
    </row>
    <row r="1208" spans="1:16" hidden="1" x14ac:dyDescent="0.25">
      <c r="A1208">
        <v>0</v>
      </c>
      <c r="B1208">
        <v>0</v>
      </c>
      <c r="C1208">
        <f>1.225 * (1 - 0.00000687559 * B1208) ^ 4.2561</f>
        <v>1.2250000000000001</v>
      </c>
      <c r="D1208">
        <f>E1208*(SQRT($C$2/C1208))</f>
        <v>260</v>
      </c>
      <c r="E1208">
        <v>260</v>
      </c>
      <c r="F1208">
        <v>1215</v>
      </c>
      <c r="G1208">
        <v>1750</v>
      </c>
      <c r="H1208">
        <f>CONVERT(G1208,"HP","kW")</f>
        <v>1304.974775268973</v>
      </c>
      <c r="I1208">
        <v>0.87290000000000001</v>
      </c>
      <c r="J1208">
        <v>1.667</v>
      </c>
      <c r="K1208">
        <v>0.65049999999999997</v>
      </c>
      <c r="L1208">
        <v>0.1313</v>
      </c>
      <c r="M1208">
        <v>6.88E-2</v>
      </c>
      <c r="N1208">
        <f>CONVERT(O1208,"lbf","N")</f>
        <v>8517.0099267392798</v>
      </c>
      <c r="O1208">
        <v>1914.7</v>
      </c>
      <c r="P1208">
        <f t="shared" si="18"/>
        <v>0.52399086062452405</v>
      </c>
    </row>
    <row r="1209" spans="1:16" hidden="1" x14ac:dyDescent="0.25">
      <c r="A1209">
        <v>0</v>
      </c>
      <c r="B1209">
        <v>20000</v>
      </c>
      <c r="C1209">
        <f>1.225 * (1 - 0.00000687559 * B1209) ^ 4.2561</f>
        <v>0.65267221054298263</v>
      </c>
      <c r="D1209">
        <f>E1209*(SQRT($C$2/C1209))</f>
        <v>0</v>
      </c>
      <c r="E1209">
        <v>0</v>
      </c>
      <c r="F1209">
        <v>987</v>
      </c>
      <c r="G1209">
        <v>500</v>
      </c>
      <c r="H1209">
        <f>CONVERT(G1209,"HP","kW")</f>
        <v>372.84993579113512</v>
      </c>
      <c r="I1209">
        <v>0</v>
      </c>
      <c r="J1209">
        <v>0</v>
      </c>
      <c r="K1209">
        <v>0.44169999999999998</v>
      </c>
      <c r="L1209">
        <v>0.13139999999999999</v>
      </c>
      <c r="M1209">
        <v>0.24809999999999999</v>
      </c>
      <c r="N1209">
        <f>CONVERT(O1209,"lbf","N")</f>
        <v>10801.616548337073</v>
      </c>
      <c r="O1209">
        <v>2428.3000000000002</v>
      </c>
      <c r="P1209">
        <f t="shared" si="18"/>
        <v>1.8881278538812787</v>
      </c>
    </row>
    <row r="1210" spans="1:16" hidden="1" x14ac:dyDescent="0.25">
      <c r="A1210">
        <v>0</v>
      </c>
      <c r="B1210">
        <v>20000</v>
      </c>
      <c r="C1210">
        <f>1.225 * (1 - 0.00000687559 * B1210) ^ 4.2561</f>
        <v>0.65267221054298263</v>
      </c>
      <c r="D1210">
        <f>E1210*(SQRT($C$2/C1210))</f>
        <v>27.399994721664136</v>
      </c>
      <c r="E1210">
        <v>20</v>
      </c>
      <c r="F1210">
        <v>987</v>
      </c>
      <c r="G1210">
        <v>500</v>
      </c>
      <c r="H1210">
        <f>CONVERT(G1210,"HP","kW")</f>
        <v>372.84993579113512</v>
      </c>
      <c r="I1210">
        <v>0.35809999999999997</v>
      </c>
      <c r="J1210">
        <v>0.2162</v>
      </c>
      <c r="K1210">
        <v>0.4496</v>
      </c>
      <c r="L1210">
        <v>0.13139999999999999</v>
      </c>
      <c r="M1210">
        <v>0.21759999999999999</v>
      </c>
      <c r="N1210">
        <f>CONVERT(O1210,"lbf","N")</f>
        <v>9472.487929697234</v>
      </c>
      <c r="O1210">
        <v>2129.5</v>
      </c>
      <c r="P1210">
        <f t="shared" si="18"/>
        <v>1.6560121765601219</v>
      </c>
    </row>
    <row r="1211" spans="1:16" hidden="1" x14ac:dyDescent="0.25">
      <c r="A1211">
        <v>0</v>
      </c>
      <c r="B1211">
        <v>20000</v>
      </c>
      <c r="C1211">
        <f>1.225 * (1 - 0.00000687559 * B1211) ^ 4.2561</f>
        <v>0.65267221054298263</v>
      </c>
      <c r="D1211">
        <f>E1211*(SQRT($C$2/C1211))</f>
        <v>82.199984164992401</v>
      </c>
      <c r="E1211">
        <v>60</v>
      </c>
      <c r="F1211">
        <v>987</v>
      </c>
      <c r="G1211">
        <v>500</v>
      </c>
      <c r="H1211">
        <f>CONVERT(G1211,"HP","kW")</f>
        <v>372.84993579113512</v>
      </c>
      <c r="I1211">
        <v>0.74719999999999998</v>
      </c>
      <c r="J1211">
        <v>0.64870000000000005</v>
      </c>
      <c r="K1211">
        <v>0.47139999999999999</v>
      </c>
      <c r="L1211">
        <v>0.13139999999999999</v>
      </c>
      <c r="M1211">
        <v>0.15140000000000001</v>
      </c>
      <c r="N1211">
        <f>CONVERT(O1211,"lbf","N")</f>
        <v>6588.2610343623264</v>
      </c>
      <c r="O1211">
        <v>1481.1</v>
      </c>
      <c r="P1211">
        <f t="shared" si="18"/>
        <v>1.1522070015220702</v>
      </c>
    </row>
    <row r="1212" spans="1:16" hidden="1" x14ac:dyDescent="0.25">
      <c r="A1212">
        <v>0</v>
      </c>
      <c r="B1212">
        <v>20000</v>
      </c>
      <c r="C1212">
        <f>1.225 * (1 - 0.00000687559 * B1212) ^ 4.2561</f>
        <v>0.65267221054298263</v>
      </c>
      <c r="D1212">
        <f>E1212*(SQRT($C$2/C1212))</f>
        <v>109.59997888665654</v>
      </c>
      <c r="E1212">
        <v>80</v>
      </c>
      <c r="F1212">
        <v>987</v>
      </c>
      <c r="G1212">
        <v>500</v>
      </c>
      <c r="H1212">
        <f>CONVERT(G1212,"HP","kW")</f>
        <v>372.84993579113512</v>
      </c>
      <c r="I1212">
        <v>0.82389999999999997</v>
      </c>
      <c r="J1212">
        <v>0.86499999999999999</v>
      </c>
      <c r="K1212">
        <v>0.48659999999999998</v>
      </c>
      <c r="L1212">
        <v>0.13139999999999999</v>
      </c>
      <c r="M1212">
        <v>0.12509999999999999</v>
      </c>
      <c r="N1212">
        <f>CONVERT(O1212,"lbf","N")</f>
        <v>5448.1818343710602</v>
      </c>
      <c r="O1212">
        <v>1224.8</v>
      </c>
      <c r="P1212">
        <f t="shared" si="18"/>
        <v>0.95205479452054798</v>
      </c>
    </row>
    <row r="1213" spans="1:16" hidden="1" x14ac:dyDescent="0.25">
      <c r="A1213">
        <v>0</v>
      </c>
      <c r="B1213">
        <v>20000</v>
      </c>
      <c r="C1213">
        <f>1.225 * (1 - 0.00000687559 * B1213) ^ 4.2561</f>
        <v>0.65267221054298263</v>
      </c>
      <c r="D1213">
        <f>E1213*(SQRT($C$2/C1213))</f>
        <v>136.99997360832069</v>
      </c>
      <c r="E1213">
        <v>100</v>
      </c>
      <c r="F1213">
        <v>987</v>
      </c>
      <c r="G1213">
        <v>500</v>
      </c>
      <c r="H1213">
        <f>CONVERT(G1213,"HP","kW")</f>
        <v>372.84993579113512</v>
      </c>
      <c r="I1213">
        <v>0.86240000000000006</v>
      </c>
      <c r="J1213">
        <v>1.0811999999999999</v>
      </c>
      <c r="K1213">
        <v>0.505</v>
      </c>
      <c r="L1213">
        <v>0.13139999999999999</v>
      </c>
      <c r="M1213">
        <v>0.1048</v>
      </c>
      <c r="N1213">
        <f>CONVERT(O1213,"lbf","N")</f>
        <v>4562.5409107726946</v>
      </c>
      <c r="O1213">
        <v>1025.7</v>
      </c>
      <c r="P1213">
        <f t="shared" si="18"/>
        <v>0.79756468797564695</v>
      </c>
    </row>
    <row r="1214" spans="1:16" hidden="1" x14ac:dyDescent="0.25">
      <c r="A1214">
        <v>0</v>
      </c>
      <c r="B1214">
        <v>20000</v>
      </c>
      <c r="C1214">
        <f>1.225 * (1 - 0.00000687559 * B1214) ^ 4.2561</f>
        <v>0.65267221054298263</v>
      </c>
      <c r="D1214">
        <f>E1214*(SQRT($C$2/C1214))</f>
        <v>164.3999683299848</v>
      </c>
      <c r="E1214">
        <v>120</v>
      </c>
      <c r="F1214">
        <v>987</v>
      </c>
      <c r="G1214">
        <v>500</v>
      </c>
      <c r="H1214">
        <f>CONVERT(G1214,"HP","kW")</f>
        <v>372.84993579113512</v>
      </c>
      <c r="I1214">
        <v>0.87939999999999996</v>
      </c>
      <c r="J1214">
        <v>1.2975000000000001</v>
      </c>
      <c r="K1214">
        <v>0.52639999999999998</v>
      </c>
      <c r="L1214">
        <v>0.13139999999999999</v>
      </c>
      <c r="M1214">
        <v>8.8999999999999996E-2</v>
      </c>
      <c r="N1214">
        <f>CONVERT(O1214,"lbf","N")</f>
        <v>3876.625137699526</v>
      </c>
      <c r="O1214">
        <v>871.5</v>
      </c>
      <c r="P1214">
        <f t="shared" si="18"/>
        <v>0.67732115677321159</v>
      </c>
    </row>
    <row r="1215" spans="1:16" hidden="1" x14ac:dyDescent="0.25">
      <c r="A1215">
        <v>0</v>
      </c>
      <c r="B1215">
        <v>20000</v>
      </c>
      <c r="C1215">
        <f>1.225 * (1 - 0.00000687559 * B1215) ^ 4.2561</f>
        <v>0.65267221054298263</v>
      </c>
      <c r="D1215">
        <f>E1215*(SQRT($C$2/C1215))</f>
        <v>273.99994721664137</v>
      </c>
      <c r="E1215">
        <v>200</v>
      </c>
      <c r="F1215">
        <v>987</v>
      </c>
      <c r="G1215">
        <v>500</v>
      </c>
      <c r="H1215">
        <f>CONVERT(G1215,"HP","kW")</f>
        <v>372.84993579113512</v>
      </c>
      <c r="I1215">
        <v>0.81730000000000003</v>
      </c>
      <c r="J1215">
        <v>2.1625000000000001</v>
      </c>
      <c r="K1215">
        <v>0.6361</v>
      </c>
      <c r="L1215">
        <v>0.13139999999999999</v>
      </c>
      <c r="M1215">
        <v>4.9700000000000001E-2</v>
      </c>
      <c r="N1215">
        <f>CONVERT(O1215,"lbf","N")</f>
        <v>2161.8357050166032</v>
      </c>
      <c r="O1215">
        <v>486</v>
      </c>
      <c r="P1215">
        <f t="shared" si="18"/>
        <v>0.37823439878234405</v>
      </c>
    </row>
    <row r="1216" spans="1:16" hidden="1" x14ac:dyDescent="0.25">
      <c r="A1216">
        <v>0</v>
      </c>
      <c r="B1216">
        <v>20000</v>
      </c>
      <c r="C1216">
        <f>1.225 * (1 - 0.00000687559 * B1216) ^ 4.2561</f>
        <v>0.65267221054298263</v>
      </c>
      <c r="D1216">
        <f>E1216*(SQRT($C$2/C1216))</f>
        <v>328.7999366599696</v>
      </c>
      <c r="E1216">
        <v>240</v>
      </c>
      <c r="F1216">
        <v>987</v>
      </c>
      <c r="G1216">
        <v>500</v>
      </c>
      <c r="H1216">
        <f>CONVERT(G1216,"HP","kW")</f>
        <v>372.84993579113512</v>
      </c>
      <c r="I1216">
        <v>0.66459999999999997</v>
      </c>
      <c r="J1216">
        <v>2.5950000000000002</v>
      </c>
      <c r="K1216">
        <v>0.70150000000000001</v>
      </c>
      <c r="L1216">
        <v>0.13139999999999999</v>
      </c>
      <c r="M1216">
        <v>3.3599999999999998E-2</v>
      </c>
      <c r="N1216">
        <f>CONVERT(O1216,"lbf","N")</f>
        <v>1465.2442000668088</v>
      </c>
      <c r="O1216">
        <v>329.4</v>
      </c>
      <c r="P1216">
        <f t="shared" si="18"/>
        <v>0.25570776255707761</v>
      </c>
    </row>
    <row r="1217" spans="1:16" hidden="1" x14ac:dyDescent="0.25">
      <c r="A1217">
        <v>0</v>
      </c>
      <c r="B1217">
        <v>20000</v>
      </c>
      <c r="C1217">
        <f>1.225 * (1 - 0.00000687559 * B1217) ^ 4.2561</f>
        <v>0.65267221054298263</v>
      </c>
      <c r="D1217">
        <f>E1217*(SQRT($C$2/C1217))</f>
        <v>356.19993138163375</v>
      </c>
      <c r="E1217">
        <v>260</v>
      </c>
      <c r="F1217">
        <v>987</v>
      </c>
      <c r="G1217">
        <v>500</v>
      </c>
      <c r="H1217">
        <f>CONVERT(G1217,"HP","kW")</f>
        <v>372.84993579113512</v>
      </c>
      <c r="I1217">
        <v>0.47870000000000001</v>
      </c>
      <c r="J1217">
        <v>2.8111999999999999</v>
      </c>
      <c r="K1217">
        <v>0.73609999999999998</v>
      </c>
      <c r="L1217">
        <v>0.13139999999999999</v>
      </c>
      <c r="M1217">
        <v>2.24E-2</v>
      </c>
      <c r="N1217">
        <f>CONVERT(O1217,"lbf","N")</f>
        <v>974.16053374204944</v>
      </c>
      <c r="O1217">
        <v>219</v>
      </c>
      <c r="P1217">
        <f t="shared" si="18"/>
        <v>0.17047184170471844</v>
      </c>
    </row>
    <row r="1218" spans="1:16" hidden="1" x14ac:dyDescent="0.25">
      <c r="A1218">
        <v>0</v>
      </c>
      <c r="B1218">
        <v>0</v>
      </c>
      <c r="C1218">
        <f>1.225 * (1 - 0.00000687559 * B1218) ^ 4.2561</f>
        <v>1.2250000000000001</v>
      </c>
      <c r="D1218">
        <f>E1218*(SQRT($C$2/C1218))</f>
        <v>0</v>
      </c>
      <c r="E1218">
        <v>0</v>
      </c>
      <c r="F1218">
        <v>1215</v>
      </c>
      <c r="G1218">
        <v>1750</v>
      </c>
      <c r="H1218">
        <f>CONVERT(G1218,"HP","kW")</f>
        <v>1304.974775268973</v>
      </c>
      <c r="I1218">
        <v>0</v>
      </c>
      <c r="J1218">
        <v>0</v>
      </c>
      <c r="K1218">
        <v>0.50490000000000002</v>
      </c>
      <c r="L1218">
        <v>0.13139999999999999</v>
      </c>
      <c r="M1218">
        <v>0.2472</v>
      </c>
      <c r="N1218">
        <f>CONVERT(O1218,"lbf","N")</f>
        <v>30608.212934607502</v>
      </c>
      <c r="O1218">
        <v>6881</v>
      </c>
      <c r="P1218">
        <f t="shared" si="18"/>
        <v>1.8812785388127855</v>
      </c>
    </row>
    <row r="1219" spans="1:16" hidden="1" x14ac:dyDescent="0.25">
      <c r="A1219">
        <v>0</v>
      </c>
      <c r="B1219">
        <v>0</v>
      </c>
      <c r="C1219">
        <f>1.225 * (1 - 0.00000687559 * B1219) ^ 4.2561</f>
        <v>1.2250000000000001</v>
      </c>
      <c r="D1219">
        <f>E1219*(SQRT($C$2/C1219))</f>
        <v>40</v>
      </c>
      <c r="E1219">
        <v>40</v>
      </c>
      <c r="F1219">
        <v>1215</v>
      </c>
      <c r="G1219">
        <v>1750</v>
      </c>
      <c r="H1219">
        <f>CONVERT(G1219,"HP","kW")</f>
        <v>1304.974775268973</v>
      </c>
      <c r="I1219">
        <v>0.41199999999999998</v>
      </c>
      <c r="J1219">
        <v>0.25650000000000001</v>
      </c>
      <c r="K1219">
        <v>0.51580000000000004</v>
      </c>
      <c r="L1219">
        <v>0.13139999999999999</v>
      </c>
      <c r="M1219">
        <v>0.21099999999999999</v>
      </c>
      <c r="N1219">
        <f>CONVERT(O1219,"lbf","N")</f>
        <v>26125.740012909497</v>
      </c>
      <c r="O1219">
        <v>5873.3</v>
      </c>
      <c r="P1219">
        <f t="shared" ref="P1219:P1282" si="19">M1219/L1219</f>
        <v>1.6057838660578387</v>
      </c>
    </row>
    <row r="1220" spans="1:16" hidden="1" x14ac:dyDescent="0.25">
      <c r="A1220">
        <v>0</v>
      </c>
      <c r="B1220">
        <v>0</v>
      </c>
      <c r="C1220">
        <f>1.225 * (1 - 0.00000687559 * B1220) ^ 4.2561</f>
        <v>1.2250000000000001</v>
      </c>
      <c r="D1220">
        <f>E1220*(SQRT($C$2/C1220))</f>
        <v>60</v>
      </c>
      <c r="E1220">
        <v>60</v>
      </c>
      <c r="F1220">
        <v>1215</v>
      </c>
      <c r="G1220">
        <v>1750</v>
      </c>
      <c r="H1220">
        <f>CONVERT(G1220,"HP","kW")</f>
        <v>1304.974775268973</v>
      </c>
      <c r="I1220">
        <v>0.55940000000000001</v>
      </c>
      <c r="J1220">
        <v>0.38469999999999999</v>
      </c>
      <c r="K1220">
        <v>0.52229999999999999</v>
      </c>
      <c r="L1220">
        <v>0.13139999999999999</v>
      </c>
      <c r="M1220">
        <v>0.19109999999999999</v>
      </c>
      <c r="N1220">
        <f>CONVERT(O1220,"lbf","N")</f>
        <v>23652.528794824659</v>
      </c>
      <c r="O1220">
        <v>5317.3</v>
      </c>
      <c r="P1220">
        <f t="shared" si="19"/>
        <v>1.4543378995433791</v>
      </c>
    </row>
    <row r="1221" spans="1:16" hidden="1" x14ac:dyDescent="0.25">
      <c r="A1221">
        <v>0</v>
      </c>
      <c r="B1221">
        <v>0</v>
      </c>
      <c r="C1221">
        <f>1.225 * (1 - 0.00000687559 * B1221) ^ 4.2561</f>
        <v>1.2250000000000001</v>
      </c>
      <c r="D1221">
        <f>E1221*(SQRT($C$2/C1221))</f>
        <v>100</v>
      </c>
      <c r="E1221">
        <v>100</v>
      </c>
      <c r="F1221">
        <v>1215</v>
      </c>
      <c r="G1221">
        <v>1750</v>
      </c>
      <c r="H1221">
        <f>CONVERT(G1221,"HP","kW")</f>
        <v>1304.974775268973</v>
      </c>
      <c r="I1221">
        <v>0.74309999999999998</v>
      </c>
      <c r="J1221">
        <v>0.6411</v>
      </c>
      <c r="K1221">
        <v>0.53839999999999999</v>
      </c>
      <c r="L1221">
        <v>0.13139999999999999</v>
      </c>
      <c r="M1221">
        <v>0.15229999999999999</v>
      </c>
      <c r="N1221">
        <f>CONVERT(O1221,"lbf","N")</f>
        <v>18851.118383312471</v>
      </c>
      <c r="O1221">
        <v>4237.8999999999996</v>
      </c>
      <c r="P1221">
        <f t="shared" si="19"/>
        <v>1.1590563165905632</v>
      </c>
    </row>
    <row r="1222" spans="1:16" hidden="1" x14ac:dyDescent="0.25">
      <c r="A1222">
        <v>0</v>
      </c>
      <c r="B1222">
        <v>0</v>
      </c>
      <c r="C1222">
        <f>1.225 * (1 - 0.00000687559 * B1222) ^ 4.2561</f>
        <v>1.2250000000000001</v>
      </c>
      <c r="D1222">
        <f>E1222*(SQRT($C$2/C1222))</f>
        <v>120</v>
      </c>
      <c r="E1222">
        <v>120</v>
      </c>
      <c r="F1222">
        <v>1215</v>
      </c>
      <c r="G1222">
        <v>1750</v>
      </c>
      <c r="H1222">
        <f>CONVERT(G1222,"HP","kW")</f>
        <v>1304.974775268973</v>
      </c>
      <c r="I1222">
        <v>0.79579999999999995</v>
      </c>
      <c r="J1222">
        <v>0.76939999999999997</v>
      </c>
      <c r="K1222">
        <v>0.54820000000000002</v>
      </c>
      <c r="L1222">
        <v>0.13139999999999999</v>
      </c>
      <c r="M1222">
        <v>0.13589999999999999</v>
      </c>
      <c r="N1222">
        <f>CONVERT(O1222,"lbf","N")</f>
        <v>16821.394860269109</v>
      </c>
      <c r="O1222">
        <v>3781.6</v>
      </c>
      <c r="P1222">
        <f t="shared" si="19"/>
        <v>1.0342465753424659</v>
      </c>
    </row>
    <row r="1223" spans="1:16" hidden="1" x14ac:dyDescent="0.25">
      <c r="A1223">
        <v>0</v>
      </c>
      <c r="B1223">
        <v>0</v>
      </c>
      <c r="C1223">
        <f>1.225 * (1 - 0.00000687559 * B1223) ^ 4.2561</f>
        <v>1.2250000000000001</v>
      </c>
      <c r="D1223">
        <f>E1223*(SQRT($C$2/C1223))</f>
        <v>180</v>
      </c>
      <c r="E1223">
        <v>180</v>
      </c>
      <c r="F1223">
        <v>1215</v>
      </c>
      <c r="G1223">
        <v>1750</v>
      </c>
      <c r="H1223">
        <f>CONVERT(G1223,"HP","kW")</f>
        <v>1304.974775268973</v>
      </c>
      <c r="I1223">
        <v>0.86919999999999997</v>
      </c>
      <c r="J1223">
        <v>1.1540999999999999</v>
      </c>
      <c r="K1223">
        <v>0.58520000000000005</v>
      </c>
      <c r="L1223">
        <v>0.13139999999999999</v>
      </c>
      <c r="M1223">
        <v>9.8900000000000002E-2</v>
      </c>
      <c r="N1223">
        <f>CONVERT(O1223,"lbf","N")</f>
        <v>12249.512684104366</v>
      </c>
      <c r="O1223">
        <v>2753.8</v>
      </c>
      <c r="P1223">
        <f t="shared" si="19"/>
        <v>0.75266362252663632</v>
      </c>
    </row>
    <row r="1224" spans="1:16" hidden="1" x14ac:dyDescent="0.25">
      <c r="A1224">
        <v>0</v>
      </c>
      <c r="B1224">
        <v>0</v>
      </c>
      <c r="C1224">
        <f>1.225 * (1 - 0.00000687559 * B1224) ^ 4.2561</f>
        <v>1.2250000000000001</v>
      </c>
      <c r="D1224">
        <f>E1224*(SQRT($C$2/C1224))</f>
        <v>200</v>
      </c>
      <c r="E1224">
        <v>200</v>
      </c>
      <c r="F1224">
        <v>1215</v>
      </c>
      <c r="G1224">
        <v>1750</v>
      </c>
      <c r="H1224">
        <f>CONVERT(G1224,"HP","kW")</f>
        <v>1304.974775268973</v>
      </c>
      <c r="I1224">
        <v>0.87749999999999995</v>
      </c>
      <c r="J1224">
        <v>1.2823</v>
      </c>
      <c r="K1224">
        <v>0.59989999999999999</v>
      </c>
      <c r="L1224">
        <v>0.13139999999999999</v>
      </c>
      <c r="M1224">
        <v>8.9899999999999994E-2</v>
      </c>
      <c r="N1224">
        <f>CONVERT(O1224,"lbf","N")</f>
        <v>11129.450481381771</v>
      </c>
      <c r="O1224">
        <v>2502</v>
      </c>
      <c r="P1224">
        <f t="shared" si="19"/>
        <v>0.68417047184170476</v>
      </c>
    </row>
    <row r="1225" spans="1:16" hidden="1" x14ac:dyDescent="0.25">
      <c r="A1225">
        <v>0</v>
      </c>
      <c r="B1225">
        <v>20000</v>
      </c>
      <c r="C1225">
        <f>1.225 * (1 - 0.00000687559 * B1225) ^ 4.2561</f>
        <v>0.65267221054298263</v>
      </c>
      <c r="D1225">
        <f>E1225*(SQRT($C$2/C1225))</f>
        <v>54.799989443328272</v>
      </c>
      <c r="E1225">
        <v>40</v>
      </c>
      <c r="F1225">
        <v>987</v>
      </c>
      <c r="G1225">
        <v>500</v>
      </c>
      <c r="H1225">
        <f>CONVERT(G1225,"HP","kW")</f>
        <v>372.84993579113512</v>
      </c>
      <c r="I1225">
        <v>0.60450000000000004</v>
      </c>
      <c r="J1225">
        <v>0.4325</v>
      </c>
      <c r="K1225">
        <v>0.45929999999999999</v>
      </c>
      <c r="L1225">
        <v>0.13150000000000001</v>
      </c>
      <c r="M1225">
        <v>0.1837</v>
      </c>
      <c r="N1225">
        <f>CONVERT(O1225,"lbf","N")</f>
        <v>7994.7887091076973</v>
      </c>
      <c r="O1225">
        <v>1797.3</v>
      </c>
      <c r="P1225">
        <f t="shared" si="19"/>
        <v>1.3969581749049429</v>
      </c>
    </row>
    <row r="1226" spans="1:16" hidden="1" x14ac:dyDescent="0.25">
      <c r="A1226">
        <v>0</v>
      </c>
      <c r="B1226">
        <v>0</v>
      </c>
      <c r="C1226">
        <f>1.225 * (1 - 0.00000687559 * B1226) ^ 4.2561</f>
        <v>1.2250000000000001</v>
      </c>
      <c r="D1226">
        <f>E1226*(SQRT($C$2/C1226))</f>
        <v>20</v>
      </c>
      <c r="E1226">
        <v>20</v>
      </c>
      <c r="F1226">
        <v>1215</v>
      </c>
      <c r="G1226">
        <v>1750</v>
      </c>
      <c r="H1226">
        <f>CONVERT(G1226,"HP","kW")</f>
        <v>1304.974775268973</v>
      </c>
      <c r="I1226">
        <v>0.22539999999999999</v>
      </c>
      <c r="J1226">
        <v>0.12820000000000001</v>
      </c>
      <c r="K1226">
        <v>0.51</v>
      </c>
      <c r="L1226">
        <v>0.13150000000000001</v>
      </c>
      <c r="M1226">
        <v>0.2311</v>
      </c>
      <c r="N1226">
        <f>CONVERT(O1226,"lbf","N")</f>
        <v>28593.613365056022</v>
      </c>
      <c r="O1226">
        <v>6428.1</v>
      </c>
      <c r="P1226">
        <f t="shared" si="19"/>
        <v>1.7574144486692014</v>
      </c>
    </row>
    <row r="1227" spans="1:16" hidden="1" x14ac:dyDescent="0.25">
      <c r="A1227">
        <v>0</v>
      </c>
      <c r="B1227">
        <v>0</v>
      </c>
      <c r="C1227">
        <f>1.225 * (1 - 0.00000687559 * B1227) ^ 4.2561</f>
        <v>1.2250000000000001</v>
      </c>
      <c r="D1227">
        <f>E1227*(SQRT($C$2/C1227))</f>
        <v>80</v>
      </c>
      <c r="E1227">
        <v>80</v>
      </c>
      <c r="F1227">
        <v>1215</v>
      </c>
      <c r="G1227">
        <v>1750</v>
      </c>
      <c r="H1227">
        <f>CONVERT(G1227,"HP","kW")</f>
        <v>1304.974775268973</v>
      </c>
      <c r="I1227">
        <v>0.66710000000000003</v>
      </c>
      <c r="J1227">
        <v>0.51290000000000002</v>
      </c>
      <c r="K1227">
        <v>0.52980000000000005</v>
      </c>
      <c r="L1227">
        <v>0.13150000000000001</v>
      </c>
      <c r="M1227">
        <v>0.17100000000000001</v>
      </c>
      <c r="N1227">
        <f>CONVERT(O1227,"lbf","N")</f>
        <v>21153.517891371306</v>
      </c>
      <c r="O1227">
        <v>4755.5</v>
      </c>
      <c r="P1227">
        <f t="shared" si="19"/>
        <v>1.3003802281368821</v>
      </c>
    </row>
    <row r="1228" spans="1:16" hidden="1" x14ac:dyDescent="0.25">
      <c r="A1228">
        <v>0</v>
      </c>
      <c r="B1228">
        <v>0</v>
      </c>
      <c r="C1228">
        <f>1.225 * (1 - 0.00000687559 * B1228) ^ 4.2561</f>
        <v>1.2250000000000001</v>
      </c>
      <c r="D1228">
        <f>E1228*(SQRT($C$2/C1228))</f>
        <v>200</v>
      </c>
      <c r="E1228">
        <v>200</v>
      </c>
      <c r="F1228">
        <v>1150</v>
      </c>
      <c r="G1228">
        <v>1500</v>
      </c>
      <c r="H1228">
        <f>CONVERT(G1228,"HP","kW")</f>
        <v>1118.5498073734054</v>
      </c>
      <c r="I1228">
        <v>0.88080000000000003</v>
      </c>
      <c r="J1228">
        <v>1.3548</v>
      </c>
      <c r="K1228">
        <v>0.57620000000000005</v>
      </c>
      <c r="L1228">
        <v>0.1326</v>
      </c>
      <c r="M1228">
        <v>8.6199999999999999E-2</v>
      </c>
      <c r="N1228">
        <f>CONVERT(O1228,"lbf","N")</f>
        <v>9575.6866711712773</v>
      </c>
      <c r="O1228">
        <v>2152.6999999999998</v>
      </c>
      <c r="P1228">
        <f t="shared" si="19"/>
        <v>0.65007541478129716</v>
      </c>
    </row>
    <row r="1229" spans="1:16" hidden="1" x14ac:dyDescent="0.25">
      <c r="A1229">
        <v>0</v>
      </c>
      <c r="B1229">
        <v>0</v>
      </c>
      <c r="C1229">
        <f>1.225 * (1 - 0.00000687559 * B1229) ^ 4.2561</f>
        <v>1.2250000000000001</v>
      </c>
      <c r="D1229">
        <f>E1229*(SQRT($C$2/C1229))</f>
        <v>240</v>
      </c>
      <c r="E1229">
        <v>240</v>
      </c>
      <c r="F1229">
        <v>1150</v>
      </c>
      <c r="G1229">
        <v>1500</v>
      </c>
      <c r="H1229">
        <f>CONVERT(G1229,"HP","kW")</f>
        <v>1118.5498073734054</v>
      </c>
      <c r="I1229">
        <v>0.87839999999999996</v>
      </c>
      <c r="J1229">
        <v>1.6256999999999999</v>
      </c>
      <c r="K1229">
        <v>0.61019999999999996</v>
      </c>
      <c r="L1229">
        <v>0.1326</v>
      </c>
      <c r="M1229">
        <v>7.17E-2</v>
      </c>
      <c r="N1229">
        <f>CONVERT(O1229,"lbf","N")</f>
        <v>7957.8684697010349</v>
      </c>
      <c r="O1229">
        <v>1789</v>
      </c>
      <c r="P1229">
        <f t="shared" si="19"/>
        <v>0.54072398190045246</v>
      </c>
    </row>
    <row r="1230" spans="1:16" hidden="1" x14ac:dyDescent="0.25">
      <c r="A1230">
        <v>0</v>
      </c>
      <c r="B1230">
        <v>0</v>
      </c>
      <c r="C1230">
        <f>1.225 * (1 - 0.00000687559 * B1230) ^ 4.2561</f>
        <v>1.2250000000000001</v>
      </c>
      <c r="D1230">
        <f>E1230*(SQRT($C$2/C1230))</f>
        <v>260</v>
      </c>
      <c r="E1230">
        <v>260</v>
      </c>
      <c r="F1230">
        <v>1150</v>
      </c>
      <c r="G1230">
        <v>1500</v>
      </c>
      <c r="H1230">
        <f>CONVERT(G1230,"HP","kW")</f>
        <v>1118.5498073734054</v>
      </c>
      <c r="I1230">
        <v>0.86960000000000004</v>
      </c>
      <c r="J1230">
        <v>1.7612000000000001</v>
      </c>
      <c r="K1230">
        <v>0.62870000000000004</v>
      </c>
      <c r="L1230">
        <v>0.1326</v>
      </c>
      <c r="M1230">
        <v>6.5500000000000003E-2</v>
      </c>
      <c r="N1230">
        <f>CONVERT(O1230,"lbf","N")</f>
        <v>7271.9526966278645</v>
      </c>
      <c r="O1230">
        <v>1634.8</v>
      </c>
      <c r="P1230">
        <f t="shared" si="19"/>
        <v>0.49396681749622928</v>
      </c>
    </row>
    <row r="1231" spans="1:16" hidden="1" x14ac:dyDescent="0.25">
      <c r="A1231">
        <v>0</v>
      </c>
      <c r="B1231">
        <v>0</v>
      </c>
      <c r="C1231">
        <f>1.225 * (1 - 0.00000687559 * B1231) ^ 4.2561</f>
        <v>1.2250000000000001</v>
      </c>
      <c r="D1231">
        <f>E1231*(SQRT($C$2/C1231))</f>
        <v>220</v>
      </c>
      <c r="E1231">
        <v>220</v>
      </c>
      <c r="F1231">
        <v>1150</v>
      </c>
      <c r="G1231">
        <v>1500</v>
      </c>
      <c r="H1231">
        <f>CONVERT(G1231,"HP","kW")</f>
        <v>1118.5498073734054</v>
      </c>
      <c r="I1231">
        <v>0.8821</v>
      </c>
      <c r="J1231">
        <v>1.4902</v>
      </c>
      <c r="K1231">
        <v>0.5927</v>
      </c>
      <c r="L1231">
        <v>0.13270000000000001</v>
      </c>
      <c r="M1231">
        <v>7.85E-2</v>
      </c>
      <c r="N1231">
        <f>CONVERT(O1231,"lbf","N")</f>
        <v>8717.6247215875283</v>
      </c>
      <c r="O1231">
        <v>1959.8</v>
      </c>
      <c r="P1231">
        <f t="shared" si="19"/>
        <v>0.59155990957045967</v>
      </c>
    </row>
    <row r="1232" spans="1:16" hidden="1" x14ac:dyDescent="0.25">
      <c r="A1232">
        <v>0</v>
      </c>
      <c r="B1232">
        <v>0</v>
      </c>
      <c r="C1232">
        <f>1.225 * (1 - 0.00000687559 * B1232) ^ 4.2561</f>
        <v>1.2250000000000001</v>
      </c>
      <c r="D1232">
        <f>E1232*(SQRT($C$2/C1232))</f>
        <v>0</v>
      </c>
      <c r="E1232">
        <v>0</v>
      </c>
      <c r="F1232">
        <v>1150</v>
      </c>
      <c r="G1232">
        <v>1500</v>
      </c>
      <c r="H1232">
        <f>CONVERT(G1232,"HP","kW")</f>
        <v>1118.5498073734054</v>
      </c>
      <c r="I1232">
        <v>0</v>
      </c>
      <c r="J1232">
        <v>0</v>
      </c>
      <c r="K1232">
        <v>0.4778</v>
      </c>
      <c r="L1232">
        <v>0.1328</v>
      </c>
      <c r="M1232">
        <v>0.24909999999999999</v>
      </c>
      <c r="N1232">
        <f>CONVERT(O1232,"lbf","N")</f>
        <v>27635.021606967381</v>
      </c>
      <c r="O1232">
        <v>6212.6</v>
      </c>
      <c r="P1232">
        <f t="shared" si="19"/>
        <v>1.8757530120481927</v>
      </c>
    </row>
    <row r="1233" spans="1:16" hidden="1" x14ac:dyDescent="0.25">
      <c r="A1233">
        <v>0</v>
      </c>
      <c r="B1233">
        <v>0</v>
      </c>
      <c r="C1233">
        <f>1.225 * (1 - 0.00000687559 * B1233) ^ 4.2561</f>
        <v>1.2250000000000001</v>
      </c>
      <c r="D1233">
        <f>E1233*(SQRT($C$2/C1233))</f>
        <v>20</v>
      </c>
      <c r="E1233">
        <v>20</v>
      </c>
      <c r="F1233">
        <v>1150</v>
      </c>
      <c r="G1233">
        <v>1500</v>
      </c>
      <c r="H1233">
        <f>CONVERT(G1233,"HP","kW")</f>
        <v>1118.5498073734054</v>
      </c>
      <c r="I1233">
        <v>0.23649999999999999</v>
      </c>
      <c r="J1233">
        <v>0.13550000000000001</v>
      </c>
      <c r="K1233">
        <v>0.48299999999999998</v>
      </c>
      <c r="L1233">
        <v>0.1328</v>
      </c>
      <c r="M1233">
        <v>0.2319</v>
      </c>
      <c r="N1233">
        <f>CONVERT(O1233,"lbf","N")</f>
        <v>25715.16915782095</v>
      </c>
      <c r="O1233">
        <v>5781</v>
      </c>
      <c r="P1233">
        <f t="shared" si="19"/>
        <v>1.746234939759036</v>
      </c>
    </row>
    <row r="1234" spans="1:16" hidden="1" x14ac:dyDescent="0.25">
      <c r="A1234">
        <v>0</v>
      </c>
      <c r="B1234">
        <v>0</v>
      </c>
      <c r="C1234">
        <f>1.225 * (1 - 0.00000687559 * B1234) ^ 4.2561</f>
        <v>1.2250000000000001</v>
      </c>
      <c r="D1234">
        <f>E1234*(SQRT($C$2/C1234))</f>
        <v>40</v>
      </c>
      <c r="E1234">
        <v>40</v>
      </c>
      <c r="F1234">
        <v>1150</v>
      </c>
      <c r="G1234">
        <v>1500</v>
      </c>
      <c r="H1234">
        <f>CONVERT(G1234,"HP","kW")</f>
        <v>1118.5498073734054</v>
      </c>
      <c r="I1234">
        <v>0.42970000000000003</v>
      </c>
      <c r="J1234">
        <v>0.27100000000000002</v>
      </c>
      <c r="K1234">
        <v>0.4889</v>
      </c>
      <c r="L1234">
        <v>0.1328</v>
      </c>
      <c r="M1234">
        <v>0.21060000000000001</v>
      </c>
      <c r="N1234">
        <f>CONVERT(O1234,"lbf","N")</f>
        <v>23358.501346055938</v>
      </c>
      <c r="O1234">
        <v>5251.2</v>
      </c>
      <c r="P1234">
        <f t="shared" si="19"/>
        <v>1.5858433734939759</v>
      </c>
    </row>
    <row r="1235" spans="1:16" hidden="1" x14ac:dyDescent="0.25">
      <c r="A1235">
        <v>0</v>
      </c>
      <c r="B1235">
        <v>0</v>
      </c>
      <c r="C1235">
        <f>1.225 * (1 - 0.00000687559 * B1235) ^ 4.2561</f>
        <v>1.2250000000000001</v>
      </c>
      <c r="D1235">
        <f>E1235*(SQRT($C$2/C1235))</f>
        <v>60</v>
      </c>
      <c r="E1235">
        <v>60</v>
      </c>
      <c r="F1235">
        <v>1150</v>
      </c>
      <c r="G1235">
        <v>1500</v>
      </c>
      <c r="H1235">
        <f>CONVERT(G1235,"HP","kW")</f>
        <v>1118.5498073734054</v>
      </c>
      <c r="I1235">
        <v>0.57940000000000003</v>
      </c>
      <c r="J1235">
        <v>0.40639999999999998</v>
      </c>
      <c r="K1235">
        <v>0.4955</v>
      </c>
      <c r="L1235">
        <v>0.1328</v>
      </c>
      <c r="M1235">
        <v>0.18940000000000001</v>
      </c>
      <c r="N1235">
        <f>CONVERT(O1235,"lbf","N")</f>
        <v>20997.83013483719</v>
      </c>
      <c r="O1235">
        <v>4720.5</v>
      </c>
      <c r="P1235">
        <f t="shared" si="19"/>
        <v>1.4262048192771084</v>
      </c>
    </row>
    <row r="1236" spans="1:16" hidden="1" x14ac:dyDescent="0.25">
      <c r="A1236">
        <v>0</v>
      </c>
      <c r="B1236">
        <v>0</v>
      </c>
      <c r="C1236">
        <f>1.225 * (1 - 0.00000687559 * B1236) ^ 4.2561</f>
        <v>1.2250000000000001</v>
      </c>
      <c r="D1236">
        <f>E1236*(SQRT($C$2/C1236))</f>
        <v>100</v>
      </c>
      <c r="E1236">
        <v>100</v>
      </c>
      <c r="F1236">
        <v>1150</v>
      </c>
      <c r="G1236">
        <v>1500</v>
      </c>
      <c r="H1236">
        <f>CONVERT(G1236,"HP","kW")</f>
        <v>1118.5498073734054</v>
      </c>
      <c r="I1236">
        <v>0.75939999999999996</v>
      </c>
      <c r="J1236">
        <v>0.6774</v>
      </c>
      <c r="K1236">
        <v>0.5121</v>
      </c>
      <c r="L1236">
        <v>0.1328</v>
      </c>
      <c r="M1236">
        <v>0.1489</v>
      </c>
      <c r="N1236">
        <f>CONVERT(O1236,"lbf","N")</f>
        <v>16512.688280170027</v>
      </c>
      <c r="O1236">
        <v>3712.2</v>
      </c>
      <c r="P1236">
        <f t="shared" si="19"/>
        <v>1.1212349397590362</v>
      </c>
    </row>
    <row r="1237" spans="1:16" hidden="1" x14ac:dyDescent="0.25">
      <c r="A1237">
        <v>0</v>
      </c>
      <c r="B1237">
        <v>0</v>
      </c>
      <c r="C1237">
        <f>1.225 * (1 - 0.00000687559 * B1237) ^ 4.2561</f>
        <v>1.2250000000000001</v>
      </c>
      <c r="D1237">
        <f>E1237*(SQRT($C$2/C1237))</f>
        <v>120</v>
      </c>
      <c r="E1237">
        <v>120</v>
      </c>
      <c r="F1237">
        <v>1150</v>
      </c>
      <c r="G1237">
        <v>1500</v>
      </c>
      <c r="H1237">
        <f>CONVERT(G1237,"HP","kW")</f>
        <v>1118.5498073734054</v>
      </c>
      <c r="I1237">
        <v>0.80900000000000005</v>
      </c>
      <c r="J1237">
        <v>0.81289999999999996</v>
      </c>
      <c r="K1237">
        <v>0.52229999999999999</v>
      </c>
      <c r="L1237">
        <v>0.1328</v>
      </c>
      <c r="M1237">
        <v>0.13220000000000001</v>
      </c>
      <c r="N1237">
        <f>CONVERT(O1237,"lbf","N")</f>
        <v>14658.669510929454</v>
      </c>
      <c r="O1237">
        <v>3295.4</v>
      </c>
      <c r="P1237">
        <f t="shared" si="19"/>
        <v>0.99548192771084343</v>
      </c>
    </row>
    <row r="1238" spans="1:16" hidden="1" x14ac:dyDescent="0.25">
      <c r="A1238">
        <v>0</v>
      </c>
      <c r="B1238">
        <v>0</v>
      </c>
      <c r="C1238">
        <f>1.225 * (1 - 0.00000687559 * B1238) ^ 4.2561</f>
        <v>1.2250000000000001</v>
      </c>
      <c r="D1238">
        <f>E1238*(SQRT($C$2/C1238))</f>
        <v>140</v>
      </c>
      <c r="E1238">
        <v>140</v>
      </c>
      <c r="F1238">
        <v>1150</v>
      </c>
      <c r="G1238">
        <v>1500</v>
      </c>
      <c r="H1238">
        <f>CONVERT(G1238,"HP","kW")</f>
        <v>1118.5498073734054</v>
      </c>
      <c r="I1238">
        <v>0.84160000000000001</v>
      </c>
      <c r="J1238">
        <v>0.94830000000000003</v>
      </c>
      <c r="K1238">
        <v>0.53380000000000005</v>
      </c>
      <c r="L1238">
        <v>0.1328</v>
      </c>
      <c r="M1238">
        <v>0.1178</v>
      </c>
      <c r="N1238">
        <f>CONVERT(O1238,"lbf","N")</f>
        <v>13070.209572119928</v>
      </c>
      <c r="O1238">
        <v>2938.3</v>
      </c>
      <c r="P1238">
        <f t="shared" si="19"/>
        <v>0.88704819277108438</v>
      </c>
    </row>
    <row r="1239" spans="1:16" hidden="1" x14ac:dyDescent="0.25">
      <c r="A1239">
        <v>0</v>
      </c>
      <c r="B1239">
        <v>0</v>
      </c>
      <c r="C1239">
        <f>1.225 * (1 - 0.00000687559 * B1239) ^ 4.2561</f>
        <v>1.2250000000000001</v>
      </c>
      <c r="D1239">
        <f>E1239*(SQRT($C$2/C1239))</f>
        <v>160</v>
      </c>
      <c r="E1239">
        <v>160</v>
      </c>
      <c r="F1239">
        <v>1150</v>
      </c>
      <c r="G1239">
        <v>1500</v>
      </c>
      <c r="H1239">
        <f>CONVERT(G1239,"HP","kW")</f>
        <v>1118.5498073734054</v>
      </c>
      <c r="I1239">
        <v>0.86229999999999996</v>
      </c>
      <c r="J1239">
        <v>1.0838000000000001</v>
      </c>
      <c r="K1239">
        <v>0.54669999999999996</v>
      </c>
      <c r="L1239">
        <v>0.1328</v>
      </c>
      <c r="M1239">
        <v>0.1056</v>
      </c>
      <c r="N1239">
        <f>CONVERT(O1239,"lbf","N")</f>
        <v>11717.505378919208</v>
      </c>
      <c r="O1239">
        <v>2634.2</v>
      </c>
      <c r="P1239">
        <f t="shared" si="19"/>
        <v>0.79518072289156627</v>
      </c>
    </row>
    <row r="1240" spans="1:16" hidden="1" x14ac:dyDescent="0.25">
      <c r="A1240">
        <v>0</v>
      </c>
      <c r="B1240">
        <v>0</v>
      </c>
      <c r="C1240">
        <f>1.225 * (1 - 0.00000687559 * B1240) ^ 4.2561</f>
        <v>1.2250000000000001</v>
      </c>
      <c r="D1240">
        <f>E1240*(SQRT($C$2/C1240))</f>
        <v>180</v>
      </c>
      <c r="E1240">
        <v>180</v>
      </c>
      <c r="F1240">
        <v>1150</v>
      </c>
      <c r="G1240">
        <v>1500</v>
      </c>
      <c r="H1240">
        <f>CONVERT(G1240,"HP","kW")</f>
        <v>1118.5498073734054</v>
      </c>
      <c r="I1240">
        <v>0.87470000000000003</v>
      </c>
      <c r="J1240">
        <v>1.2193000000000001</v>
      </c>
      <c r="K1240">
        <v>0.56079999999999997</v>
      </c>
      <c r="L1240">
        <v>0.1328</v>
      </c>
      <c r="M1240">
        <v>9.5299999999999996E-2</v>
      </c>
      <c r="N1240">
        <f>CONVERT(O1240,"lbf","N")</f>
        <v>10565.415980566739</v>
      </c>
      <c r="O1240">
        <v>2375.1999999999998</v>
      </c>
      <c r="P1240">
        <f t="shared" si="19"/>
        <v>0.71762048192771077</v>
      </c>
    </row>
    <row r="1241" spans="1:16" hidden="1" x14ac:dyDescent="0.25">
      <c r="A1241">
        <v>0</v>
      </c>
      <c r="B1241">
        <v>0</v>
      </c>
      <c r="C1241">
        <f>1.225 * (1 - 0.00000687559 * B1241) ^ 4.2561</f>
        <v>1.2250000000000001</v>
      </c>
      <c r="D1241">
        <f>E1241*(SQRT($C$2/C1241))</f>
        <v>80</v>
      </c>
      <c r="E1241">
        <v>80</v>
      </c>
      <c r="F1241">
        <v>1150</v>
      </c>
      <c r="G1241">
        <v>1500</v>
      </c>
      <c r="H1241">
        <f>CONVERT(G1241,"HP","kW")</f>
        <v>1118.5498073734054</v>
      </c>
      <c r="I1241">
        <v>0.68589999999999995</v>
      </c>
      <c r="J1241">
        <v>0.54190000000000005</v>
      </c>
      <c r="K1241">
        <v>0.50319999999999998</v>
      </c>
      <c r="L1241">
        <v>0.13289999999999999</v>
      </c>
      <c r="M1241">
        <v>0.16819999999999999</v>
      </c>
      <c r="N1241">
        <f>CONVERT(O1241,"lbf","N")</f>
        <v>18642.496789556757</v>
      </c>
      <c r="O1241">
        <v>4191</v>
      </c>
      <c r="P1241">
        <f t="shared" si="19"/>
        <v>1.2656132430398797</v>
      </c>
    </row>
    <row r="1242" spans="1:16" hidden="1" x14ac:dyDescent="0.25">
      <c r="A1242">
        <v>0</v>
      </c>
      <c r="B1242">
        <v>0</v>
      </c>
      <c r="C1242">
        <f>1.225 * (1 - 0.00000687559 * B1242) ^ 4.2561</f>
        <v>1.2250000000000001</v>
      </c>
      <c r="D1242">
        <f>E1242*(SQRT($C$2/C1242))</f>
        <v>0</v>
      </c>
      <c r="E1242">
        <v>0</v>
      </c>
      <c r="F1242">
        <v>987</v>
      </c>
      <c r="G1242">
        <v>1000</v>
      </c>
      <c r="H1242">
        <f>CONVERT(G1242,"HP","kW")</f>
        <v>745.69987158227025</v>
      </c>
      <c r="I1242">
        <v>0</v>
      </c>
      <c r="J1242">
        <v>0</v>
      </c>
      <c r="K1242">
        <v>0.40970000000000001</v>
      </c>
      <c r="L1242">
        <v>0.1399</v>
      </c>
      <c r="M1242">
        <v>0.25609999999999999</v>
      </c>
      <c r="N1242">
        <f>CONVERT(O1242,"lbf","N")</f>
        <v>20936.889498708122</v>
      </c>
      <c r="O1242">
        <v>4706.8</v>
      </c>
      <c r="P1242">
        <f t="shared" si="19"/>
        <v>1.8305932809149392</v>
      </c>
    </row>
    <row r="1243" spans="1:16" hidden="1" x14ac:dyDescent="0.25">
      <c r="A1243">
        <v>0</v>
      </c>
      <c r="B1243">
        <v>0</v>
      </c>
      <c r="C1243">
        <f>1.225 * (1 - 0.00000687559 * B1243) ^ 4.2561</f>
        <v>1.2250000000000001</v>
      </c>
      <c r="D1243">
        <f>E1243*(SQRT($C$2/C1243))</f>
        <v>160</v>
      </c>
      <c r="E1243">
        <v>160</v>
      </c>
      <c r="F1243">
        <v>987</v>
      </c>
      <c r="G1243">
        <v>1000</v>
      </c>
      <c r="H1243">
        <f>CONVERT(G1243,"HP","kW")</f>
        <v>745.69987158227025</v>
      </c>
      <c r="I1243">
        <v>0.87839999999999996</v>
      </c>
      <c r="J1243">
        <v>1.2627999999999999</v>
      </c>
      <c r="K1243">
        <v>0.48549999999999999</v>
      </c>
      <c r="L1243">
        <v>0.1399</v>
      </c>
      <c r="M1243">
        <v>9.7299999999999998E-2</v>
      </c>
      <c r="N1243">
        <f>CONVERT(O1243,"lbf","N")</f>
        <v>7958.3132918625606</v>
      </c>
      <c r="O1243">
        <v>1789.1</v>
      </c>
      <c r="P1243">
        <f t="shared" si="19"/>
        <v>0.69549678341672627</v>
      </c>
    </row>
    <row r="1244" spans="1:16" hidden="1" x14ac:dyDescent="0.25">
      <c r="A1244">
        <v>0</v>
      </c>
      <c r="B1244">
        <v>0</v>
      </c>
      <c r="C1244">
        <f>1.225 * (1 - 0.00000687559 * B1244) ^ 4.2561</f>
        <v>1.2250000000000001</v>
      </c>
      <c r="D1244">
        <f>E1244*(SQRT($C$2/C1244))</f>
        <v>200</v>
      </c>
      <c r="E1244">
        <v>200</v>
      </c>
      <c r="F1244">
        <v>987</v>
      </c>
      <c r="G1244">
        <v>1000</v>
      </c>
      <c r="H1244">
        <f>CONVERT(G1244,"HP","kW")</f>
        <v>745.69987158227025</v>
      </c>
      <c r="I1244">
        <v>0.88629999999999998</v>
      </c>
      <c r="J1244">
        <v>1.5785</v>
      </c>
      <c r="K1244">
        <v>0.51839999999999997</v>
      </c>
      <c r="L1244">
        <v>0.1399</v>
      </c>
      <c r="M1244">
        <v>7.8600000000000003E-2</v>
      </c>
      <c r="N1244">
        <f>CONVERT(O1244,"lbf","N")</f>
        <v>6423.2320124361622</v>
      </c>
      <c r="O1244">
        <v>1444</v>
      </c>
      <c r="P1244">
        <f t="shared" si="19"/>
        <v>0.56182987848463195</v>
      </c>
    </row>
    <row r="1245" spans="1:16" hidden="1" x14ac:dyDescent="0.25">
      <c r="A1245">
        <v>0</v>
      </c>
      <c r="B1245">
        <v>0</v>
      </c>
      <c r="C1245">
        <f>1.225 * (1 - 0.00000687559 * B1245) ^ 4.2561</f>
        <v>1.2250000000000001</v>
      </c>
      <c r="D1245">
        <f>E1245*(SQRT($C$2/C1245))</f>
        <v>220</v>
      </c>
      <c r="E1245">
        <v>220</v>
      </c>
      <c r="F1245">
        <v>987</v>
      </c>
      <c r="G1245">
        <v>1000</v>
      </c>
      <c r="H1245">
        <f>CONVERT(G1245,"HP","kW")</f>
        <v>745.69987158227025</v>
      </c>
      <c r="I1245">
        <v>0.88170000000000004</v>
      </c>
      <c r="J1245">
        <v>1.7363</v>
      </c>
      <c r="K1245">
        <v>0.53659999999999997</v>
      </c>
      <c r="L1245">
        <v>0.1399</v>
      </c>
      <c r="M1245">
        <v>7.1099999999999997E-2</v>
      </c>
      <c r="N1245">
        <f>CONVERT(O1245,"lbf","N")</f>
        <v>5809.3774295302128</v>
      </c>
      <c r="O1245">
        <v>1306</v>
      </c>
      <c r="P1245">
        <f t="shared" si="19"/>
        <v>0.50822015725518221</v>
      </c>
    </row>
    <row r="1246" spans="1:16" hidden="1" x14ac:dyDescent="0.25">
      <c r="A1246">
        <v>0</v>
      </c>
      <c r="B1246">
        <v>0</v>
      </c>
      <c r="C1246">
        <f>1.225 * (1 - 0.00000687559 * B1246) ^ 4.2561</f>
        <v>1.2250000000000001</v>
      </c>
      <c r="D1246">
        <f>E1246*(SQRT($C$2/C1246))</f>
        <v>240</v>
      </c>
      <c r="E1246">
        <v>240</v>
      </c>
      <c r="F1246">
        <v>987</v>
      </c>
      <c r="G1246">
        <v>1000</v>
      </c>
      <c r="H1246">
        <f>CONVERT(G1246,"HP","kW")</f>
        <v>745.69987158227025</v>
      </c>
      <c r="I1246">
        <v>0.87150000000000005</v>
      </c>
      <c r="J1246">
        <v>1.8942000000000001</v>
      </c>
      <c r="K1246">
        <v>0.55589999999999995</v>
      </c>
      <c r="L1246">
        <v>0.1399</v>
      </c>
      <c r="M1246">
        <v>6.4399999999999999E-2</v>
      </c>
      <c r="N1246">
        <f>CONVERT(O1246,"lbf","N")</f>
        <v>5263.58063733775</v>
      </c>
      <c r="O1246">
        <v>1183.3</v>
      </c>
      <c r="P1246">
        <f t="shared" si="19"/>
        <v>0.46032880629020728</v>
      </c>
    </row>
    <row r="1247" spans="1:16" hidden="1" x14ac:dyDescent="0.25">
      <c r="A1247">
        <v>0</v>
      </c>
      <c r="B1247">
        <v>0</v>
      </c>
      <c r="C1247">
        <f>1.225 * (1 - 0.00000687559 * B1247) ^ 4.2561</f>
        <v>1.2250000000000001</v>
      </c>
      <c r="D1247">
        <f>E1247*(SQRT($C$2/C1247))</f>
        <v>20</v>
      </c>
      <c r="E1247">
        <v>20</v>
      </c>
      <c r="F1247">
        <v>987</v>
      </c>
      <c r="G1247">
        <v>1000</v>
      </c>
      <c r="H1247">
        <f>CONVERT(G1247,"HP","kW")</f>
        <v>745.69987158227025</v>
      </c>
      <c r="I1247">
        <v>0.2666</v>
      </c>
      <c r="J1247">
        <v>0.1578</v>
      </c>
      <c r="K1247">
        <v>0.41489999999999999</v>
      </c>
      <c r="L1247">
        <v>0.14000000000000001</v>
      </c>
      <c r="M1247">
        <v>0.23649999999999999</v>
      </c>
      <c r="N1247">
        <f>CONVERT(O1247,"lbf","N")</f>
        <v>19324.853985337715</v>
      </c>
      <c r="O1247">
        <v>4344.3999999999996</v>
      </c>
      <c r="P1247">
        <f t="shared" si="19"/>
        <v>1.6892857142857141</v>
      </c>
    </row>
    <row r="1248" spans="1:16" hidden="1" x14ac:dyDescent="0.25">
      <c r="A1248">
        <v>0</v>
      </c>
      <c r="B1248">
        <v>0</v>
      </c>
      <c r="C1248">
        <f>1.225 * (1 - 0.00000687559 * B1248) ^ 4.2561</f>
        <v>1.2250000000000001</v>
      </c>
      <c r="D1248">
        <f>E1248*(SQRT($C$2/C1248))</f>
        <v>60</v>
      </c>
      <c r="E1248">
        <v>60</v>
      </c>
      <c r="F1248">
        <v>987</v>
      </c>
      <c r="G1248">
        <v>1000</v>
      </c>
      <c r="H1248">
        <f>CONVERT(G1248,"HP","kW")</f>
        <v>745.69987158227025</v>
      </c>
      <c r="I1248">
        <v>0.63029999999999997</v>
      </c>
      <c r="J1248">
        <v>0.47349999999999998</v>
      </c>
      <c r="K1248">
        <v>0.42820000000000003</v>
      </c>
      <c r="L1248">
        <v>0.14000000000000001</v>
      </c>
      <c r="M1248">
        <v>0.18640000000000001</v>
      </c>
      <c r="N1248">
        <f>CONVERT(O1248,"lbf","N")</f>
        <v>15226.707411198218</v>
      </c>
      <c r="O1248">
        <v>3423.1</v>
      </c>
      <c r="P1248">
        <f t="shared" si="19"/>
        <v>1.3314285714285714</v>
      </c>
    </row>
    <row r="1249" spans="1:16" hidden="1" x14ac:dyDescent="0.25">
      <c r="A1249">
        <v>0</v>
      </c>
      <c r="B1249">
        <v>0</v>
      </c>
      <c r="C1249">
        <f>1.225 * (1 - 0.00000687559 * B1249) ^ 4.2561</f>
        <v>1.2250000000000001</v>
      </c>
      <c r="D1249">
        <f>E1249*(SQRT($C$2/C1249))</f>
        <v>80</v>
      </c>
      <c r="E1249">
        <v>80</v>
      </c>
      <c r="F1249">
        <v>987</v>
      </c>
      <c r="G1249">
        <v>1000</v>
      </c>
      <c r="H1249">
        <f>CONVERT(G1249,"HP","kW")</f>
        <v>745.69987158227025</v>
      </c>
      <c r="I1249">
        <v>0.73180000000000001</v>
      </c>
      <c r="J1249">
        <v>0.63139999999999996</v>
      </c>
      <c r="K1249">
        <v>0.43669999999999998</v>
      </c>
      <c r="L1249">
        <v>0.14000000000000001</v>
      </c>
      <c r="M1249">
        <v>0.1623</v>
      </c>
      <c r="N1249">
        <f>CONVERT(O1249,"lbf","N")</f>
        <v>13260.148635091551</v>
      </c>
      <c r="O1249">
        <v>2981</v>
      </c>
      <c r="P1249">
        <f t="shared" si="19"/>
        <v>1.1592857142857143</v>
      </c>
    </row>
    <row r="1250" spans="1:16" hidden="1" x14ac:dyDescent="0.25">
      <c r="A1250">
        <v>0</v>
      </c>
      <c r="B1250">
        <v>0</v>
      </c>
      <c r="C1250">
        <f>1.225 * (1 - 0.00000687559 * B1250) ^ 4.2561</f>
        <v>1.2250000000000001</v>
      </c>
      <c r="D1250">
        <f>E1250*(SQRT($C$2/C1250))</f>
        <v>100</v>
      </c>
      <c r="E1250">
        <v>100</v>
      </c>
      <c r="F1250">
        <v>987</v>
      </c>
      <c r="G1250">
        <v>1000</v>
      </c>
      <c r="H1250">
        <f>CONVERT(G1250,"HP","kW")</f>
        <v>745.69987158227025</v>
      </c>
      <c r="I1250">
        <v>0.79749999999999999</v>
      </c>
      <c r="J1250">
        <v>0.78920000000000001</v>
      </c>
      <c r="K1250">
        <v>0.4466</v>
      </c>
      <c r="L1250">
        <v>0.14000000000000001</v>
      </c>
      <c r="M1250">
        <v>0.14149999999999999</v>
      </c>
      <c r="N1250">
        <f>CONVERT(O1250,"lbf","N")</f>
        <v>11560.483155900514</v>
      </c>
      <c r="O1250">
        <v>2598.9</v>
      </c>
      <c r="P1250">
        <f t="shared" si="19"/>
        <v>1.0107142857142855</v>
      </c>
    </row>
    <row r="1251" spans="1:16" hidden="1" x14ac:dyDescent="0.25">
      <c r="A1251">
        <v>0</v>
      </c>
      <c r="B1251">
        <v>0</v>
      </c>
      <c r="C1251">
        <f>1.225 * (1 - 0.00000687559 * B1251) ^ 4.2561</f>
        <v>1.2250000000000001</v>
      </c>
      <c r="D1251">
        <f>E1251*(SQRT($C$2/C1251))</f>
        <v>120</v>
      </c>
      <c r="E1251">
        <v>120</v>
      </c>
      <c r="F1251">
        <v>987</v>
      </c>
      <c r="G1251">
        <v>1000</v>
      </c>
      <c r="H1251">
        <f>CONVERT(G1251,"HP","kW")</f>
        <v>745.69987158227025</v>
      </c>
      <c r="I1251">
        <v>0.83889999999999998</v>
      </c>
      <c r="J1251">
        <v>0.94710000000000005</v>
      </c>
      <c r="K1251">
        <v>0.45800000000000002</v>
      </c>
      <c r="L1251">
        <v>0.14000000000000001</v>
      </c>
      <c r="M1251">
        <v>0.124</v>
      </c>
      <c r="N1251">
        <f>CONVERT(O1251,"lbf","N")</f>
        <v>10133.04883956342</v>
      </c>
      <c r="O1251">
        <v>2278</v>
      </c>
      <c r="P1251">
        <f t="shared" si="19"/>
        <v>0.88571428571428568</v>
      </c>
    </row>
    <row r="1252" spans="1:16" hidden="1" x14ac:dyDescent="0.25">
      <c r="A1252">
        <v>0</v>
      </c>
      <c r="B1252">
        <v>0</v>
      </c>
      <c r="C1252">
        <f>1.225 * (1 - 0.00000687559 * B1252) ^ 4.2561</f>
        <v>1.2250000000000001</v>
      </c>
      <c r="D1252">
        <f>E1252*(SQRT($C$2/C1252))</f>
        <v>140</v>
      </c>
      <c r="E1252">
        <v>140</v>
      </c>
      <c r="F1252">
        <v>987</v>
      </c>
      <c r="G1252">
        <v>1000</v>
      </c>
      <c r="H1252">
        <f>CONVERT(G1252,"HP","kW")</f>
        <v>745.69987158227025</v>
      </c>
      <c r="I1252">
        <v>0.86409999999999998</v>
      </c>
      <c r="J1252">
        <v>1.1049</v>
      </c>
      <c r="K1252">
        <v>0.47099999999999997</v>
      </c>
      <c r="L1252">
        <v>0.14000000000000001</v>
      </c>
      <c r="M1252">
        <v>0.1095</v>
      </c>
      <c r="N1252">
        <f>CONVERT(O1252,"lbf","N")</f>
        <v>8946.2633126119181</v>
      </c>
      <c r="O1252">
        <v>2011.2</v>
      </c>
      <c r="P1252">
        <f t="shared" si="19"/>
        <v>0.78214285714285703</v>
      </c>
    </row>
    <row r="1253" spans="1:16" hidden="1" x14ac:dyDescent="0.25">
      <c r="A1253">
        <v>0</v>
      </c>
      <c r="B1253">
        <v>0</v>
      </c>
      <c r="C1253">
        <f>1.225 * (1 - 0.00000687559 * B1253) ^ 4.2561</f>
        <v>1.2250000000000001</v>
      </c>
      <c r="D1253">
        <f>E1253*(SQRT($C$2/C1253))</f>
        <v>180</v>
      </c>
      <c r="E1253">
        <v>180</v>
      </c>
      <c r="F1253">
        <v>987</v>
      </c>
      <c r="G1253">
        <v>1000</v>
      </c>
      <c r="H1253">
        <f>CONVERT(G1253,"HP","kW")</f>
        <v>745.69987158227025</v>
      </c>
      <c r="I1253">
        <v>0.88529999999999998</v>
      </c>
      <c r="J1253">
        <v>1.4206000000000001</v>
      </c>
      <c r="K1253">
        <v>0.50129999999999997</v>
      </c>
      <c r="L1253">
        <v>0.14000000000000001</v>
      </c>
      <c r="M1253">
        <v>8.72E-2</v>
      </c>
      <c r="N1253">
        <f>CONVERT(O1253,"lbf","N")</f>
        <v>7128.7199606164768</v>
      </c>
      <c r="O1253">
        <v>1602.6</v>
      </c>
      <c r="P1253">
        <f t="shared" si="19"/>
        <v>0.62285714285714278</v>
      </c>
    </row>
    <row r="1254" spans="1:16" hidden="1" x14ac:dyDescent="0.25">
      <c r="A1254">
        <v>0</v>
      </c>
      <c r="B1254">
        <v>0</v>
      </c>
      <c r="C1254">
        <f>1.225 * (1 - 0.00000687559 * B1254) ^ 4.2561</f>
        <v>1.2250000000000001</v>
      </c>
      <c r="D1254">
        <f>E1254*(SQRT($C$2/C1254))</f>
        <v>260</v>
      </c>
      <c r="E1254">
        <v>260</v>
      </c>
      <c r="F1254">
        <v>987</v>
      </c>
      <c r="G1254">
        <v>1000</v>
      </c>
      <c r="H1254">
        <f>CONVERT(G1254,"HP","kW")</f>
        <v>745.69987158227025</v>
      </c>
      <c r="I1254">
        <v>0.85489999999999999</v>
      </c>
      <c r="J1254">
        <v>2.052</v>
      </c>
      <c r="K1254">
        <v>0.57609999999999995</v>
      </c>
      <c r="L1254">
        <v>0.14000000000000001</v>
      </c>
      <c r="M1254">
        <v>5.8299999999999998E-2</v>
      </c>
      <c r="N1254">
        <f>CONVERT(O1254,"lbf","N")</f>
        <v>4766.269460751626</v>
      </c>
      <c r="O1254">
        <v>1071.5</v>
      </c>
      <c r="P1254">
        <f t="shared" si="19"/>
        <v>0.41642857142857137</v>
      </c>
    </row>
    <row r="1255" spans="1:16" hidden="1" x14ac:dyDescent="0.25">
      <c r="A1255">
        <v>0</v>
      </c>
      <c r="B1255">
        <v>0</v>
      </c>
      <c r="C1255">
        <f>1.225 * (1 - 0.00000687559 * B1255) ^ 4.2561</f>
        <v>1.2250000000000001</v>
      </c>
      <c r="D1255">
        <f>E1255*(SQRT($C$2/C1255))</f>
        <v>40</v>
      </c>
      <c r="E1255">
        <v>40</v>
      </c>
      <c r="F1255">
        <v>987</v>
      </c>
      <c r="G1255">
        <v>1000</v>
      </c>
      <c r="H1255">
        <f>CONVERT(G1255,"HP","kW")</f>
        <v>745.69987158227025</v>
      </c>
      <c r="I1255">
        <v>0.4768</v>
      </c>
      <c r="J1255">
        <v>0.31569999999999998</v>
      </c>
      <c r="K1255">
        <v>0.42109999999999997</v>
      </c>
      <c r="L1255">
        <v>0.1401</v>
      </c>
      <c r="M1255">
        <v>0.21160000000000001</v>
      </c>
      <c r="N1255">
        <f>CONVERT(O1255,"lbf","N")</f>
        <v>17278.227220156361</v>
      </c>
      <c r="O1255">
        <v>3884.3</v>
      </c>
      <c r="P1255">
        <f t="shared" si="19"/>
        <v>1.510349750178444</v>
      </c>
    </row>
    <row r="1256" spans="1:16" hidden="1" x14ac:dyDescent="0.25">
      <c r="A1256">
        <v>0</v>
      </c>
      <c r="B1256">
        <v>15000</v>
      </c>
      <c r="C1256">
        <f>1.225 * (1 - 0.00000687559 * B1256) ^ 4.2561</f>
        <v>0.77079726910167001</v>
      </c>
      <c r="D1256">
        <f>E1256*(SQRT($C$2/C1256))</f>
        <v>277.34519205286364</v>
      </c>
      <c r="E1256">
        <v>220</v>
      </c>
      <c r="F1256">
        <v>1150</v>
      </c>
      <c r="G1256">
        <v>1000</v>
      </c>
      <c r="H1256">
        <f>CONVERT(G1256,"HP","kW")</f>
        <v>745.69987158227025</v>
      </c>
      <c r="I1256">
        <v>0.8579</v>
      </c>
      <c r="J1256">
        <v>1.8787</v>
      </c>
      <c r="K1256">
        <v>0.68149999999999999</v>
      </c>
      <c r="L1256">
        <v>0.14050000000000001</v>
      </c>
      <c r="M1256">
        <v>6.4199999999999993E-2</v>
      </c>
      <c r="N1256">
        <f>CONVERT(O1256,"lbf","N")</f>
        <v>4483.807388182584</v>
      </c>
      <c r="O1256">
        <v>1008</v>
      </c>
      <c r="P1256">
        <f t="shared" si="19"/>
        <v>0.45693950177935932</v>
      </c>
    </row>
    <row r="1257" spans="1:16" hidden="1" x14ac:dyDescent="0.25">
      <c r="A1257">
        <v>0</v>
      </c>
      <c r="B1257">
        <v>15000</v>
      </c>
      <c r="C1257">
        <f>1.225 * (1 - 0.00000687559 * B1257) ^ 4.2561</f>
        <v>0.77079726910167001</v>
      </c>
      <c r="D1257">
        <f>E1257*(SQRT($C$2/C1257))</f>
        <v>327.77159060792974</v>
      </c>
      <c r="E1257">
        <v>260</v>
      </c>
      <c r="F1257">
        <v>1150</v>
      </c>
      <c r="G1257">
        <v>1000</v>
      </c>
      <c r="H1257">
        <f>CONVERT(G1257,"HP","kW")</f>
        <v>745.69987158227025</v>
      </c>
      <c r="I1257">
        <v>0.74060000000000004</v>
      </c>
      <c r="J1257">
        <v>2.2202000000000002</v>
      </c>
      <c r="K1257">
        <v>0.73640000000000005</v>
      </c>
      <c r="L1257">
        <v>0.14050000000000001</v>
      </c>
      <c r="M1257">
        <v>4.6899999999999997E-2</v>
      </c>
      <c r="N1257">
        <f>CONVERT(O1257,"lbf","N")</f>
        <v>3275.2255753163058</v>
      </c>
      <c r="O1257">
        <v>736.3</v>
      </c>
      <c r="P1257">
        <f t="shared" si="19"/>
        <v>0.3338078291814946</v>
      </c>
    </row>
    <row r="1258" spans="1:16" hidden="1" x14ac:dyDescent="0.25">
      <c r="A1258">
        <v>0</v>
      </c>
      <c r="B1258">
        <v>15000</v>
      </c>
      <c r="C1258">
        <f>1.225 * (1 - 0.00000687559 * B1258) ^ 4.2561</f>
        <v>0.77079726910167001</v>
      </c>
      <c r="D1258">
        <f>E1258*(SQRT($C$2/C1258))</f>
        <v>201.70559422026446</v>
      </c>
      <c r="E1258">
        <v>160</v>
      </c>
      <c r="F1258">
        <v>1150</v>
      </c>
      <c r="G1258">
        <v>1000</v>
      </c>
      <c r="H1258">
        <f>CONVERT(G1258,"HP","kW")</f>
        <v>745.69987158227025</v>
      </c>
      <c r="I1258">
        <v>0.88249999999999995</v>
      </c>
      <c r="J1258">
        <v>1.3663000000000001</v>
      </c>
      <c r="K1258">
        <v>0.60980000000000001</v>
      </c>
      <c r="L1258">
        <v>0.1406</v>
      </c>
      <c r="M1258">
        <v>9.0800000000000006E-2</v>
      </c>
      <c r="N1258">
        <f>CONVERT(O1258,"lbf","N")</f>
        <v>6341.8295568768954</v>
      </c>
      <c r="O1258">
        <v>1425.7</v>
      </c>
      <c r="P1258">
        <f t="shared" si="19"/>
        <v>0.64580369843527741</v>
      </c>
    </row>
    <row r="1259" spans="1:16" hidden="1" x14ac:dyDescent="0.25">
      <c r="A1259">
        <v>0</v>
      </c>
      <c r="B1259">
        <v>15000</v>
      </c>
      <c r="C1259">
        <f>1.225 * (1 - 0.00000687559 * B1259) ^ 4.2561</f>
        <v>0.77079726910167001</v>
      </c>
      <c r="D1259">
        <f>E1259*(SQRT($C$2/C1259))</f>
        <v>226.91879349779754</v>
      </c>
      <c r="E1259">
        <v>180</v>
      </c>
      <c r="F1259">
        <v>1150</v>
      </c>
      <c r="G1259">
        <v>1000</v>
      </c>
      <c r="H1259">
        <f>CONVERT(G1259,"HP","kW")</f>
        <v>745.69987158227025</v>
      </c>
      <c r="I1259">
        <v>0.8841</v>
      </c>
      <c r="J1259">
        <v>1.5370999999999999</v>
      </c>
      <c r="K1259">
        <v>0.6321</v>
      </c>
      <c r="L1259">
        <v>0.1406</v>
      </c>
      <c r="M1259">
        <v>8.0799999999999997E-2</v>
      </c>
      <c r="N1259">
        <f>CONVERT(O1259,"lbf","N")</f>
        <v>5647.9069848962572</v>
      </c>
      <c r="O1259">
        <v>1269.7</v>
      </c>
      <c r="P1259">
        <f t="shared" si="19"/>
        <v>0.57467994310099568</v>
      </c>
    </row>
    <row r="1260" spans="1:16" hidden="1" x14ac:dyDescent="0.25">
      <c r="A1260">
        <v>0</v>
      </c>
      <c r="B1260">
        <v>15000</v>
      </c>
      <c r="C1260">
        <f>1.225 * (1 - 0.00000687559 * B1260) ^ 4.2561</f>
        <v>0.77079726910167001</v>
      </c>
      <c r="D1260">
        <f>E1260*(SQRT($C$2/C1260))</f>
        <v>302.55839133039672</v>
      </c>
      <c r="E1260">
        <v>240</v>
      </c>
      <c r="F1260">
        <v>1150</v>
      </c>
      <c r="G1260">
        <v>1000</v>
      </c>
      <c r="H1260">
        <f>CONVERT(G1260,"HP","kW")</f>
        <v>745.69987158227025</v>
      </c>
      <c r="I1260">
        <v>0.81720000000000004</v>
      </c>
      <c r="J1260">
        <v>2.0493999999999999</v>
      </c>
      <c r="K1260">
        <v>0.70830000000000004</v>
      </c>
      <c r="L1260">
        <v>0.1406</v>
      </c>
      <c r="M1260">
        <v>5.6099999999999997E-2</v>
      </c>
      <c r="N1260">
        <f>CONVERT(O1260,"lbf","N")</f>
        <v>3915.3246657522923</v>
      </c>
      <c r="O1260">
        <v>880.2</v>
      </c>
      <c r="P1260">
        <f t="shared" si="19"/>
        <v>0.39900426742532002</v>
      </c>
    </row>
    <row r="1261" spans="1:16" hidden="1" x14ac:dyDescent="0.25">
      <c r="A1261">
        <v>0</v>
      </c>
      <c r="B1261">
        <v>15000</v>
      </c>
      <c r="C1261">
        <f>1.225 * (1 - 0.00000687559 * B1261) ^ 4.2561</f>
        <v>0.77079726910167001</v>
      </c>
      <c r="D1261">
        <f>E1261*(SQRT($C$2/C1261))</f>
        <v>0</v>
      </c>
      <c r="E1261">
        <v>0</v>
      </c>
      <c r="F1261">
        <v>1150</v>
      </c>
      <c r="G1261">
        <v>1000</v>
      </c>
      <c r="H1261">
        <f>CONVERT(G1261,"HP","kW")</f>
        <v>745.69987158227025</v>
      </c>
      <c r="I1261">
        <v>0</v>
      </c>
      <c r="J1261">
        <v>0</v>
      </c>
      <c r="K1261">
        <v>0.50409999999999999</v>
      </c>
      <c r="L1261">
        <v>0.14069999999999999</v>
      </c>
      <c r="M1261">
        <v>0.25559999999999999</v>
      </c>
      <c r="N1261">
        <f>CONVERT(O1261,"lbf","N")</f>
        <v>17840.037610163759</v>
      </c>
      <c r="O1261">
        <v>4010.6</v>
      </c>
      <c r="P1261">
        <f t="shared" si="19"/>
        <v>1.8166311300639659</v>
      </c>
    </row>
    <row r="1262" spans="1:16" hidden="1" x14ac:dyDescent="0.25">
      <c r="A1262">
        <v>0</v>
      </c>
      <c r="B1262">
        <v>15000</v>
      </c>
      <c r="C1262">
        <f>1.225 * (1 - 0.00000687559 * B1262) ^ 4.2561</f>
        <v>0.77079726910167001</v>
      </c>
      <c r="D1262">
        <f>E1262*(SQRT($C$2/C1262))</f>
        <v>25.213199277533057</v>
      </c>
      <c r="E1262">
        <v>20</v>
      </c>
      <c r="F1262">
        <v>1150</v>
      </c>
      <c r="G1262">
        <v>1000</v>
      </c>
      <c r="H1262">
        <f>CONVERT(G1262,"HP","kW")</f>
        <v>745.69987158227025</v>
      </c>
      <c r="I1262">
        <v>0.28520000000000001</v>
      </c>
      <c r="J1262">
        <v>0.17080000000000001</v>
      </c>
      <c r="K1262">
        <v>0.51100000000000001</v>
      </c>
      <c r="L1262">
        <v>0.14069999999999999</v>
      </c>
      <c r="M1262">
        <v>0.23499999999999999</v>
      </c>
      <c r="N1262">
        <f>CONVERT(O1262,"lbf","N")</f>
        <v>16393.920763042574</v>
      </c>
      <c r="O1262">
        <v>3685.5</v>
      </c>
      <c r="P1262">
        <f t="shared" si="19"/>
        <v>1.6702203269367448</v>
      </c>
    </row>
    <row r="1263" spans="1:16" hidden="1" x14ac:dyDescent="0.25">
      <c r="A1263">
        <v>0</v>
      </c>
      <c r="B1263">
        <v>15000</v>
      </c>
      <c r="C1263">
        <f>1.225 * (1 - 0.00000687559 * B1263) ^ 4.2561</f>
        <v>0.77079726910167001</v>
      </c>
      <c r="D1263">
        <f>E1263*(SQRT($C$2/C1263))</f>
        <v>50.426398555066115</v>
      </c>
      <c r="E1263">
        <v>40</v>
      </c>
      <c r="F1263">
        <v>1150</v>
      </c>
      <c r="G1263">
        <v>1000</v>
      </c>
      <c r="H1263">
        <f>CONVERT(G1263,"HP","kW")</f>
        <v>745.69987158227025</v>
      </c>
      <c r="I1263">
        <v>0.50509999999999999</v>
      </c>
      <c r="J1263">
        <v>0.34160000000000001</v>
      </c>
      <c r="K1263">
        <v>0.51939999999999997</v>
      </c>
      <c r="L1263">
        <v>0.14069999999999999</v>
      </c>
      <c r="M1263">
        <v>0.20799999999999999</v>
      </c>
      <c r="N1263">
        <f>CONVERT(O1263,"lbf","N")</f>
        <v>14518.550530048748</v>
      </c>
      <c r="O1263">
        <v>3263.9</v>
      </c>
      <c r="P1263">
        <f t="shared" si="19"/>
        <v>1.4783226723525231</v>
      </c>
    </row>
    <row r="1264" spans="1:16" hidden="1" x14ac:dyDescent="0.25">
      <c r="A1264">
        <v>0</v>
      </c>
      <c r="B1264">
        <v>15000</v>
      </c>
      <c r="C1264">
        <f>1.225 * (1 - 0.00000687559 * B1264) ^ 4.2561</f>
        <v>0.77079726910167001</v>
      </c>
      <c r="D1264">
        <f>E1264*(SQRT($C$2/C1264))</f>
        <v>75.639597832599179</v>
      </c>
      <c r="E1264">
        <v>60</v>
      </c>
      <c r="F1264">
        <v>1150</v>
      </c>
      <c r="G1264">
        <v>1000</v>
      </c>
      <c r="H1264">
        <f>CONVERT(G1264,"HP","kW")</f>
        <v>745.69987158227025</v>
      </c>
      <c r="I1264">
        <v>0.65839999999999999</v>
      </c>
      <c r="J1264">
        <v>0.51239999999999997</v>
      </c>
      <c r="K1264">
        <v>0.5292</v>
      </c>
      <c r="L1264">
        <v>0.14069999999999999</v>
      </c>
      <c r="M1264">
        <v>0.18079999999999999</v>
      </c>
      <c r="N1264">
        <f>CONVERT(O1264,"lbf","N")</f>
        <v>12616.935789524881</v>
      </c>
      <c r="O1264">
        <v>2836.4</v>
      </c>
      <c r="P1264">
        <f t="shared" si="19"/>
        <v>1.28500355366027</v>
      </c>
    </row>
    <row r="1265" spans="1:16" hidden="1" x14ac:dyDescent="0.25">
      <c r="A1265">
        <v>0</v>
      </c>
      <c r="B1265">
        <v>15000</v>
      </c>
      <c r="C1265">
        <f>1.225 * (1 - 0.00000687559 * B1265) ^ 4.2561</f>
        <v>0.77079726910167001</v>
      </c>
      <c r="D1265">
        <f>E1265*(SQRT($C$2/C1265))</f>
        <v>100.85279711013223</v>
      </c>
      <c r="E1265">
        <v>80</v>
      </c>
      <c r="F1265">
        <v>1150</v>
      </c>
      <c r="G1265">
        <v>1000</v>
      </c>
      <c r="H1265">
        <f>CONVERT(G1265,"HP","kW")</f>
        <v>745.69987158227025</v>
      </c>
      <c r="I1265">
        <v>0.75609999999999999</v>
      </c>
      <c r="J1265">
        <v>0.68310000000000004</v>
      </c>
      <c r="K1265">
        <v>0.54100000000000004</v>
      </c>
      <c r="L1265">
        <v>0.14069999999999999</v>
      </c>
      <c r="M1265">
        <v>0.15570000000000001</v>
      </c>
      <c r="N1265">
        <f>CONVERT(O1265,"lbf","N")</f>
        <v>10867.450228242926</v>
      </c>
      <c r="O1265">
        <v>2443.1</v>
      </c>
      <c r="P1265">
        <f t="shared" si="19"/>
        <v>1.1066098081023454</v>
      </c>
    </row>
    <row r="1266" spans="1:16" hidden="1" x14ac:dyDescent="0.25">
      <c r="A1266">
        <v>0</v>
      </c>
      <c r="B1266">
        <v>15000</v>
      </c>
      <c r="C1266">
        <f>1.225 * (1 - 0.00000687559 * B1266) ^ 4.2561</f>
        <v>0.77079726910167001</v>
      </c>
      <c r="D1266">
        <f>E1266*(SQRT($C$2/C1266))</f>
        <v>126.06599638766529</v>
      </c>
      <c r="E1266">
        <v>100</v>
      </c>
      <c r="F1266">
        <v>1150</v>
      </c>
      <c r="G1266">
        <v>1000</v>
      </c>
      <c r="H1266">
        <f>CONVERT(G1266,"HP","kW")</f>
        <v>745.69987158227025</v>
      </c>
      <c r="I1266">
        <v>0.8165</v>
      </c>
      <c r="J1266">
        <v>0.85389999999999999</v>
      </c>
      <c r="K1266">
        <v>0.55489999999999995</v>
      </c>
      <c r="L1266">
        <v>0.14069999999999999</v>
      </c>
      <c r="M1266">
        <v>0.13450000000000001</v>
      </c>
      <c r="N1266">
        <f>CONVERT(O1266,"lbf","N")</f>
        <v>9388.4165411688118</v>
      </c>
      <c r="O1266">
        <v>2110.6</v>
      </c>
      <c r="P1266">
        <f t="shared" si="19"/>
        <v>0.95593461265103064</v>
      </c>
    </row>
    <row r="1267" spans="1:16" hidden="1" x14ac:dyDescent="0.25">
      <c r="A1267">
        <v>0</v>
      </c>
      <c r="B1267">
        <v>15000</v>
      </c>
      <c r="C1267">
        <f>1.225 * (1 - 0.00000687559 * B1267) ^ 4.2561</f>
        <v>0.77079726910167001</v>
      </c>
      <c r="D1267">
        <f>E1267*(SQRT($C$2/C1267))</f>
        <v>151.27919566519836</v>
      </c>
      <c r="E1267">
        <v>120</v>
      </c>
      <c r="F1267">
        <v>1150</v>
      </c>
      <c r="G1267">
        <v>1000</v>
      </c>
      <c r="H1267">
        <f>CONVERT(G1267,"HP","kW")</f>
        <v>745.69987158227025</v>
      </c>
      <c r="I1267">
        <v>0.85250000000000004</v>
      </c>
      <c r="J1267">
        <v>1.0246999999999999</v>
      </c>
      <c r="K1267">
        <v>0.57110000000000005</v>
      </c>
      <c r="L1267">
        <v>0.14069999999999999</v>
      </c>
      <c r="M1267">
        <v>0.11700000000000001</v>
      </c>
      <c r="N1267">
        <f>CONVERT(O1267,"lbf","N")</f>
        <v>8168.7141742643835</v>
      </c>
      <c r="O1267">
        <v>1836.4</v>
      </c>
      <c r="P1267">
        <f t="shared" si="19"/>
        <v>0.83155650319829433</v>
      </c>
    </row>
    <row r="1268" spans="1:16" hidden="1" x14ac:dyDescent="0.25">
      <c r="A1268">
        <v>0</v>
      </c>
      <c r="B1268">
        <v>15000</v>
      </c>
      <c r="C1268">
        <f>1.225 * (1 - 0.00000687559 * B1268) ^ 4.2561</f>
        <v>0.77079726910167001</v>
      </c>
      <c r="D1268">
        <f>E1268*(SQRT($C$2/C1268))</f>
        <v>176.49239494273141</v>
      </c>
      <c r="E1268">
        <v>140</v>
      </c>
      <c r="F1268">
        <v>1150</v>
      </c>
      <c r="G1268">
        <v>1000</v>
      </c>
      <c r="H1268">
        <f>CONVERT(G1268,"HP","kW")</f>
        <v>745.69987158227025</v>
      </c>
      <c r="I1268">
        <v>0.87280000000000002</v>
      </c>
      <c r="J1268">
        <v>1.1955</v>
      </c>
      <c r="K1268">
        <v>0.58940000000000003</v>
      </c>
      <c r="L1268">
        <v>0.14069999999999999</v>
      </c>
      <c r="M1268">
        <v>0.1027</v>
      </c>
      <c r="N1268">
        <f>CONVERT(O1268,"lbf","N")</f>
        <v>7167.8643108307706</v>
      </c>
      <c r="O1268">
        <v>1611.4</v>
      </c>
      <c r="P1268">
        <f t="shared" si="19"/>
        <v>0.72992181947405832</v>
      </c>
    </row>
    <row r="1269" spans="1:16" hidden="1" x14ac:dyDescent="0.25">
      <c r="A1269" s="5">
        <v>0</v>
      </c>
      <c r="B1269" s="5">
        <v>15000</v>
      </c>
      <c r="C1269" s="5">
        <f>1.225 * (1 - 0.00000687559 * B1269) ^ 4.2561</f>
        <v>0.77079726910167001</v>
      </c>
      <c r="D1269" s="5">
        <f>E1269*(SQRT($C$2/C1269))</f>
        <v>252.13199277533059</v>
      </c>
      <c r="E1269" s="5">
        <v>200</v>
      </c>
      <c r="F1269" s="5">
        <v>1150</v>
      </c>
      <c r="G1269" s="5">
        <v>1000</v>
      </c>
      <c r="H1269" s="5">
        <f>CONVERT(G1269,"HP","kW")</f>
        <v>745.69987158227025</v>
      </c>
      <c r="I1269" s="5">
        <v>0.87739999999999996</v>
      </c>
      <c r="J1269" s="5">
        <v>1.7079</v>
      </c>
      <c r="K1269" s="5">
        <v>0.65600000000000003</v>
      </c>
      <c r="L1269" s="5">
        <v>0.14069999999999999</v>
      </c>
      <c r="M1269" s="5">
        <v>7.2300000000000003E-2</v>
      </c>
      <c r="N1269">
        <f>CONVERT(O1269,"lbf","N")</f>
        <v>5044.283311705407</v>
      </c>
      <c r="O1269" s="5">
        <v>1134</v>
      </c>
      <c r="P1269">
        <f t="shared" si="19"/>
        <v>0.51385927505330498</v>
      </c>
    </row>
    <row r="1270" spans="1:16" hidden="1" x14ac:dyDescent="0.25">
      <c r="A1270">
        <v>0</v>
      </c>
      <c r="B1270">
        <v>20000</v>
      </c>
      <c r="C1270">
        <f>1.225 * (1 - 0.00000687559 * B1270) ^ 4.2561</f>
        <v>0.65267221054298263</v>
      </c>
      <c r="D1270">
        <f>E1270*(SQRT($C$2/C1270))</f>
        <v>219.19995777331309</v>
      </c>
      <c r="E1270">
        <v>160</v>
      </c>
      <c r="F1270">
        <v>1215</v>
      </c>
      <c r="G1270">
        <v>1000</v>
      </c>
      <c r="H1270">
        <f>CONVERT(G1270,"HP","kW")</f>
        <v>745.69987158227025</v>
      </c>
      <c r="I1270">
        <v>0.87880000000000003</v>
      </c>
      <c r="J1270">
        <v>1.4054</v>
      </c>
      <c r="K1270">
        <v>0.6623</v>
      </c>
      <c r="L1270">
        <v>0.14080000000000001</v>
      </c>
      <c r="M1270">
        <v>8.7999999999999995E-2</v>
      </c>
      <c r="N1270">
        <f>CONVERT(O1270,"lbf","N")</f>
        <v>5811.6015403378442</v>
      </c>
      <c r="O1270">
        <v>1306.5</v>
      </c>
      <c r="P1270">
        <f t="shared" si="19"/>
        <v>0.62499999999999989</v>
      </c>
    </row>
    <row r="1271" spans="1:16" hidden="1" x14ac:dyDescent="0.25">
      <c r="A1271">
        <v>0</v>
      </c>
      <c r="B1271">
        <v>20000</v>
      </c>
      <c r="C1271">
        <f>1.225 * (1 - 0.00000687559 * B1271) ^ 4.2561</f>
        <v>0.65267221054298263</v>
      </c>
      <c r="D1271">
        <f>E1271*(SQRT($C$2/C1271))</f>
        <v>301.39994193830552</v>
      </c>
      <c r="E1271">
        <v>220</v>
      </c>
      <c r="F1271">
        <v>1215</v>
      </c>
      <c r="G1271">
        <v>1000</v>
      </c>
      <c r="H1271">
        <f>CONVERT(G1271,"HP","kW")</f>
        <v>745.69987158227025</v>
      </c>
      <c r="I1271">
        <v>0.78010000000000002</v>
      </c>
      <c r="J1271">
        <v>1.9323999999999999</v>
      </c>
      <c r="K1271">
        <v>0.74319999999999997</v>
      </c>
      <c r="L1271">
        <v>0.14080000000000001</v>
      </c>
      <c r="M1271">
        <v>5.6800000000000003E-2</v>
      </c>
      <c r="N1271">
        <f>CONVERT(O1271,"lbf","N")</f>
        <v>3752.0749324722319</v>
      </c>
      <c r="O1271">
        <v>843.5</v>
      </c>
      <c r="P1271">
        <f t="shared" si="19"/>
        <v>0.40340909090909088</v>
      </c>
    </row>
    <row r="1272" spans="1:16" hidden="1" x14ac:dyDescent="0.25">
      <c r="A1272">
        <v>0</v>
      </c>
      <c r="B1272">
        <v>20000</v>
      </c>
      <c r="C1272">
        <f>1.225 * (1 - 0.00000687559 * B1272) ^ 4.2561</f>
        <v>0.65267221054298263</v>
      </c>
      <c r="D1272">
        <f>E1272*(SQRT($C$2/C1272))</f>
        <v>27.399994721664136</v>
      </c>
      <c r="E1272">
        <v>20</v>
      </c>
      <c r="F1272">
        <v>1215</v>
      </c>
      <c r="G1272">
        <v>1000</v>
      </c>
      <c r="H1272">
        <f>CONVERT(G1272,"HP","kW")</f>
        <v>745.69987158227025</v>
      </c>
      <c r="I1272">
        <v>0.2913</v>
      </c>
      <c r="J1272">
        <v>0.1757</v>
      </c>
      <c r="K1272">
        <v>0.55069999999999997</v>
      </c>
      <c r="L1272">
        <v>0.1409</v>
      </c>
      <c r="M1272">
        <v>0.23369999999999999</v>
      </c>
      <c r="N1272">
        <f>CONVERT(O1272,"lbf","N")</f>
        <v>15410.863786070004</v>
      </c>
      <c r="O1272">
        <v>3464.5</v>
      </c>
      <c r="P1272">
        <f t="shared" si="19"/>
        <v>1.6586231369765791</v>
      </c>
    </row>
    <row r="1273" spans="1:16" hidden="1" x14ac:dyDescent="0.25">
      <c r="A1273">
        <v>0</v>
      </c>
      <c r="B1273">
        <v>20000</v>
      </c>
      <c r="C1273">
        <f>1.225 * (1 - 0.00000687559 * B1273) ^ 4.2561</f>
        <v>0.65267221054298263</v>
      </c>
      <c r="D1273">
        <f>E1273*(SQRT($C$2/C1273))</f>
        <v>109.59997888665654</v>
      </c>
      <c r="E1273">
        <v>80</v>
      </c>
      <c r="F1273">
        <v>1215</v>
      </c>
      <c r="G1273">
        <v>1000</v>
      </c>
      <c r="H1273">
        <f>CONVERT(G1273,"HP","kW")</f>
        <v>745.69987158227025</v>
      </c>
      <c r="I1273">
        <v>0.76370000000000005</v>
      </c>
      <c r="J1273">
        <v>0.70269999999999999</v>
      </c>
      <c r="K1273">
        <v>0.58440000000000003</v>
      </c>
      <c r="L1273">
        <v>0.1409</v>
      </c>
      <c r="M1273">
        <v>0.15310000000000001</v>
      </c>
      <c r="N1273">
        <f>CONVERT(O1273,"lbf","N")</f>
        <v>10100.576821772016</v>
      </c>
      <c r="O1273">
        <v>2270.6999999999998</v>
      </c>
      <c r="P1273">
        <f t="shared" si="19"/>
        <v>1.0865862313697658</v>
      </c>
    </row>
    <row r="1274" spans="1:16" hidden="1" x14ac:dyDescent="0.25">
      <c r="A1274">
        <v>0</v>
      </c>
      <c r="B1274">
        <v>20000</v>
      </c>
      <c r="C1274">
        <f>1.225 * (1 - 0.00000687559 * B1274) ^ 4.2561</f>
        <v>0.65267221054298263</v>
      </c>
      <c r="D1274">
        <f>E1274*(SQRT($C$2/C1274))</f>
        <v>164.3999683299848</v>
      </c>
      <c r="E1274">
        <v>120</v>
      </c>
      <c r="F1274">
        <v>1215</v>
      </c>
      <c r="G1274">
        <v>1000</v>
      </c>
      <c r="H1274">
        <f>CONVERT(G1274,"HP","kW")</f>
        <v>745.69987158227025</v>
      </c>
      <c r="I1274">
        <v>0.85660000000000003</v>
      </c>
      <c r="J1274">
        <v>1.054</v>
      </c>
      <c r="K1274">
        <v>0.61850000000000005</v>
      </c>
      <c r="L1274">
        <v>0.1409</v>
      </c>
      <c r="M1274">
        <v>0.1145</v>
      </c>
      <c r="N1274">
        <f>CONVERT(O1274,"lbf","N")</f>
        <v>7552.6354805508045</v>
      </c>
      <c r="O1274">
        <v>1697.9</v>
      </c>
      <c r="P1274">
        <f t="shared" si="19"/>
        <v>0.81263307310149047</v>
      </c>
    </row>
    <row r="1275" spans="1:16" hidden="1" x14ac:dyDescent="0.25">
      <c r="A1275">
        <v>0</v>
      </c>
      <c r="B1275">
        <v>20000</v>
      </c>
      <c r="C1275">
        <f>1.225 * (1 - 0.00000687559 * B1275) ^ 4.2561</f>
        <v>0.65267221054298263</v>
      </c>
      <c r="D1275">
        <f>E1275*(SQRT($C$2/C1275))</f>
        <v>191.79996305164894</v>
      </c>
      <c r="E1275">
        <v>140</v>
      </c>
      <c r="F1275">
        <v>1215</v>
      </c>
      <c r="G1275">
        <v>1000</v>
      </c>
      <c r="H1275">
        <f>CONVERT(G1275,"HP","kW")</f>
        <v>745.69987158227025</v>
      </c>
      <c r="I1275">
        <v>0.87470000000000003</v>
      </c>
      <c r="J1275">
        <v>1.2297</v>
      </c>
      <c r="K1275">
        <v>0.63929999999999998</v>
      </c>
      <c r="L1275">
        <v>0.1409</v>
      </c>
      <c r="M1275">
        <v>0.1002</v>
      </c>
      <c r="N1275">
        <f>CONVERT(O1275,"lbf","N")</f>
        <v>6610.5021424386287</v>
      </c>
      <c r="O1275">
        <v>1486.1</v>
      </c>
      <c r="P1275">
        <f t="shared" si="19"/>
        <v>0.71114265436479773</v>
      </c>
    </row>
    <row r="1276" spans="1:16" hidden="1" x14ac:dyDescent="0.25">
      <c r="A1276">
        <v>0</v>
      </c>
      <c r="B1276">
        <v>20000</v>
      </c>
      <c r="C1276">
        <f>1.225 * (1 - 0.00000687559 * B1276) ^ 4.2561</f>
        <v>0.65267221054298263</v>
      </c>
      <c r="D1276">
        <f>E1276*(SQRT($C$2/C1276))</f>
        <v>246.59995249497723</v>
      </c>
      <c r="E1276">
        <v>180</v>
      </c>
      <c r="F1276">
        <v>1215</v>
      </c>
      <c r="G1276">
        <v>1000</v>
      </c>
      <c r="H1276">
        <f>CONVERT(G1276,"HP","kW")</f>
        <v>745.69987158227025</v>
      </c>
      <c r="I1276">
        <v>0.86850000000000005</v>
      </c>
      <c r="J1276">
        <v>1.581</v>
      </c>
      <c r="K1276">
        <v>0.6875</v>
      </c>
      <c r="L1276">
        <v>0.1409</v>
      </c>
      <c r="M1276">
        <v>7.7399999999999997E-2</v>
      </c>
      <c r="N1276">
        <f>CONVERT(O1276,"lbf","N")</f>
        <v>5105.2239478344763</v>
      </c>
      <c r="O1276">
        <v>1147.7</v>
      </c>
      <c r="P1276">
        <f t="shared" si="19"/>
        <v>0.5493257629524485</v>
      </c>
    </row>
    <row r="1277" spans="1:16" hidden="1" x14ac:dyDescent="0.25">
      <c r="A1277">
        <v>0</v>
      </c>
      <c r="B1277">
        <v>20000</v>
      </c>
      <c r="C1277">
        <f>1.225 * (1 - 0.00000687559 * B1277) ^ 4.2561</f>
        <v>0.65267221054298263</v>
      </c>
      <c r="D1277">
        <f>E1277*(SQRT($C$2/C1277))</f>
        <v>273.99994721664137</v>
      </c>
      <c r="E1277">
        <v>200</v>
      </c>
      <c r="F1277">
        <v>1215</v>
      </c>
      <c r="G1277">
        <v>1000</v>
      </c>
      <c r="H1277">
        <f>CONVERT(G1277,"HP","kW")</f>
        <v>745.69987158227025</v>
      </c>
      <c r="I1277">
        <v>0.83320000000000005</v>
      </c>
      <c r="J1277">
        <v>1.7566999999999999</v>
      </c>
      <c r="K1277">
        <v>0.71450000000000002</v>
      </c>
      <c r="L1277">
        <v>0.1409</v>
      </c>
      <c r="M1277">
        <v>6.6799999999999998E-2</v>
      </c>
      <c r="N1277">
        <f>CONVERT(O1277,"lbf","N")</f>
        <v>4408.1876207231553</v>
      </c>
      <c r="O1277">
        <v>991</v>
      </c>
      <c r="P1277">
        <f t="shared" si="19"/>
        <v>0.47409510290986517</v>
      </c>
    </row>
    <row r="1278" spans="1:16" hidden="1" x14ac:dyDescent="0.25">
      <c r="A1278">
        <v>0</v>
      </c>
      <c r="B1278">
        <v>20000</v>
      </c>
      <c r="C1278">
        <f>1.225 * (1 - 0.00000687559 * B1278) ^ 4.2561</f>
        <v>0.65267221054298263</v>
      </c>
      <c r="D1278">
        <f>E1278*(SQRT($C$2/C1278))</f>
        <v>328.7999366599696</v>
      </c>
      <c r="E1278">
        <v>240</v>
      </c>
      <c r="F1278">
        <v>1215</v>
      </c>
      <c r="G1278">
        <v>1000</v>
      </c>
      <c r="H1278">
        <f>CONVERT(G1278,"HP","kW")</f>
        <v>745.69987158227025</v>
      </c>
      <c r="I1278">
        <v>0.69350000000000001</v>
      </c>
      <c r="J1278">
        <v>2.1080000000000001</v>
      </c>
      <c r="K1278">
        <v>0.77339999999999998</v>
      </c>
      <c r="L1278">
        <v>0.1409</v>
      </c>
      <c r="M1278">
        <v>4.6300000000000001E-2</v>
      </c>
      <c r="N1278">
        <f>CONVERT(O1278,"lbf","N")</f>
        <v>3057.2627161685414</v>
      </c>
      <c r="O1278">
        <v>687.3</v>
      </c>
      <c r="P1278">
        <f t="shared" si="19"/>
        <v>0.3286018452803407</v>
      </c>
    </row>
    <row r="1279" spans="1:16" hidden="1" x14ac:dyDescent="0.25">
      <c r="A1279">
        <v>0</v>
      </c>
      <c r="B1279">
        <v>20000</v>
      </c>
      <c r="C1279">
        <f>1.225 * (1 - 0.00000687559 * B1279) ^ 4.2561</f>
        <v>0.65267221054298263</v>
      </c>
      <c r="D1279">
        <f>E1279*(SQRT($C$2/C1279))</f>
        <v>356.19993138163375</v>
      </c>
      <c r="E1279">
        <v>260</v>
      </c>
      <c r="F1279">
        <v>1215</v>
      </c>
      <c r="G1279">
        <v>1000</v>
      </c>
      <c r="H1279">
        <f>CONVERT(G1279,"HP","kW")</f>
        <v>745.69987158227025</v>
      </c>
      <c r="I1279">
        <v>0.56299999999999994</v>
      </c>
      <c r="J1279">
        <v>2.2837000000000001</v>
      </c>
      <c r="K1279">
        <v>0.80489999999999995</v>
      </c>
      <c r="L1279">
        <v>0.1409</v>
      </c>
      <c r="M1279">
        <v>3.4700000000000002E-2</v>
      </c>
      <c r="N1279">
        <f>CONVERT(O1279,"lbf","N")</f>
        <v>2291.2789540206836</v>
      </c>
      <c r="O1279">
        <v>515.1</v>
      </c>
      <c r="P1279">
        <f t="shared" si="19"/>
        <v>0.24627395315826831</v>
      </c>
    </row>
    <row r="1280" spans="1:16" hidden="1" x14ac:dyDescent="0.25">
      <c r="A1280">
        <v>0</v>
      </c>
      <c r="B1280">
        <v>20000</v>
      </c>
      <c r="C1280">
        <f>1.225 * (1 - 0.00000687559 * B1280) ^ 4.2561</f>
        <v>0.65267221054298263</v>
      </c>
      <c r="D1280">
        <f>E1280*(SQRT($C$2/C1280))</f>
        <v>0</v>
      </c>
      <c r="E1280">
        <v>0</v>
      </c>
      <c r="F1280">
        <v>1215</v>
      </c>
      <c r="G1280">
        <v>1000</v>
      </c>
      <c r="H1280">
        <f>CONVERT(G1280,"HP","kW")</f>
        <v>745.69987158227025</v>
      </c>
      <c r="I1280">
        <v>0</v>
      </c>
      <c r="J1280">
        <v>0</v>
      </c>
      <c r="K1280">
        <v>0.54310000000000003</v>
      </c>
      <c r="L1280">
        <v>0.14099999999999999</v>
      </c>
      <c r="M1280">
        <v>0.25469999999999998</v>
      </c>
      <c r="N1280">
        <f>CONVERT(O1280,"lbf","N")</f>
        <v>16785.809087347025</v>
      </c>
      <c r="O1280">
        <v>3773.6</v>
      </c>
      <c r="P1280">
        <f t="shared" si="19"/>
        <v>1.8063829787234043</v>
      </c>
    </row>
    <row r="1281" spans="1:16" hidden="1" x14ac:dyDescent="0.25">
      <c r="A1281">
        <v>0</v>
      </c>
      <c r="B1281">
        <v>20000</v>
      </c>
      <c r="C1281">
        <f>1.225 * (1 - 0.00000687559 * B1281) ^ 4.2561</f>
        <v>0.65267221054298263</v>
      </c>
      <c r="D1281">
        <f>E1281*(SQRT($C$2/C1281))</f>
        <v>54.799989443328272</v>
      </c>
      <c r="E1281">
        <v>40</v>
      </c>
      <c r="F1281">
        <v>1215</v>
      </c>
      <c r="G1281">
        <v>1000</v>
      </c>
      <c r="H1281">
        <f>CONVERT(G1281,"HP","kW")</f>
        <v>745.69987158227025</v>
      </c>
      <c r="I1281">
        <v>0.5141</v>
      </c>
      <c r="J1281">
        <v>0.3513</v>
      </c>
      <c r="K1281">
        <v>0.56000000000000005</v>
      </c>
      <c r="L1281">
        <v>0.14099999999999999</v>
      </c>
      <c r="M1281">
        <v>0.20619999999999999</v>
      </c>
      <c r="N1281">
        <f>CONVERT(O1281,"lbf","N")</f>
        <v>13598.213477851348</v>
      </c>
      <c r="O1281">
        <v>3057</v>
      </c>
      <c r="P1281">
        <f t="shared" si="19"/>
        <v>1.4624113475177305</v>
      </c>
    </row>
    <row r="1282" spans="1:16" hidden="1" x14ac:dyDescent="0.25">
      <c r="A1282">
        <v>0</v>
      </c>
      <c r="B1282">
        <v>20000</v>
      </c>
      <c r="C1282">
        <f>1.225 * (1 - 0.00000687559 * B1282) ^ 4.2561</f>
        <v>0.65267221054298263</v>
      </c>
      <c r="D1282">
        <f>E1282*(SQRT($C$2/C1282))</f>
        <v>82.199984164992401</v>
      </c>
      <c r="E1282">
        <v>60</v>
      </c>
      <c r="F1282">
        <v>1215</v>
      </c>
      <c r="G1282">
        <v>1000</v>
      </c>
      <c r="H1282">
        <f>CONVERT(G1282,"HP","kW")</f>
        <v>745.69987158227025</v>
      </c>
      <c r="I1282">
        <v>0.6673</v>
      </c>
      <c r="J1282">
        <v>0.52700000000000002</v>
      </c>
      <c r="K1282">
        <v>0.57110000000000005</v>
      </c>
      <c r="L1282">
        <v>0.14099999999999999</v>
      </c>
      <c r="M1282">
        <v>0.17849999999999999</v>
      </c>
      <c r="N1282">
        <f>CONVERT(O1282,"lbf","N")</f>
        <v>11767.325461010127</v>
      </c>
      <c r="O1282">
        <v>2645.4</v>
      </c>
      <c r="P1282">
        <f t="shared" si="19"/>
        <v>1.2659574468085106</v>
      </c>
    </row>
    <row r="1283" spans="1:16" hidden="1" x14ac:dyDescent="0.25">
      <c r="A1283">
        <v>0</v>
      </c>
      <c r="B1283">
        <v>20000</v>
      </c>
      <c r="C1283">
        <f>1.225 * (1 - 0.00000687559 * B1283) ^ 4.2561</f>
        <v>0.65267221054298263</v>
      </c>
      <c r="D1283">
        <f>E1283*(SQRT($C$2/C1283))</f>
        <v>136.99997360832069</v>
      </c>
      <c r="E1283">
        <v>100</v>
      </c>
      <c r="F1283">
        <v>1215</v>
      </c>
      <c r="G1283">
        <v>1000</v>
      </c>
      <c r="H1283">
        <f>CONVERT(G1283,"HP","kW")</f>
        <v>745.69987158227025</v>
      </c>
      <c r="I1283">
        <v>0.82230000000000003</v>
      </c>
      <c r="J1283">
        <v>0.87829999999999997</v>
      </c>
      <c r="K1283">
        <v>0.60019999999999996</v>
      </c>
      <c r="L1283">
        <v>0.14099999999999999</v>
      </c>
      <c r="M1283">
        <v>0.13200000000000001</v>
      </c>
      <c r="N1283">
        <f>CONVERT(O1283,"lbf","N")</f>
        <v>8701.1663016110633</v>
      </c>
      <c r="O1283">
        <v>1956.1</v>
      </c>
      <c r="P1283">
        <f t="shared" ref="P1283:P1346" si="20">M1283/L1283</f>
        <v>0.93617021276595758</v>
      </c>
    </row>
    <row r="1284" spans="1:16" hidden="1" x14ac:dyDescent="0.25">
      <c r="A1284">
        <v>0</v>
      </c>
      <c r="B1284">
        <v>10000</v>
      </c>
      <c r="C1284">
        <f>1.225 * (1 - 0.00000687559 * B1284) ^ 4.2561</f>
        <v>0.90462252368600637</v>
      </c>
      <c r="D1284">
        <f>E1284*(SQRT($C$2/C1284))</f>
        <v>0</v>
      </c>
      <c r="E1284">
        <v>0</v>
      </c>
      <c r="F1284">
        <v>987</v>
      </c>
      <c r="G1284">
        <v>750</v>
      </c>
      <c r="H1284">
        <f>CONVERT(G1284,"HP","kW")</f>
        <v>559.27490368670271</v>
      </c>
      <c r="I1284">
        <v>0</v>
      </c>
      <c r="J1284">
        <v>0</v>
      </c>
      <c r="K1284">
        <v>0.42449999999999999</v>
      </c>
      <c r="L1284">
        <v>0.14199999999999999</v>
      </c>
      <c r="M1284">
        <v>0.25779999999999997</v>
      </c>
      <c r="N1284">
        <f>CONVERT(O1284,"lbf","N")</f>
        <v>15576.782452319219</v>
      </c>
      <c r="O1284">
        <v>3501.8</v>
      </c>
      <c r="P1284">
        <f t="shared" si="20"/>
        <v>1.8154929577464789</v>
      </c>
    </row>
    <row r="1285" spans="1:16" hidden="1" x14ac:dyDescent="0.25">
      <c r="A1285">
        <v>0</v>
      </c>
      <c r="B1285">
        <v>10000</v>
      </c>
      <c r="C1285">
        <f>1.225 * (1 - 0.00000687559 * B1285) ^ 4.2561</f>
        <v>0.90462252368600637</v>
      </c>
      <c r="D1285">
        <f>E1285*(SQRT($C$2/C1285))</f>
        <v>186.18913256523254</v>
      </c>
      <c r="E1285">
        <v>160</v>
      </c>
      <c r="F1285">
        <v>987</v>
      </c>
      <c r="G1285">
        <v>750</v>
      </c>
      <c r="H1285">
        <f>CONVERT(G1285,"HP","kW")</f>
        <v>559.27490368670271</v>
      </c>
      <c r="I1285">
        <v>0.88629999999999998</v>
      </c>
      <c r="J1285">
        <v>1.4695</v>
      </c>
      <c r="K1285">
        <v>0.52480000000000004</v>
      </c>
      <c r="L1285">
        <v>0.1421</v>
      </c>
      <c r="M1285">
        <v>8.5699999999999998E-2</v>
      </c>
      <c r="N1285">
        <f>CONVERT(O1285,"lbf","N")</f>
        <v>5175.0610271940659</v>
      </c>
      <c r="O1285">
        <v>1163.4000000000001</v>
      </c>
      <c r="P1285">
        <f t="shared" si="20"/>
        <v>0.60309641097818434</v>
      </c>
    </row>
    <row r="1286" spans="1:16" hidden="1" x14ac:dyDescent="0.25">
      <c r="A1286">
        <v>0</v>
      </c>
      <c r="B1286">
        <v>10000</v>
      </c>
      <c r="C1286">
        <f>1.225 * (1 - 0.00000687559 * B1286) ^ 4.2561</f>
        <v>0.90462252368600637</v>
      </c>
      <c r="D1286">
        <f>E1286*(SQRT($C$2/C1286))</f>
        <v>209.4627741358866</v>
      </c>
      <c r="E1286">
        <v>180</v>
      </c>
      <c r="F1286">
        <v>987</v>
      </c>
      <c r="G1286">
        <v>750</v>
      </c>
      <c r="H1286">
        <f>CONVERT(G1286,"HP","kW")</f>
        <v>559.27490368670271</v>
      </c>
      <c r="I1286">
        <v>0.8851</v>
      </c>
      <c r="J1286">
        <v>1.6532</v>
      </c>
      <c r="K1286">
        <v>0.54600000000000004</v>
      </c>
      <c r="L1286">
        <v>0.1421</v>
      </c>
      <c r="M1286">
        <v>7.6100000000000001E-2</v>
      </c>
      <c r="N1286">
        <f>CONVERT(O1286,"lbf","N")</f>
        <v>4593.6784620795188</v>
      </c>
      <c r="O1286">
        <v>1032.7</v>
      </c>
      <c r="P1286">
        <f t="shared" si="20"/>
        <v>0.53553835327234345</v>
      </c>
    </row>
    <row r="1287" spans="1:16" hidden="1" x14ac:dyDescent="0.25">
      <c r="A1287">
        <v>0</v>
      </c>
      <c r="B1287">
        <v>10000</v>
      </c>
      <c r="C1287">
        <f>1.225 * (1 - 0.00000687559 * B1287) ^ 4.2561</f>
        <v>0.90462252368600637</v>
      </c>
      <c r="D1287">
        <f>E1287*(SQRT($C$2/C1287))</f>
        <v>232.73641570654067</v>
      </c>
      <c r="E1287">
        <v>200</v>
      </c>
      <c r="F1287">
        <v>987</v>
      </c>
      <c r="G1287">
        <v>750</v>
      </c>
      <c r="H1287">
        <f>CONVERT(G1287,"HP","kW")</f>
        <v>559.27490368670271</v>
      </c>
      <c r="I1287">
        <v>0.876</v>
      </c>
      <c r="J1287">
        <v>1.8368</v>
      </c>
      <c r="K1287">
        <v>0.56859999999999999</v>
      </c>
      <c r="L1287">
        <v>0.1421</v>
      </c>
      <c r="M1287">
        <v>6.7799999999999999E-2</v>
      </c>
      <c r="N1287">
        <f>CONVERT(O1287,"lbf","N")</f>
        <v>4091.9190638781338</v>
      </c>
      <c r="O1287">
        <v>919.9</v>
      </c>
      <c r="P1287">
        <f t="shared" si="20"/>
        <v>0.47712878254750174</v>
      </c>
    </row>
    <row r="1288" spans="1:16" hidden="1" x14ac:dyDescent="0.25">
      <c r="A1288">
        <v>0</v>
      </c>
      <c r="B1288">
        <v>10000</v>
      </c>
      <c r="C1288">
        <f>1.225 * (1 - 0.00000687559 * B1288) ^ 4.2561</f>
        <v>0.90462252368600637</v>
      </c>
      <c r="D1288">
        <f>E1288*(SQRT($C$2/C1288))</f>
        <v>302.55734041850286</v>
      </c>
      <c r="E1288">
        <v>260</v>
      </c>
      <c r="F1288">
        <v>987</v>
      </c>
      <c r="G1288">
        <v>750</v>
      </c>
      <c r="H1288">
        <f>CONVERT(G1288,"HP","kW")</f>
        <v>559.27490368670271</v>
      </c>
      <c r="I1288">
        <v>0.78890000000000005</v>
      </c>
      <c r="J1288">
        <v>2.3879000000000001</v>
      </c>
      <c r="K1288">
        <v>0.64429999999999998</v>
      </c>
      <c r="L1288">
        <v>0.1421</v>
      </c>
      <c r="M1288">
        <v>4.6899999999999997E-2</v>
      </c>
      <c r="N1288">
        <f>CONVERT(O1288,"lbf","N")</f>
        <v>2834.4068132439911</v>
      </c>
      <c r="O1288">
        <v>637.20000000000005</v>
      </c>
      <c r="P1288">
        <f t="shared" si="20"/>
        <v>0.33004926108374383</v>
      </c>
    </row>
    <row r="1289" spans="1:16" hidden="1" x14ac:dyDescent="0.25">
      <c r="A1289">
        <v>0</v>
      </c>
      <c r="B1289">
        <v>10000</v>
      </c>
      <c r="C1289">
        <f>1.225 * (1 - 0.00000687559 * B1289) ^ 4.2561</f>
        <v>0.90462252368600637</v>
      </c>
      <c r="D1289">
        <f>E1289*(SQRT($C$2/C1289))</f>
        <v>23.273641570654068</v>
      </c>
      <c r="E1289">
        <v>20</v>
      </c>
      <c r="F1289">
        <v>987</v>
      </c>
      <c r="G1289">
        <v>750</v>
      </c>
      <c r="H1289">
        <f>CONVERT(G1289,"HP","kW")</f>
        <v>559.27490368670271</v>
      </c>
      <c r="I1289">
        <v>0.30349999999999999</v>
      </c>
      <c r="J1289">
        <v>0.1837</v>
      </c>
      <c r="K1289">
        <v>0.43090000000000001</v>
      </c>
      <c r="L1289">
        <v>0.14219999999999999</v>
      </c>
      <c r="M1289">
        <v>0.2349</v>
      </c>
      <c r="N1289">
        <f>CONVERT(O1289,"lbf","N")</f>
        <v>14176.927109996739</v>
      </c>
      <c r="O1289">
        <v>3187.1</v>
      </c>
      <c r="P1289">
        <f t="shared" si="20"/>
        <v>1.6518987341772153</v>
      </c>
    </row>
    <row r="1290" spans="1:16" hidden="1" x14ac:dyDescent="0.25">
      <c r="A1290">
        <v>0</v>
      </c>
      <c r="B1290">
        <v>10000</v>
      </c>
      <c r="C1290">
        <f>1.225 * (1 - 0.00000687559 * B1290) ^ 4.2561</f>
        <v>0.90462252368600637</v>
      </c>
      <c r="D1290">
        <f>E1290*(SQRT($C$2/C1290))</f>
        <v>46.547283141308135</v>
      </c>
      <c r="E1290">
        <v>40</v>
      </c>
      <c r="F1290">
        <v>987</v>
      </c>
      <c r="G1290">
        <v>750</v>
      </c>
      <c r="H1290">
        <f>CONVERT(G1290,"HP","kW")</f>
        <v>559.27490368670271</v>
      </c>
      <c r="I1290">
        <v>0.53149999999999997</v>
      </c>
      <c r="J1290">
        <v>0.3674</v>
      </c>
      <c r="K1290">
        <v>0.43859999999999999</v>
      </c>
      <c r="L1290">
        <v>0.14219999999999999</v>
      </c>
      <c r="M1290">
        <v>0.20569999999999999</v>
      </c>
      <c r="N1290">
        <f>CONVERT(O1290,"lbf","N")</f>
        <v>12414.986528192056</v>
      </c>
      <c r="O1290">
        <v>2791</v>
      </c>
      <c r="P1290">
        <f t="shared" si="20"/>
        <v>1.4465541490857947</v>
      </c>
    </row>
    <row r="1291" spans="1:16" hidden="1" x14ac:dyDescent="0.25">
      <c r="A1291">
        <v>0</v>
      </c>
      <c r="B1291">
        <v>10000</v>
      </c>
      <c r="C1291">
        <f>1.225 * (1 - 0.00000687559 * B1291) ^ 4.2561</f>
        <v>0.90462252368600637</v>
      </c>
      <c r="D1291">
        <f>E1291*(SQRT($C$2/C1291))</f>
        <v>69.820924711962206</v>
      </c>
      <c r="E1291">
        <v>60</v>
      </c>
      <c r="F1291">
        <v>987</v>
      </c>
      <c r="G1291">
        <v>750</v>
      </c>
      <c r="H1291">
        <f>CONVERT(G1291,"HP","kW")</f>
        <v>559.27490368670271</v>
      </c>
      <c r="I1291">
        <v>0.68369999999999997</v>
      </c>
      <c r="J1291">
        <v>0.55110000000000003</v>
      </c>
      <c r="K1291">
        <v>0.44779999999999998</v>
      </c>
      <c r="L1291">
        <v>0.14219999999999999</v>
      </c>
      <c r="M1291">
        <v>0.17649999999999999</v>
      </c>
      <c r="N1291">
        <f>CONVERT(O1291,"lbf","N")</f>
        <v>10645.928791802957</v>
      </c>
      <c r="O1291">
        <v>2393.3000000000002</v>
      </c>
      <c r="P1291">
        <f t="shared" si="20"/>
        <v>1.2412095639943741</v>
      </c>
    </row>
    <row r="1292" spans="1:16" hidden="1" x14ac:dyDescent="0.25">
      <c r="A1292">
        <v>0</v>
      </c>
      <c r="B1292">
        <v>10000</v>
      </c>
      <c r="C1292">
        <f>1.225 * (1 - 0.00000687559 * B1292) ^ 4.2561</f>
        <v>0.90462252368600637</v>
      </c>
      <c r="D1292">
        <f>E1292*(SQRT($C$2/C1292))</f>
        <v>93.09456628261627</v>
      </c>
      <c r="E1292">
        <v>80</v>
      </c>
      <c r="F1292">
        <v>987</v>
      </c>
      <c r="G1292">
        <v>750</v>
      </c>
      <c r="H1292">
        <f>CONVERT(G1292,"HP","kW")</f>
        <v>559.27490368670271</v>
      </c>
      <c r="I1292">
        <v>0.77680000000000005</v>
      </c>
      <c r="J1292">
        <v>0.73470000000000002</v>
      </c>
      <c r="K1292">
        <v>0.45900000000000002</v>
      </c>
      <c r="L1292">
        <v>0.14219999999999999</v>
      </c>
      <c r="M1292">
        <v>0.15029999999999999</v>
      </c>
      <c r="N1292">
        <f>CONVERT(O1292,"lbf","N")</f>
        <v>9072.1479843237903</v>
      </c>
      <c r="O1292">
        <v>2039.5</v>
      </c>
      <c r="P1292">
        <f t="shared" si="20"/>
        <v>1.0569620253164558</v>
      </c>
    </row>
    <row r="1293" spans="1:16" hidden="1" x14ac:dyDescent="0.25">
      <c r="A1293">
        <v>0</v>
      </c>
      <c r="B1293">
        <v>10000</v>
      </c>
      <c r="C1293">
        <f>1.225 * (1 - 0.00000687559 * B1293) ^ 4.2561</f>
        <v>0.90462252368600637</v>
      </c>
      <c r="D1293">
        <f>E1293*(SQRT($C$2/C1293))</f>
        <v>116.36820785327033</v>
      </c>
      <c r="E1293">
        <v>100</v>
      </c>
      <c r="F1293">
        <v>987</v>
      </c>
      <c r="G1293">
        <v>750</v>
      </c>
      <c r="H1293">
        <f>CONVERT(G1293,"HP","kW")</f>
        <v>559.27490368670271</v>
      </c>
      <c r="I1293">
        <v>0.83199999999999996</v>
      </c>
      <c r="J1293">
        <v>0.91839999999999999</v>
      </c>
      <c r="K1293">
        <v>0.4723</v>
      </c>
      <c r="L1293">
        <v>0.14219999999999999</v>
      </c>
      <c r="M1293">
        <v>0.1288</v>
      </c>
      <c r="N1293">
        <f>CONVERT(O1293,"lbf","N")</f>
        <v>7772.822450506198</v>
      </c>
      <c r="O1293">
        <v>1747.4</v>
      </c>
      <c r="P1293">
        <f t="shared" si="20"/>
        <v>0.90576652601969065</v>
      </c>
    </row>
    <row r="1294" spans="1:16" hidden="1" x14ac:dyDescent="0.25">
      <c r="A1294">
        <v>0</v>
      </c>
      <c r="B1294">
        <v>10000</v>
      </c>
      <c r="C1294">
        <f>1.225 * (1 - 0.00000687559 * B1294) ^ 4.2561</f>
        <v>0.90462252368600637</v>
      </c>
      <c r="D1294">
        <f>E1294*(SQRT($C$2/C1294))</f>
        <v>139.64184942392441</v>
      </c>
      <c r="E1294">
        <v>120</v>
      </c>
      <c r="F1294">
        <v>987</v>
      </c>
      <c r="G1294">
        <v>750</v>
      </c>
      <c r="H1294">
        <f>CONVERT(G1294,"HP","kW")</f>
        <v>559.27490368670271</v>
      </c>
      <c r="I1294">
        <v>0.86339999999999995</v>
      </c>
      <c r="J1294">
        <v>1.1021000000000001</v>
      </c>
      <c r="K1294">
        <v>0.48780000000000001</v>
      </c>
      <c r="L1294">
        <v>0.14219999999999999</v>
      </c>
      <c r="M1294">
        <v>0.1114</v>
      </c>
      <c r="N1294">
        <f>CONVERT(O1294,"lbf","N")</f>
        <v>6721.7076828201416</v>
      </c>
      <c r="O1294">
        <v>1511.1</v>
      </c>
      <c r="P1294">
        <f t="shared" si="20"/>
        <v>0.78340365682137836</v>
      </c>
    </row>
    <row r="1295" spans="1:16" hidden="1" x14ac:dyDescent="0.25">
      <c r="A1295">
        <v>0</v>
      </c>
      <c r="B1295">
        <v>10000</v>
      </c>
      <c r="C1295">
        <f>1.225 * (1 - 0.00000687559 * B1295) ^ 4.2561</f>
        <v>0.90462252368600637</v>
      </c>
      <c r="D1295">
        <f>E1295*(SQRT($C$2/C1295))</f>
        <v>256.01005727719473</v>
      </c>
      <c r="E1295">
        <v>220</v>
      </c>
      <c r="F1295">
        <v>987</v>
      </c>
      <c r="G1295">
        <v>750</v>
      </c>
      <c r="H1295">
        <f>CONVERT(G1295,"HP","kW")</f>
        <v>559.27490368670271</v>
      </c>
      <c r="I1295">
        <v>0.85850000000000004</v>
      </c>
      <c r="J1295">
        <v>2.0205000000000002</v>
      </c>
      <c r="K1295">
        <v>0.5927</v>
      </c>
      <c r="L1295">
        <v>0.14219999999999999</v>
      </c>
      <c r="M1295">
        <v>6.0400000000000002E-2</v>
      </c>
      <c r="N1295">
        <f>CONVERT(O1295,"lbf","N")</f>
        <v>3645.7624358675062</v>
      </c>
      <c r="O1295">
        <v>819.6</v>
      </c>
      <c r="P1295">
        <f t="shared" si="20"/>
        <v>0.42475386779184249</v>
      </c>
    </row>
    <row r="1296" spans="1:16" hidden="1" x14ac:dyDescent="0.25">
      <c r="A1296">
        <v>0</v>
      </c>
      <c r="B1296">
        <v>10000</v>
      </c>
      <c r="C1296">
        <f>1.225 * (1 - 0.00000687559 * B1296) ^ 4.2561</f>
        <v>0.90462252368600637</v>
      </c>
      <c r="D1296">
        <f>E1296*(SQRT($C$2/C1296))</f>
        <v>279.28369884784883</v>
      </c>
      <c r="E1296">
        <v>240</v>
      </c>
      <c r="F1296">
        <v>987</v>
      </c>
      <c r="G1296">
        <v>750</v>
      </c>
      <c r="H1296">
        <f>CONVERT(G1296,"HP","kW")</f>
        <v>559.27490368670271</v>
      </c>
      <c r="I1296">
        <v>0.83089999999999997</v>
      </c>
      <c r="J1296">
        <v>2.2042000000000002</v>
      </c>
      <c r="K1296">
        <v>0.61799999999999999</v>
      </c>
      <c r="L1296">
        <v>0.14230000000000001</v>
      </c>
      <c r="M1296">
        <v>5.3699999999999998E-2</v>
      </c>
      <c r="N1296">
        <f>CONVERT(O1296,"lbf","N")</f>
        <v>3234.7467586174357</v>
      </c>
      <c r="O1296">
        <v>727.2</v>
      </c>
      <c r="P1296">
        <f t="shared" si="20"/>
        <v>0.37737174982431476</v>
      </c>
    </row>
    <row r="1297" spans="1:16" hidden="1" x14ac:dyDescent="0.25">
      <c r="A1297">
        <v>0</v>
      </c>
      <c r="B1297">
        <v>10000</v>
      </c>
      <c r="C1297">
        <f>1.225 * (1 - 0.00000687559 * B1297) ^ 4.2561</f>
        <v>0.90462252368600637</v>
      </c>
      <c r="D1297">
        <f>E1297*(SQRT($C$2/C1297))</f>
        <v>162.91549099457848</v>
      </c>
      <c r="E1297">
        <v>140</v>
      </c>
      <c r="F1297">
        <v>987</v>
      </c>
      <c r="G1297">
        <v>750</v>
      </c>
      <c r="H1297">
        <f>CONVERT(G1297,"HP","kW")</f>
        <v>559.27490368670271</v>
      </c>
      <c r="I1297">
        <v>0.87980000000000003</v>
      </c>
      <c r="J1297">
        <v>1.2858000000000001</v>
      </c>
      <c r="K1297">
        <v>0.50529999999999997</v>
      </c>
      <c r="L1297">
        <v>0.1424</v>
      </c>
      <c r="M1297">
        <v>9.74E-2</v>
      </c>
      <c r="N1297">
        <f>CONVERT(O1297,"lbf","N")</f>
        <v>5870.7628878208079</v>
      </c>
      <c r="O1297">
        <v>1319.8</v>
      </c>
      <c r="P1297">
        <f t="shared" si="20"/>
        <v>0.6839887640449438</v>
      </c>
    </row>
    <row r="1298" spans="1:16" hidden="1" x14ac:dyDescent="0.25">
      <c r="A1298">
        <v>0</v>
      </c>
      <c r="B1298">
        <v>25000</v>
      </c>
      <c r="C1298">
        <f>1.225 * (1 - 0.00000687559 * B1298) ^ 4.2561</f>
        <v>0.54892259437885793</v>
      </c>
      <c r="D1298">
        <f>E1298*(SQRT($C$2/C1298))</f>
        <v>239.01902657456537</v>
      </c>
      <c r="E1298">
        <v>160</v>
      </c>
      <c r="F1298">
        <v>1150</v>
      </c>
      <c r="G1298">
        <v>750</v>
      </c>
      <c r="H1298">
        <f>CONVERT(G1298,"HP","kW")</f>
        <v>559.27490368670271</v>
      </c>
      <c r="I1298">
        <v>0.88190000000000002</v>
      </c>
      <c r="J1298">
        <v>1.619</v>
      </c>
      <c r="K1298">
        <v>0.66949999999999998</v>
      </c>
      <c r="L1298">
        <v>0.14799999999999999</v>
      </c>
      <c r="M1298">
        <v>8.0600000000000005E-2</v>
      </c>
      <c r="N1298">
        <f>CONVERT(O1298,"lbf","N")</f>
        <v>4010.9614304803931</v>
      </c>
      <c r="O1298">
        <v>901.7</v>
      </c>
      <c r="P1298">
        <f t="shared" si="20"/>
        <v>0.54459459459459469</v>
      </c>
    </row>
    <row r="1299" spans="1:16" hidden="1" x14ac:dyDescent="0.25">
      <c r="A1299">
        <v>0</v>
      </c>
      <c r="B1299">
        <v>25000</v>
      </c>
      <c r="C1299">
        <f>1.225 * (1 - 0.00000687559 * B1299) ^ 4.2561</f>
        <v>0.54892259437885793</v>
      </c>
      <c r="D1299">
        <f>E1299*(SQRT($C$2/C1299))</f>
        <v>268.89640489638606</v>
      </c>
      <c r="E1299">
        <v>180</v>
      </c>
      <c r="F1299">
        <v>1150</v>
      </c>
      <c r="G1299">
        <v>750</v>
      </c>
      <c r="H1299">
        <f>CONVERT(G1299,"HP","kW")</f>
        <v>559.27490368670271</v>
      </c>
      <c r="I1299">
        <v>0.85650000000000004</v>
      </c>
      <c r="J1299">
        <v>1.8213999999999999</v>
      </c>
      <c r="K1299">
        <v>0.70020000000000004</v>
      </c>
      <c r="L1299">
        <v>0.14799999999999999</v>
      </c>
      <c r="M1299">
        <v>6.9599999999999995E-2</v>
      </c>
      <c r="N1299">
        <f>CONVERT(O1299,"lbf","N")</f>
        <v>3462.9405274802994</v>
      </c>
      <c r="O1299">
        <v>778.5</v>
      </c>
      <c r="P1299">
        <f t="shared" si="20"/>
        <v>0.47027027027027024</v>
      </c>
    </row>
    <row r="1300" spans="1:16" hidden="1" x14ac:dyDescent="0.25">
      <c r="A1300">
        <v>0</v>
      </c>
      <c r="B1300">
        <v>25000</v>
      </c>
      <c r="C1300">
        <f>1.225 * (1 - 0.00000687559 * B1300) ^ 4.2561</f>
        <v>0.54892259437885793</v>
      </c>
      <c r="D1300">
        <f>E1300*(SQRT($C$2/C1300))</f>
        <v>358.52853986184806</v>
      </c>
      <c r="E1300">
        <v>240</v>
      </c>
      <c r="F1300">
        <v>1150</v>
      </c>
      <c r="G1300">
        <v>750</v>
      </c>
      <c r="H1300">
        <f>CONVERT(G1300,"HP","kW")</f>
        <v>559.27490368670271</v>
      </c>
      <c r="I1300">
        <v>0.52429999999999999</v>
      </c>
      <c r="J1300">
        <v>2.4285000000000001</v>
      </c>
      <c r="K1300">
        <v>0.80349999999999999</v>
      </c>
      <c r="L1300">
        <v>0.14799999999999999</v>
      </c>
      <c r="M1300">
        <v>3.2000000000000001E-2</v>
      </c>
      <c r="N1300">
        <f>CONVERT(O1300,"lbf","N")</f>
        <v>1589.7944052941027</v>
      </c>
      <c r="O1300">
        <v>357.4</v>
      </c>
      <c r="P1300">
        <f t="shared" si="20"/>
        <v>0.21621621621621623</v>
      </c>
    </row>
    <row r="1301" spans="1:16" hidden="1" x14ac:dyDescent="0.25">
      <c r="A1301">
        <v>0</v>
      </c>
      <c r="B1301">
        <v>25000</v>
      </c>
      <c r="C1301">
        <f>1.225 * (1 - 0.00000687559 * B1301) ^ 4.2561</f>
        <v>0.54892259437885793</v>
      </c>
      <c r="D1301">
        <f>E1301*(SQRT($C$2/C1301))</f>
        <v>0</v>
      </c>
      <c r="E1301">
        <v>0</v>
      </c>
      <c r="F1301">
        <v>1150</v>
      </c>
      <c r="G1301">
        <v>750</v>
      </c>
      <c r="H1301">
        <f>CONVERT(G1301,"HP","kW")</f>
        <v>559.27490368670271</v>
      </c>
      <c r="I1301">
        <v>0</v>
      </c>
      <c r="J1301">
        <v>0</v>
      </c>
      <c r="K1301">
        <v>0.5242</v>
      </c>
      <c r="L1301">
        <v>0.14810000000000001</v>
      </c>
      <c r="M1301">
        <v>0.26069999999999999</v>
      </c>
      <c r="N1301">
        <f>CONVERT(O1301,"lbf","N")</f>
        <v>12960.338498222993</v>
      </c>
      <c r="O1301">
        <v>2913.6</v>
      </c>
      <c r="P1301">
        <f t="shared" si="20"/>
        <v>1.7602970965563807</v>
      </c>
    </row>
    <row r="1302" spans="1:16" hidden="1" x14ac:dyDescent="0.25">
      <c r="A1302">
        <v>0</v>
      </c>
      <c r="B1302">
        <v>25000</v>
      </c>
      <c r="C1302">
        <f>1.225 * (1 - 0.00000687559 * B1302) ^ 4.2561</f>
        <v>0.54892259437885793</v>
      </c>
      <c r="D1302">
        <f>E1302*(SQRT($C$2/C1302))</f>
        <v>119.50951328728269</v>
      </c>
      <c r="E1302">
        <v>80</v>
      </c>
      <c r="F1302">
        <v>1150</v>
      </c>
      <c r="G1302">
        <v>750</v>
      </c>
      <c r="H1302">
        <f>CONVERT(G1302,"HP","kW")</f>
        <v>559.27490368670271</v>
      </c>
      <c r="I1302">
        <v>0.79910000000000003</v>
      </c>
      <c r="J1302">
        <v>0.8095</v>
      </c>
      <c r="K1302">
        <v>0.57340000000000002</v>
      </c>
      <c r="L1302">
        <v>0.14810000000000001</v>
      </c>
      <c r="M1302">
        <v>0.1462</v>
      </c>
      <c r="N1302">
        <f>CONVERT(O1302,"lbf","N")</f>
        <v>7269.2837636587092</v>
      </c>
      <c r="O1302">
        <v>1634.2</v>
      </c>
      <c r="P1302">
        <f t="shared" si="20"/>
        <v>0.98717083051991894</v>
      </c>
    </row>
    <row r="1303" spans="1:16" hidden="1" x14ac:dyDescent="0.25">
      <c r="A1303">
        <v>0</v>
      </c>
      <c r="B1303">
        <v>25000</v>
      </c>
      <c r="C1303">
        <f>1.225 * (1 - 0.00000687559 * B1303) ^ 4.2561</f>
        <v>0.54892259437885793</v>
      </c>
      <c r="D1303">
        <f>E1303*(SQRT($C$2/C1303))</f>
        <v>149.38689160910337</v>
      </c>
      <c r="E1303">
        <v>100</v>
      </c>
      <c r="F1303">
        <v>1150</v>
      </c>
      <c r="G1303">
        <v>750</v>
      </c>
      <c r="H1303">
        <f>CONVERT(G1303,"HP","kW")</f>
        <v>559.27490368670271</v>
      </c>
      <c r="I1303">
        <v>0.84809999999999997</v>
      </c>
      <c r="J1303">
        <v>1.0119</v>
      </c>
      <c r="K1303">
        <v>0.59289999999999998</v>
      </c>
      <c r="L1303">
        <v>0.14810000000000001</v>
      </c>
      <c r="M1303">
        <v>0.1242</v>
      </c>
      <c r="N1303">
        <f>CONVERT(O1303,"lbf","N")</f>
        <v>6171.9074911739444</v>
      </c>
      <c r="O1303">
        <v>1387.5</v>
      </c>
      <c r="P1303">
        <f t="shared" si="20"/>
        <v>0.83862255232950711</v>
      </c>
    </row>
    <row r="1304" spans="1:16" hidden="1" x14ac:dyDescent="0.25">
      <c r="A1304">
        <v>0</v>
      </c>
      <c r="B1304">
        <v>25000</v>
      </c>
      <c r="C1304">
        <f>1.225 * (1 - 0.00000687559 * B1304) ^ 4.2561</f>
        <v>0.54892259437885793</v>
      </c>
      <c r="D1304">
        <f>E1304*(SQRT($C$2/C1304))</f>
        <v>209.14164825274472</v>
      </c>
      <c r="E1304">
        <v>140</v>
      </c>
      <c r="F1304">
        <v>1150</v>
      </c>
      <c r="G1304">
        <v>750</v>
      </c>
      <c r="H1304">
        <f>CONVERT(G1304,"HP","kW")</f>
        <v>559.27490368670271</v>
      </c>
      <c r="I1304">
        <v>0.88500000000000001</v>
      </c>
      <c r="J1304">
        <v>1.4166000000000001</v>
      </c>
      <c r="K1304">
        <v>0.64119999999999999</v>
      </c>
      <c r="L1304">
        <v>0.14810000000000001</v>
      </c>
      <c r="M1304">
        <v>9.2499999999999999E-2</v>
      </c>
      <c r="N1304">
        <f>CONVERT(O1304,"lbf","N")</f>
        <v>4600.3507945024094</v>
      </c>
      <c r="O1304">
        <v>1034.2</v>
      </c>
      <c r="P1304">
        <f t="shared" si="20"/>
        <v>0.6245779878460499</v>
      </c>
    </row>
    <row r="1305" spans="1:16" hidden="1" x14ac:dyDescent="0.25">
      <c r="A1305">
        <v>0</v>
      </c>
      <c r="B1305">
        <v>25000</v>
      </c>
      <c r="C1305">
        <f>1.225 * (1 - 0.00000687559 * B1305) ^ 4.2561</f>
        <v>0.54892259437885793</v>
      </c>
      <c r="D1305">
        <f>E1305*(SQRT($C$2/C1305))</f>
        <v>298.77378321820675</v>
      </c>
      <c r="E1305">
        <v>200</v>
      </c>
      <c r="F1305">
        <v>1150</v>
      </c>
      <c r="G1305">
        <v>750</v>
      </c>
      <c r="H1305">
        <f>CONVERT(G1305,"HP","kW")</f>
        <v>559.27490368670271</v>
      </c>
      <c r="I1305">
        <v>0.79600000000000004</v>
      </c>
      <c r="J1305">
        <v>2.0238</v>
      </c>
      <c r="K1305">
        <v>0.7329</v>
      </c>
      <c r="L1305">
        <v>0.14810000000000001</v>
      </c>
      <c r="M1305">
        <v>5.8200000000000002E-2</v>
      </c>
      <c r="N1305">
        <f>CONVERT(O1305,"lbf","N")</f>
        <v>2896.2370936961115</v>
      </c>
      <c r="O1305">
        <v>651.1</v>
      </c>
      <c r="P1305">
        <f t="shared" si="20"/>
        <v>0.39297771775827145</v>
      </c>
    </row>
    <row r="1306" spans="1:16" hidden="1" x14ac:dyDescent="0.25">
      <c r="A1306">
        <v>0</v>
      </c>
      <c r="B1306">
        <v>25000</v>
      </c>
      <c r="C1306">
        <f>1.225 * (1 - 0.00000687559 * B1306) ^ 4.2561</f>
        <v>0.54892259437885793</v>
      </c>
      <c r="D1306">
        <f>E1306*(SQRT($C$2/C1306))</f>
        <v>328.65116154002743</v>
      </c>
      <c r="E1306">
        <v>220</v>
      </c>
      <c r="F1306">
        <v>1150</v>
      </c>
      <c r="G1306">
        <v>750</v>
      </c>
      <c r="H1306">
        <f>CONVERT(G1306,"HP","kW")</f>
        <v>559.27490368670271</v>
      </c>
      <c r="I1306">
        <v>0.69640000000000002</v>
      </c>
      <c r="J1306">
        <v>2.2262</v>
      </c>
      <c r="K1306">
        <v>0.76739999999999997</v>
      </c>
      <c r="L1306">
        <v>0.14810000000000001</v>
      </c>
      <c r="M1306">
        <v>4.6300000000000001E-2</v>
      </c>
      <c r="N1306">
        <f>CONVERT(O1306,"lbf","N")</f>
        <v>2303.7339745434128</v>
      </c>
      <c r="O1306">
        <v>517.9</v>
      </c>
      <c r="P1306">
        <f t="shared" si="20"/>
        <v>0.312626603646185</v>
      </c>
    </row>
    <row r="1307" spans="1:16" hidden="1" x14ac:dyDescent="0.25">
      <c r="A1307">
        <v>0</v>
      </c>
      <c r="B1307">
        <v>25000</v>
      </c>
      <c r="C1307">
        <f>1.225 * (1 - 0.00000687559 * B1307) ^ 4.2561</f>
        <v>0.54892259437885793</v>
      </c>
      <c r="D1307">
        <f>E1307*(SQRT($C$2/C1307))</f>
        <v>388.40591818366875</v>
      </c>
      <c r="E1307">
        <v>260</v>
      </c>
      <c r="F1307">
        <v>1150</v>
      </c>
      <c r="G1307">
        <v>750</v>
      </c>
      <c r="H1307">
        <f>CONVERT(G1307,"HP","kW")</f>
        <v>559.27490368670271</v>
      </c>
      <c r="I1307">
        <v>0.247</v>
      </c>
      <c r="J1307">
        <v>2.6309</v>
      </c>
      <c r="K1307">
        <v>0.84089999999999998</v>
      </c>
      <c r="L1307">
        <v>0.14810000000000001</v>
      </c>
      <c r="M1307">
        <v>1.3899999999999999E-2</v>
      </c>
      <c r="N1307">
        <f>CONVERT(O1307,"lbf","N")</f>
        <v>691.25363901148171</v>
      </c>
      <c r="O1307">
        <v>155.4</v>
      </c>
      <c r="P1307">
        <f t="shared" si="20"/>
        <v>9.3855503038487498E-2</v>
      </c>
    </row>
    <row r="1308" spans="1:16" hidden="1" x14ac:dyDescent="0.25">
      <c r="A1308">
        <v>0</v>
      </c>
      <c r="B1308">
        <v>25000</v>
      </c>
      <c r="C1308">
        <f>1.225 * (1 - 0.00000687559 * B1308) ^ 4.2561</f>
        <v>0.54892259437885793</v>
      </c>
      <c r="D1308">
        <f>E1308*(SQRT($C$2/C1308))</f>
        <v>29.877378321820672</v>
      </c>
      <c r="E1308">
        <v>20</v>
      </c>
      <c r="F1308">
        <v>1150</v>
      </c>
      <c r="G1308">
        <v>750</v>
      </c>
      <c r="H1308">
        <f>CONVERT(G1308,"HP","kW")</f>
        <v>559.27490368670271</v>
      </c>
      <c r="I1308">
        <v>0.32450000000000001</v>
      </c>
      <c r="J1308">
        <v>0.2024</v>
      </c>
      <c r="K1308">
        <v>0.53290000000000004</v>
      </c>
      <c r="L1308">
        <v>0.1482</v>
      </c>
      <c r="M1308">
        <v>0.23769999999999999</v>
      </c>
      <c r="N1308">
        <f>CONVERT(O1308,"lbf","N")</f>
        <v>11809.138744193575</v>
      </c>
      <c r="O1308">
        <v>2654.8</v>
      </c>
      <c r="P1308">
        <f t="shared" si="20"/>
        <v>1.6039136302294197</v>
      </c>
    </row>
    <row r="1309" spans="1:16" hidden="1" x14ac:dyDescent="0.25">
      <c r="A1309">
        <v>0</v>
      </c>
      <c r="B1309">
        <v>25000</v>
      </c>
      <c r="C1309">
        <f>1.225 * (1 - 0.00000687559 * B1309) ^ 4.2561</f>
        <v>0.54892259437885793</v>
      </c>
      <c r="D1309">
        <f>E1309*(SQRT($C$2/C1309))</f>
        <v>59.754756643641343</v>
      </c>
      <c r="E1309">
        <v>40</v>
      </c>
      <c r="F1309">
        <v>1150</v>
      </c>
      <c r="G1309">
        <v>750</v>
      </c>
      <c r="H1309">
        <f>CONVERT(G1309,"HP","kW")</f>
        <v>559.27490368670271</v>
      </c>
      <c r="I1309">
        <v>0.56179999999999997</v>
      </c>
      <c r="J1309">
        <v>0.40479999999999999</v>
      </c>
      <c r="K1309">
        <v>0.54379999999999995</v>
      </c>
      <c r="L1309">
        <v>0.1482</v>
      </c>
      <c r="M1309">
        <v>0.20569999999999999</v>
      </c>
      <c r="N1309">
        <f>CONVERT(O1309,"lbf","N")</f>
        <v>10220.67880538405</v>
      </c>
      <c r="O1309">
        <v>2297.6999999999998</v>
      </c>
      <c r="P1309">
        <f t="shared" si="20"/>
        <v>1.3879892037786774</v>
      </c>
    </row>
    <row r="1310" spans="1:16" hidden="1" x14ac:dyDescent="0.25">
      <c r="A1310">
        <v>0</v>
      </c>
      <c r="B1310">
        <v>25000</v>
      </c>
      <c r="C1310">
        <f>1.225 * (1 - 0.00000687559 * B1310) ^ 4.2561</f>
        <v>0.54892259437885793</v>
      </c>
      <c r="D1310">
        <f>E1310*(SQRT($C$2/C1310))</f>
        <v>89.632134965462015</v>
      </c>
      <c r="E1310">
        <v>60</v>
      </c>
      <c r="F1310">
        <v>1150</v>
      </c>
      <c r="G1310">
        <v>750</v>
      </c>
      <c r="H1310">
        <f>CONVERT(G1310,"HP","kW")</f>
        <v>559.27490368670271</v>
      </c>
      <c r="I1310">
        <v>0.71160000000000001</v>
      </c>
      <c r="J1310">
        <v>0.60709999999999997</v>
      </c>
      <c r="K1310">
        <v>0.55710000000000004</v>
      </c>
      <c r="L1310">
        <v>0.1482</v>
      </c>
      <c r="M1310">
        <v>0.17369999999999999</v>
      </c>
      <c r="N1310">
        <f>CONVERT(O1310,"lbf","N")</f>
        <v>8631.7740444129995</v>
      </c>
      <c r="O1310">
        <v>1940.5</v>
      </c>
      <c r="P1310">
        <f t="shared" si="20"/>
        <v>1.1720647773279351</v>
      </c>
    </row>
    <row r="1311" spans="1:16" hidden="1" x14ac:dyDescent="0.25">
      <c r="A1311">
        <v>0</v>
      </c>
      <c r="B1311">
        <v>25000</v>
      </c>
      <c r="C1311">
        <f>1.225 * (1 - 0.00000687559 * B1311) ^ 4.2561</f>
        <v>0.54892259437885793</v>
      </c>
      <c r="D1311">
        <f>E1311*(SQRT($C$2/C1311))</f>
        <v>179.26426993092403</v>
      </c>
      <c r="E1311">
        <v>120</v>
      </c>
      <c r="F1311">
        <v>1150</v>
      </c>
      <c r="G1311">
        <v>750</v>
      </c>
      <c r="H1311">
        <f>CONVERT(G1311,"HP","kW")</f>
        <v>559.27490368670271</v>
      </c>
      <c r="I1311">
        <v>0.87390000000000001</v>
      </c>
      <c r="J1311">
        <v>1.2142999999999999</v>
      </c>
      <c r="K1311">
        <v>0.61560000000000004</v>
      </c>
      <c r="L1311">
        <v>0.1482</v>
      </c>
      <c r="M1311">
        <v>0.1066</v>
      </c>
      <c r="N1311">
        <f>CONVERT(O1311,"lbf","N")</f>
        <v>5299.61123242136</v>
      </c>
      <c r="O1311">
        <v>1191.4000000000001</v>
      </c>
      <c r="P1311">
        <f t="shared" si="20"/>
        <v>0.7192982456140351</v>
      </c>
    </row>
    <row r="1312" spans="1:16" hidden="1" x14ac:dyDescent="0.25">
      <c r="A1312">
        <v>0</v>
      </c>
      <c r="B1312">
        <v>15000</v>
      </c>
      <c r="C1312">
        <f>1.225 * (1 - 0.00000687559 * B1312) ^ 4.2561</f>
        <v>0.77079726910167001</v>
      </c>
      <c r="D1312">
        <f>E1312*(SQRT($C$2/C1312))</f>
        <v>252.13199277533059</v>
      </c>
      <c r="E1312">
        <v>200</v>
      </c>
      <c r="F1312">
        <v>1215</v>
      </c>
      <c r="G1312">
        <v>1250</v>
      </c>
      <c r="H1312">
        <f>CONVERT(G1312,"HP","kW")</f>
        <v>932.12483947783778</v>
      </c>
      <c r="I1312">
        <v>0.87860000000000005</v>
      </c>
      <c r="J1312">
        <v>1.6165</v>
      </c>
      <c r="K1312">
        <v>0.67930000000000001</v>
      </c>
      <c r="L1312">
        <v>0.1489</v>
      </c>
      <c r="M1312">
        <v>8.1000000000000003E-2</v>
      </c>
      <c r="N1312">
        <f>CONVERT(O1312,"lbf","N")</f>
        <v>6314.2505828622798</v>
      </c>
      <c r="O1312">
        <v>1419.5</v>
      </c>
      <c r="P1312">
        <f t="shared" si="20"/>
        <v>0.54398925453324376</v>
      </c>
    </row>
    <row r="1313" spans="1:16" hidden="1" x14ac:dyDescent="0.25">
      <c r="A1313">
        <v>0</v>
      </c>
      <c r="B1313">
        <v>15000</v>
      </c>
      <c r="C1313">
        <f>1.225 * (1 - 0.00000687559 * B1313) ^ 4.2561</f>
        <v>0.77079726910167001</v>
      </c>
      <c r="D1313">
        <f>E1313*(SQRT($C$2/C1313))</f>
        <v>201.70559422026446</v>
      </c>
      <c r="E1313">
        <v>160</v>
      </c>
      <c r="F1313">
        <v>1215</v>
      </c>
      <c r="G1313">
        <v>1250</v>
      </c>
      <c r="H1313">
        <f>CONVERT(G1313,"HP","kW")</f>
        <v>932.12483947783778</v>
      </c>
      <c r="I1313">
        <v>0.87960000000000005</v>
      </c>
      <c r="J1313">
        <v>1.2931999999999999</v>
      </c>
      <c r="K1313">
        <v>0.63480000000000003</v>
      </c>
      <c r="L1313">
        <v>0.14899999999999999</v>
      </c>
      <c r="M1313">
        <v>0.1014</v>
      </c>
      <c r="N1313">
        <f>CONVERT(O1313,"lbf","N")</f>
        <v>7901.8208773487531</v>
      </c>
      <c r="O1313">
        <v>1776.4</v>
      </c>
      <c r="P1313">
        <f t="shared" si="20"/>
        <v>0.68053691275167794</v>
      </c>
    </row>
    <row r="1314" spans="1:16" hidden="1" x14ac:dyDescent="0.25">
      <c r="A1314">
        <v>0</v>
      </c>
      <c r="B1314">
        <v>15000</v>
      </c>
      <c r="C1314">
        <f>1.225 * (1 - 0.00000687559 * B1314) ^ 4.2561</f>
        <v>0.77079726910167001</v>
      </c>
      <c r="D1314">
        <f>E1314*(SQRT($C$2/C1314))</f>
        <v>226.91879349779754</v>
      </c>
      <c r="E1314">
        <v>180</v>
      </c>
      <c r="F1314">
        <v>1215</v>
      </c>
      <c r="G1314">
        <v>1250</v>
      </c>
      <c r="H1314">
        <f>CONVERT(G1314,"HP","kW")</f>
        <v>932.12483947783778</v>
      </c>
      <c r="I1314">
        <v>0.88470000000000004</v>
      </c>
      <c r="J1314">
        <v>1.4548000000000001</v>
      </c>
      <c r="K1314">
        <v>0.65620000000000001</v>
      </c>
      <c r="L1314">
        <v>0.14899999999999999</v>
      </c>
      <c r="M1314">
        <v>9.06E-2</v>
      </c>
      <c r="N1314">
        <f>CONVERT(O1314,"lbf","N")</f>
        <v>7064.2207471951997</v>
      </c>
      <c r="O1314">
        <v>1588.1</v>
      </c>
      <c r="P1314">
        <f t="shared" si="20"/>
        <v>0.60805369127516784</v>
      </c>
    </row>
    <row r="1315" spans="1:16" hidden="1" x14ac:dyDescent="0.25">
      <c r="A1315">
        <v>0</v>
      </c>
      <c r="B1315">
        <v>15000</v>
      </c>
      <c r="C1315">
        <f>1.225 * (1 - 0.00000687559 * B1315) ^ 4.2561</f>
        <v>0.77079726910167001</v>
      </c>
      <c r="D1315">
        <f>E1315*(SQRT($C$2/C1315))</f>
        <v>302.55839133039672</v>
      </c>
      <c r="E1315">
        <v>240</v>
      </c>
      <c r="F1315">
        <v>1215</v>
      </c>
      <c r="G1315">
        <v>1250</v>
      </c>
      <c r="H1315">
        <f>CONVERT(G1315,"HP","kW")</f>
        <v>932.12483947783778</v>
      </c>
      <c r="I1315">
        <v>0.81069999999999998</v>
      </c>
      <c r="J1315">
        <v>1.9398</v>
      </c>
      <c r="K1315">
        <v>0.73</v>
      </c>
      <c r="L1315">
        <v>0.14899999999999999</v>
      </c>
      <c r="M1315">
        <v>6.2300000000000001E-2</v>
      </c>
      <c r="N1315">
        <f>CONVERT(O1315,"lbf","N")</f>
        <v>4854.78907089531</v>
      </c>
      <c r="O1315">
        <v>1091.4000000000001</v>
      </c>
      <c r="P1315">
        <f t="shared" si="20"/>
        <v>0.41812080536912755</v>
      </c>
    </row>
    <row r="1316" spans="1:16" hidden="1" x14ac:dyDescent="0.25">
      <c r="A1316">
        <v>0</v>
      </c>
      <c r="B1316">
        <v>15000</v>
      </c>
      <c r="C1316">
        <f>1.225 * (1 - 0.00000687559 * B1316) ^ 4.2561</f>
        <v>0.77079726910167001</v>
      </c>
      <c r="D1316">
        <f>E1316*(SQRT($C$2/C1316))</f>
        <v>0</v>
      </c>
      <c r="E1316">
        <v>0</v>
      </c>
      <c r="F1316">
        <v>1215</v>
      </c>
      <c r="G1316">
        <v>1250</v>
      </c>
      <c r="H1316">
        <f>CONVERT(G1316,"HP","kW")</f>
        <v>932.12483947783778</v>
      </c>
      <c r="I1316">
        <v>0</v>
      </c>
      <c r="J1316">
        <v>0</v>
      </c>
      <c r="K1316">
        <v>0.53220000000000001</v>
      </c>
      <c r="L1316">
        <v>0.14910000000000001</v>
      </c>
      <c r="M1316">
        <v>0.26100000000000001</v>
      </c>
      <c r="N1316">
        <f>CONVERT(O1316,"lbf","N")</f>
        <v>20332.821003355748</v>
      </c>
      <c r="O1316">
        <v>4571</v>
      </c>
      <c r="P1316">
        <f t="shared" si="20"/>
        <v>1.7505030181086518</v>
      </c>
    </row>
    <row r="1317" spans="1:16" hidden="1" x14ac:dyDescent="0.25">
      <c r="A1317">
        <v>0</v>
      </c>
      <c r="B1317">
        <v>15000</v>
      </c>
      <c r="C1317">
        <f>1.225 * (1 - 0.00000687559 * B1317) ^ 4.2561</f>
        <v>0.77079726910167001</v>
      </c>
      <c r="D1317">
        <f>E1317*(SQRT($C$2/C1317))</f>
        <v>25.213199277533057</v>
      </c>
      <c r="E1317">
        <v>20</v>
      </c>
      <c r="F1317">
        <v>1215</v>
      </c>
      <c r="G1317">
        <v>1250</v>
      </c>
      <c r="H1317">
        <f>CONVERT(G1317,"HP","kW")</f>
        <v>932.12483947783778</v>
      </c>
      <c r="I1317">
        <v>0.26490000000000002</v>
      </c>
      <c r="J1317">
        <v>0.16159999999999999</v>
      </c>
      <c r="K1317">
        <v>0.53890000000000005</v>
      </c>
      <c r="L1317">
        <v>0.14910000000000001</v>
      </c>
      <c r="M1317">
        <v>0.24440000000000001</v>
      </c>
      <c r="N1317">
        <f>CONVERT(O1317,"lbf","N")</f>
        <v>19040.167801961044</v>
      </c>
      <c r="O1317">
        <v>4280.3999999999996</v>
      </c>
      <c r="P1317">
        <f t="shared" si="20"/>
        <v>1.6391683433936954</v>
      </c>
    </row>
    <row r="1318" spans="1:16" hidden="1" x14ac:dyDescent="0.25">
      <c r="A1318">
        <v>0</v>
      </c>
      <c r="B1318">
        <v>15000</v>
      </c>
      <c r="C1318">
        <f>1.225 * (1 - 0.00000687559 * B1318) ^ 4.2561</f>
        <v>0.77079726910167001</v>
      </c>
      <c r="D1318">
        <f>E1318*(SQRT($C$2/C1318))</f>
        <v>50.426398555066115</v>
      </c>
      <c r="E1318">
        <v>40</v>
      </c>
      <c r="F1318">
        <v>1215</v>
      </c>
      <c r="G1318">
        <v>1250</v>
      </c>
      <c r="H1318">
        <f>CONVERT(G1318,"HP","kW")</f>
        <v>932.12483947783778</v>
      </c>
      <c r="I1318">
        <v>0.47560000000000002</v>
      </c>
      <c r="J1318">
        <v>0.32329999999999998</v>
      </c>
      <c r="K1318">
        <v>0.54730000000000001</v>
      </c>
      <c r="L1318">
        <v>0.14910000000000001</v>
      </c>
      <c r="M1318">
        <v>0.21940000000000001</v>
      </c>
      <c r="N1318">
        <f>CONVERT(O1318,"lbf","N")</f>
        <v>17090.067445830842</v>
      </c>
      <c r="O1318">
        <v>3842</v>
      </c>
      <c r="P1318">
        <f t="shared" si="20"/>
        <v>1.471495640509725</v>
      </c>
    </row>
    <row r="1319" spans="1:16" hidden="1" x14ac:dyDescent="0.25">
      <c r="A1319">
        <v>0</v>
      </c>
      <c r="B1319">
        <v>15000</v>
      </c>
      <c r="C1319">
        <f>1.225 * (1 - 0.00000687559 * B1319) ^ 4.2561</f>
        <v>0.77079726910167001</v>
      </c>
      <c r="D1319">
        <f>E1319*(SQRT($C$2/C1319))</f>
        <v>75.639597832599179</v>
      </c>
      <c r="E1319">
        <v>60</v>
      </c>
      <c r="F1319">
        <v>1215</v>
      </c>
      <c r="G1319">
        <v>1250</v>
      </c>
      <c r="H1319">
        <f>CONVERT(G1319,"HP","kW")</f>
        <v>932.12483947783778</v>
      </c>
      <c r="I1319">
        <v>0.62949999999999995</v>
      </c>
      <c r="J1319">
        <v>0.4849</v>
      </c>
      <c r="K1319">
        <v>0.55700000000000005</v>
      </c>
      <c r="L1319">
        <v>0.14910000000000001</v>
      </c>
      <c r="M1319">
        <v>0.19359999999999999</v>
      </c>
      <c r="N1319">
        <f>CONVERT(O1319,"lbf","N")</f>
        <v>15080.805742217673</v>
      </c>
      <c r="O1319">
        <v>3390.3</v>
      </c>
      <c r="P1319">
        <f t="shared" si="20"/>
        <v>1.2984574111334672</v>
      </c>
    </row>
    <row r="1320" spans="1:16" hidden="1" x14ac:dyDescent="0.25">
      <c r="A1320">
        <v>0</v>
      </c>
      <c r="B1320">
        <v>15000</v>
      </c>
      <c r="C1320">
        <f>1.225 * (1 - 0.00000687559 * B1320) ^ 4.2561</f>
        <v>0.77079726910167001</v>
      </c>
      <c r="D1320">
        <f>E1320*(SQRT($C$2/C1320))</f>
        <v>100.85279711013223</v>
      </c>
      <c r="E1320">
        <v>80</v>
      </c>
      <c r="F1320">
        <v>1215</v>
      </c>
      <c r="G1320">
        <v>1250</v>
      </c>
      <c r="H1320">
        <f>CONVERT(G1320,"HP","kW")</f>
        <v>932.12483947783778</v>
      </c>
      <c r="I1320">
        <v>0.73170000000000002</v>
      </c>
      <c r="J1320">
        <v>0.64659999999999995</v>
      </c>
      <c r="K1320">
        <v>0.56850000000000001</v>
      </c>
      <c r="L1320">
        <v>0.14910000000000001</v>
      </c>
      <c r="M1320">
        <v>0.16880000000000001</v>
      </c>
      <c r="N1320">
        <f>CONVERT(O1320,"lbf","N")</f>
        <v>13146.274161740883</v>
      </c>
      <c r="O1320">
        <v>2955.4</v>
      </c>
      <c r="P1320">
        <f t="shared" si="20"/>
        <v>1.1321260898725687</v>
      </c>
    </row>
    <row r="1321" spans="1:16" hidden="1" x14ac:dyDescent="0.25">
      <c r="A1321">
        <v>0</v>
      </c>
      <c r="B1321">
        <v>15000</v>
      </c>
      <c r="C1321">
        <f>1.225 * (1 - 0.00000687559 * B1321) ^ 4.2561</f>
        <v>0.77079726910167001</v>
      </c>
      <c r="D1321">
        <f>E1321*(SQRT($C$2/C1321))</f>
        <v>126.06599638766529</v>
      </c>
      <c r="E1321">
        <v>100</v>
      </c>
      <c r="F1321">
        <v>1215</v>
      </c>
      <c r="G1321">
        <v>1250</v>
      </c>
      <c r="H1321">
        <f>CONVERT(G1321,"HP","kW")</f>
        <v>932.12483947783778</v>
      </c>
      <c r="I1321">
        <v>0.79800000000000004</v>
      </c>
      <c r="J1321">
        <v>0.80820000000000003</v>
      </c>
      <c r="K1321">
        <v>0.58199999999999996</v>
      </c>
      <c r="L1321">
        <v>0.14910000000000001</v>
      </c>
      <c r="M1321">
        <v>0.1472</v>
      </c>
      <c r="N1321">
        <f>CONVERT(O1321,"lbf","N")</f>
        <v>11469.294612787673</v>
      </c>
      <c r="O1321">
        <v>2578.4</v>
      </c>
      <c r="P1321">
        <f t="shared" si="20"/>
        <v>0.98725687458081812</v>
      </c>
    </row>
    <row r="1322" spans="1:16" hidden="1" x14ac:dyDescent="0.25">
      <c r="A1322">
        <v>0</v>
      </c>
      <c r="B1322">
        <v>15000</v>
      </c>
      <c r="C1322">
        <f>1.225 * (1 - 0.00000687559 * B1322) ^ 4.2561</f>
        <v>0.77079726910167001</v>
      </c>
      <c r="D1322">
        <f>E1322*(SQRT($C$2/C1322))</f>
        <v>151.27919566519836</v>
      </c>
      <c r="E1322">
        <v>120</v>
      </c>
      <c r="F1322">
        <v>1215</v>
      </c>
      <c r="G1322">
        <v>1250</v>
      </c>
      <c r="H1322">
        <f>CONVERT(G1322,"HP","kW")</f>
        <v>932.12483947783778</v>
      </c>
      <c r="I1322">
        <v>0.83979999999999999</v>
      </c>
      <c r="J1322">
        <v>0.96989999999999998</v>
      </c>
      <c r="K1322">
        <v>0.59750000000000003</v>
      </c>
      <c r="L1322">
        <v>0.14910000000000001</v>
      </c>
      <c r="M1322">
        <v>0.12909999999999999</v>
      </c>
      <c r="N1322">
        <f>CONVERT(O1322,"lbf","N")</f>
        <v>10058.318716427042</v>
      </c>
      <c r="O1322">
        <v>2261.1999999999998</v>
      </c>
      <c r="P1322">
        <f t="shared" si="20"/>
        <v>0.86586183769282354</v>
      </c>
    </row>
    <row r="1323" spans="1:16" hidden="1" x14ac:dyDescent="0.25">
      <c r="A1323">
        <v>0</v>
      </c>
      <c r="B1323">
        <v>15000</v>
      </c>
      <c r="C1323">
        <f>1.225 * (1 - 0.00000687559 * B1323) ^ 4.2561</f>
        <v>0.77079726910167001</v>
      </c>
      <c r="D1323">
        <f>E1323*(SQRT($C$2/C1323))</f>
        <v>176.49239494273141</v>
      </c>
      <c r="E1323">
        <v>140</v>
      </c>
      <c r="F1323">
        <v>1215</v>
      </c>
      <c r="G1323">
        <v>1250</v>
      </c>
      <c r="H1323">
        <f>CONVERT(G1323,"HP","kW")</f>
        <v>932.12483947783778</v>
      </c>
      <c r="I1323">
        <v>0.86529999999999996</v>
      </c>
      <c r="J1323">
        <v>1.1315</v>
      </c>
      <c r="K1323">
        <v>0.61519999999999997</v>
      </c>
      <c r="L1323">
        <v>0.14910000000000001</v>
      </c>
      <c r="M1323">
        <v>0.114</v>
      </c>
      <c r="N1323">
        <f>CONVERT(O1323,"lbf","N")</f>
        <v>8883.09856567522</v>
      </c>
      <c r="O1323">
        <v>1997</v>
      </c>
      <c r="P1323">
        <f t="shared" si="20"/>
        <v>0.76458752515090544</v>
      </c>
    </row>
    <row r="1324" spans="1:16" hidden="1" x14ac:dyDescent="0.25">
      <c r="A1324">
        <v>0</v>
      </c>
      <c r="B1324">
        <v>15000</v>
      </c>
      <c r="C1324">
        <f>1.225 * (1 - 0.00000687559 * B1324) ^ 4.2561</f>
        <v>0.77079726910167001</v>
      </c>
      <c r="D1324">
        <f>E1324*(SQRT($C$2/C1324))</f>
        <v>277.34519205286364</v>
      </c>
      <c r="E1324">
        <v>220</v>
      </c>
      <c r="F1324">
        <v>1215</v>
      </c>
      <c r="G1324">
        <v>1250</v>
      </c>
      <c r="H1324">
        <f>CONVERT(G1324,"HP","kW")</f>
        <v>932.12483947783778</v>
      </c>
      <c r="I1324">
        <v>0.85570000000000002</v>
      </c>
      <c r="J1324">
        <v>1.7781</v>
      </c>
      <c r="K1324">
        <v>0.70399999999999996</v>
      </c>
      <c r="L1324">
        <v>0.14910000000000001</v>
      </c>
      <c r="M1324">
        <v>7.1800000000000003E-2</v>
      </c>
      <c r="N1324">
        <f>CONVERT(O1324,"lbf","N")</f>
        <v>5590.5249260593964</v>
      </c>
      <c r="O1324">
        <v>1256.8</v>
      </c>
      <c r="P1324">
        <f t="shared" si="20"/>
        <v>0.48155600268276322</v>
      </c>
    </row>
    <row r="1325" spans="1:16" hidden="1" x14ac:dyDescent="0.25">
      <c r="A1325">
        <v>0</v>
      </c>
      <c r="B1325">
        <v>15000</v>
      </c>
      <c r="C1325">
        <f>1.225 * (1 - 0.00000687559 * B1325) ^ 4.2561</f>
        <v>0.77079726910167001</v>
      </c>
      <c r="D1325">
        <f>E1325*(SQRT($C$2/C1325))</f>
        <v>327.77159060792974</v>
      </c>
      <c r="E1325">
        <v>260</v>
      </c>
      <c r="F1325">
        <v>1215</v>
      </c>
      <c r="G1325">
        <v>1250</v>
      </c>
      <c r="H1325">
        <f>CONVERT(G1325,"HP","kW")</f>
        <v>932.12483947783778</v>
      </c>
      <c r="I1325">
        <v>0.74760000000000004</v>
      </c>
      <c r="J1325">
        <v>2.1013999999999999</v>
      </c>
      <c r="K1325">
        <v>0.75729999999999997</v>
      </c>
      <c r="L1325">
        <v>0.14910000000000001</v>
      </c>
      <c r="M1325">
        <v>5.2999999999999999E-2</v>
      </c>
      <c r="N1325">
        <f>CONVERT(O1325,"lbf","N")</f>
        <v>4132.8427027385305</v>
      </c>
      <c r="O1325">
        <v>929.1</v>
      </c>
      <c r="P1325">
        <f t="shared" si="20"/>
        <v>0.3554661301140174</v>
      </c>
    </row>
    <row r="1326" spans="1:16" hidden="1" x14ac:dyDescent="0.25">
      <c r="A1326">
        <v>0</v>
      </c>
      <c r="B1326">
        <v>10000</v>
      </c>
      <c r="C1326">
        <f>1.225 * (1 - 0.00000687559 * B1326) ^ 4.2561</f>
        <v>0.90462252368600637</v>
      </c>
      <c r="D1326">
        <f>E1326*(SQRT($C$2/C1326))</f>
        <v>232.73641570654067</v>
      </c>
      <c r="E1326">
        <v>200</v>
      </c>
      <c r="F1326">
        <v>1150</v>
      </c>
      <c r="G1326">
        <v>1250</v>
      </c>
      <c r="H1326">
        <f>CONVERT(G1326,"HP","kW")</f>
        <v>932.12483947783778</v>
      </c>
      <c r="I1326">
        <v>0.88719999999999999</v>
      </c>
      <c r="J1326">
        <v>1.5765</v>
      </c>
      <c r="K1326">
        <v>0.62560000000000004</v>
      </c>
      <c r="L1326">
        <v>0.1497</v>
      </c>
      <c r="M1326">
        <v>8.43E-2</v>
      </c>
      <c r="N1326">
        <f>CONVERT(O1326,"lbf","N")</f>
        <v>6907.1985241765042</v>
      </c>
      <c r="O1326">
        <v>1552.8</v>
      </c>
      <c r="P1326">
        <f t="shared" si="20"/>
        <v>0.56312625250501003</v>
      </c>
    </row>
    <row r="1327" spans="1:16" hidden="1" x14ac:dyDescent="0.25">
      <c r="A1327">
        <v>0</v>
      </c>
      <c r="B1327">
        <v>10000</v>
      </c>
      <c r="C1327">
        <f>1.225 * (1 - 0.00000687559 * B1327) ^ 4.2561</f>
        <v>0.90462252368600637</v>
      </c>
      <c r="D1327">
        <f>E1327*(SQRT($C$2/C1327))</f>
        <v>256.01005727719473</v>
      </c>
      <c r="E1327">
        <v>220</v>
      </c>
      <c r="F1327">
        <v>1150</v>
      </c>
      <c r="G1327">
        <v>1250</v>
      </c>
      <c r="H1327">
        <f>CONVERT(G1327,"HP","kW")</f>
        <v>932.12483947783778</v>
      </c>
      <c r="I1327">
        <v>0.88239999999999996</v>
      </c>
      <c r="J1327">
        <v>1.7341</v>
      </c>
      <c r="K1327">
        <v>0.64749999999999996</v>
      </c>
      <c r="L1327">
        <v>0.1497</v>
      </c>
      <c r="M1327">
        <v>7.6200000000000004E-2</v>
      </c>
      <c r="N1327">
        <f>CONVERT(O1327,"lbf","N")</f>
        <v>6244.858325664216</v>
      </c>
      <c r="O1327">
        <v>1403.9</v>
      </c>
      <c r="P1327">
        <f t="shared" si="20"/>
        <v>0.50901803607214435</v>
      </c>
    </row>
    <row r="1328" spans="1:16" hidden="1" x14ac:dyDescent="0.25">
      <c r="A1328">
        <v>0</v>
      </c>
      <c r="B1328">
        <v>10000</v>
      </c>
      <c r="C1328">
        <f>1.225 * (1 - 0.00000687559 * B1328) ^ 4.2561</f>
        <v>0.90462252368600637</v>
      </c>
      <c r="D1328">
        <f>E1328*(SQRT($C$2/C1328))</f>
        <v>279.28369884784883</v>
      </c>
      <c r="E1328">
        <v>240</v>
      </c>
      <c r="F1328">
        <v>1150</v>
      </c>
      <c r="G1328">
        <v>1250</v>
      </c>
      <c r="H1328">
        <f>CONVERT(G1328,"HP","kW")</f>
        <v>932.12483947783778</v>
      </c>
      <c r="I1328">
        <v>0.86960000000000004</v>
      </c>
      <c r="J1328">
        <v>1.8917999999999999</v>
      </c>
      <c r="K1328">
        <v>0.67079999999999995</v>
      </c>
      <c r="L1328">
        <v>0.1497</v>
      </c>
      <c r="M1328">
        <v>6.88E-2</v>
      </c>
      <c r="N1328">
        <f>CONVERT(O1328,"lbf","N")</f>
        <v>5641.2346524733666</v>
      </c>
      <c r="O1328">
        <v>1268.2</v>
      </c>
      <c r="P1328">
        <f t="shared" si="20"/>
        <v>0.45958583834335337</v>
      </c>
    </row>
    <row r="1329" spans="1:16" hidden="1" x14ac:dyDescent="0.25">
      <c r="A1329">
        <v>0</v>
      </c>
      <c r="B1329">
        <v>10000</v>
      </c>
      <c r="C1329">
        <f>1.225 * (1 - 0.00000687559 * B1329) ^ 4.2561</f>
        <v>0.90462252368600637</v>
      </c>
      <c r="D1329">
        <f>E1329*(SQRT($C$2/C1329))</f>
        <v>0</v>
      </c>
      <c r="E1329">
        <v>0</v>
      </c>
      <c r="F1329">
        <v>1150</v>
      </c>
      <c r="G1329">
        <v>1250</v>
      </c>
      <c r="H1329">
        <f>CONVERT(G1329,"HP","kW")</f>
        <v>932.12483947783778</v>
      </c>
      <c r="I1329">
        <v>0</v>
      </c>
      <c r="J1329">
        <v>0</v>
      </c>
      <c r="K1329">
        <v>0.49430000000000002</v>
      </c>
      <c r="L1329">
        <v>0.14979999999999999</v>
      </c>
      <c r="M1329">
        <v>0.26290000000000002</v>
      </c>
      <c r="N1329">
        <f>CONVERT(O1329,"lbf","N")</f>
        <v>21539.623527575921</v>
      </c>
      <c r="O1329">
        <v>4842.3</v>
      </c>
      <c r="P1329">
        <f t="shared" si="20"/>
        <v>1.7550066755674236</v>
      </c>
    </row>
    <row r="1330" spans="1:16" hidden="1" x14ac:dyDescent="0.25">
      <c r="A1330">
        <v>0</v>
      </c>
      <c r="B1330">
        <v>10000</v>
      </c>
      <c r="C1330">
        <f>1.225 * (1 - 0.00000687559 * B1330) ^ 4.2561</f>
        <v>0.90462252368600637</v>
      </c>
      <c r="D1330">
        <f>E1330*(SQRT($C$2/C1330))</f>
        <v>23.273641570654068</v>
      </c>
      <c r="E1330">
        <v>20</v>
      </c>
      <c r="F1330">
        <v>1150</v>
      </c>
      <c r="G1330">
        <v>1250</v>
      </c>
      <c r="H1330">
        <f>CONVERT(G1330,"HP","kW")</f>
        <v>932.12483947783778</v>
      </c>
      <c r="I1330">
        <v>0.25929999999999997</v>
      </c>
      <c r="J1330">
        <v>0.15759999999999999</v>
      </c>
      <c r="K1330">
        <v>0.50039999999999996</v>
      </c>
      <c r="L1330">
        <v>0.14979999999999999</v>
      </c>
      <c r="M1330">
        <v>0.24640000000000001</v>
      </c>
      <c r="N1330">
        <f>CONVERT(O1330,"lbf","N")</f>
        <v>20184.695223567571</v>
      </c>
      <c r="O1330">
        <v>4537.7</v>
      </c>
      <c r="P1330">
        <f t="shared" si="20"/>
        <v>1.6448598130841123</v>
      </c>
    </row>
    <row r="1331" spans="1:16" hidden="1" x14ac:dyDescent="0.25">
      <c r="A1331">
        <v>0</v>
      </c>
      <c r="B1331">
        <v>10000</v>
      </c>
      <c r="C1331">
        <f>1.225 * (1 - 0.00000687559 * B1331) ^ 4.2561</f>
        <v>0.90462252368600637</v>
      </c>
      <c r="D1331">
        <f>E1331*(SQRT($C$2/C1331))</f>
        <v>46.547283141308135</v>
      </c>
      <c r="E1331">
        <v>40</v>
      </c>
      <c r="F1331">
        <v>1150</v>
      </c>
      <c r="G1331">
        <v>1250</v>
      </c>
      <c r="H1331">
        <f>CONVERT(G1331,"HP","kW")</f>
        <v>932.12483947783778</v>
      </c>
      <c r="I1331">
        <v>0.46710000000000002</v>
      </c>
      <c r="J1331">
        <v>0.31530000000000002</v>
      </c>
      <c r="K1331">
        <v>0.50800000000000001</v>
      </c>
      <c r="L1331">
        <v>0.14979999999999999</v>
      </c>
      <c r="M1331">
        <v>0.22189999999999999</v>
      </c>
      <c r="N1331">
        <f>CONVERT(O1331,"lbf","N")</f>
        <v>18182.105852377292</v>
      </c>
      <c r="O1331">
        <v>4087.5</v>
      </c>
      <c r="P1331">
        <f t="shared" si="20"/>
        <v>1.4813084112149533</v>
      </c>
    </row>
    <row r="1332" spans="1:16" hidden="1" x14ac:dyDescent="0.25">
      <c r="A1332">
        <v>0</v>
      </c>
      <c r="B1332">
        <v>10000</v>
      </c>
      <c r="C1332">
        <f>1.225 * (1 - 0.00000687559 * B1332) ^ 4.2561</f>
        <v>0.90462252368600637</v>
      </c>
      <c r="D1332">
        <f>E1332*(SQRT($C$2/C1332))</f>
        <v>69.820924711962206</v>
      </c>
      <c r="E1332">
        <v>60</v>
      </c>
      <c r="F1332">
        <v>1150</v>
      </c>
      <c r="G1332">
        <v>1250</v>
      </c>
      <c r="H1332">
        <f>CONVERT(G1332,"HP","kW")</f>
        <v>932.12483947783778</v>
      </c>
      <c r="I1332">
        <v>0.62070000000000003</v>
      </c>
      <c r="J1332">
        <v>0.47289999999999999</v>
      </c>
      <c r="K1332">
        <v>0.51670000000000005</v>
      </c>
      <c r="L1332">
        <v>0.14979999999999999</v>
      </c>
      <c r="M1332">
        <v>0.1966</v>
      </c>
      <c r="N1332">
        <f>CONVERT(O1332,"lbf","N")</f>
        <v>16106.565646696747</v>
      </c>
      <c r="O1332">
        <v>3620.9</v>
      </c>
      <c r="P1332">
        <f t="shared" si="20"/>
        <v>1.3124165554072096</v>
      </c>
    </row>
    <row r="1333" spans="1:16" hidden="1" x14ac:dyDescent="0.25">
      <c r="A1333">
        <v>0</v>
      </c>
      <c r="B1333">
        <v>10000</v>
      </c>
      <c r="C1333">
        <f>1.225 * (1 - 0.00000687559 * B1333) ^ 4.2561</f>
        <v>0.90462252368600637</v>
      </c>
      <c r="D1333">
        <f>E1333*(SQRT($C$2/C1333))</f>
        <v>93.09456628261627</v>
      </c>
      <c r="E1333">
        <v>80</v>
      </c>
      <c r="F1333">
        <v>1150</v>
      </c>
      <c r="G1333">
        <v>1250</v>
      </c>
      <c r="H1333">
        <f>CONVERT(G1333,"HP","kW")</f>
        <v>932.12483947783778</v>
      </c>
      <c r="I1333">
        <v>0.7238</v>
      </c>
      <c r="J1333">
        <v>0.63060000000000005</v>
      </c>
      <c r="K1333">
        <v>0.52690000000000003</v>
      </c>
      <c r="L1333">
        <v>0.14979999999999999</v>
      </c>
      <c r="M1333">
        <v>0.17199999999999999</v>
      </c>
      <c r="N1333">
        <f>CONVERT(O1333,"lbf","N")</f>
        <v>14087.962677691528</v>
      </c>
      <c r="O1333">
        <v>3167.1</v>
      </c>
      <c r="P1333">
        <f t="shared" si="20"/>
        <v>1.1481975967957276</v>
      </c>
    </row>
    <row r="1334" spans="1:16" hidden="1" x14ac:dyDescent="0.25">
      <c r="A1334">
        <v>0</v>
      </c>
      <c r="B1334">
        <v>10000</v>
      </c>
      <c r="C1334">
        <f>1.225 * (1 - 0.00000687559 * B1334) ^ 4.2561</f>
        <v>0.90462252368600637</v>
      </c>
      <c r="D1334">
        <f>E1334*(SQRT($C$2/C1334))</f>
        <v>116.36820785327033</v>
      </c>
      <c r="E1334">
        <v>100</v>
      </c>
      <c r="F1334">
        <v>1150</v>
      </c>
      <c r="G1334">
        <v>1250</v>
      </c>
      <c r="H1334">
        <f>CONVERT(G1334,"HP","kW")</f>
        <v>932.12483947783778</v>
      </c>
      <c r="I1334">
        <v>0.79159999999999997</v>
      </c>
      <c r="J1334">
        <v>0.78820000000000001</v>
      </c>
      <c r="K1334">
        <v>0.53890000000000005</v>
      </c>
      <c r="L1334">
        <v>0.14979999999999999</v>
      </c>
      <c r="M1334">
        <v>0.15049999999999999</v>
      </c>
      <c r="N1334">
        <f>CONVERT(O1334,"lbf","N")</f>
        <v>12325.132451563795</v>
      </c>
      <c r="O1334">
        <v>2770.8</v>
      </c>
      <c r="P1334">
        <f t="shared" si="20"/>
        <v>1.0046728971962617</v>
      </c>
    </row>
    <row r="1335" spans="1:16" hidden="1" x14ac:dyDescent="0.25">
      <c r="A1335">
        <v>0</v>
      </c>
      <c r="B1335">
        <v>10000</v>
      </c>
      <c r="C1335">
        <f>1.225 * (1 - 0.00000687559 * B1335) ^ 4.2561</f>
        <v>0.90462252368600637</v>
      </c>
      <c r="D1335">
        <f>E1335*(SQRT($C$2/C1335))</f>
        <v>139.64184942392441</v>
      </c>
      <c r="E1335">
        <v>120</v>
      </c>
      <c r="F1335">
        <v>1150</v>
      </c>
      <c r="G1335">
        <v>1250</v>
      </c>
      <c r="H1335">
        <f>CONVERT(G1335,"HP","kW")</f>
        <v>932.12483947783778</v>
      </c>
      <c r="I1335">
        <v>0.83489999999999998</v>
      </c>
      <c r="J1335">
        <v>0.94589999999999996</v>
      </c>
      <c r="K1335">
        <v>0.55279999999999996</v>
      </c>
      <c r="L1335">
        <v>0.14979999999999999</v>
      </c>
      <c r="M1335">
        <v>0.13220000000000001</v>
      </c>
      <c r="N1335">
        <f>CONVERT(O1335,"lbf","N")</f>
        <v>10832.754099643895</v>
      </c>
      <c r="O1335">
        <v>2435.3000000000002</v>
      </c>
      <c r="P1335">
        <f t="shared" si="20"/>
        <v>0.88251001335113499</v>
      </c>
    </row>
    <row r="1336" spans="1:16" hidden="1" x14ac:dyDescent="0.25">
      <c r="A1336">
        <v>0</v>
      </c>
      <c r="B1336">
        <v>10000</v>
      </c>
      <c r="C1336">
        <f>1.225 * (1 - 0.00000687559 * B1336) ^ 4.2561</f>
        <v>0.90462252368600637</v>
      </c>
      <c r="D1336">
        <f>E1336*(SQRT($C$2/C1336))</f>
        <v>162.91549099457848</v>
      </c>
      <c r="E1336">
        <v>140</v>
      </c>
      <c r="F1336">
        <v>1150</v>
      </c>
      <c r="G1336">
        <v>1250</v>
      </c>
      <c r="H1336">
        <f>CONVERT(G1336,"HP","kW")</f>
        <v>932.12483947783778</v>
      </c>
      <c r="I1336">
        <v>0.86180000000000001</v>
      </c>
      <c r="J1336">
        <v>1.1034999999999999</v>
      </c>
      <c r="K1336">
        <v>0.56840000000000002</v>
      </c>
      <c r="L1336">
        <v>0.14979999999999999</v>
      </c>
      <c r="M1336">
        <v>0.11700000000000001</v>
      </c>
      <c r="N1336">
        <f>CONVERT(O1336,"lbf","N")</f>
        <v>9585.0279365633269</v>
      </c>
      <c r="O1336">
        <v>2154.8000000000002</v>
      </c>
      <c r="P1336">
        <f t="shared" si="20"/>
        <v>0.78104138851802418</v>
      </c>
    </row>
    <row r="1337" spans="1:16" hidden="1" x14ac:dyDescent="0.25">
      <c r="A1337">
        <v>0</v>
      </c>
      <c r="B1337">
        <v>10000</v>
      </c>
      <c r="C1337">
        <f>1.225 * (1 - 0.00000687559 * B1337) ^ 4.2561</f>
        <v>0.90462252368600637</v>
      </c>
      <c r="D1337">
        <f>E1337*(SQRT($C$2/C1337))</f>
        <v>186.18913256523254</v>
      </c>
      <c r="E1337">
        <v>160</v>
      </c>
      <c r="F1337">
        <v>1150</v>
      </c>
      <c r="G1337">
        <v>1250</v>
      </c>
      <c r="H1337">
        <f>CONVERT(G1337,"HP","kW")</f>
        <v>932.12483947783778</v>
      </c>
      <c r="I1337">
        <v>0.87760000000000005</v>
      </c>
      <c r="J1337">
        <v>1.2612000000000001</v>
      </c>
      <c r="K1337">
        <v>0.58589999999999998</v>
      </c>
      <c r="L1337">
        <v>0.14979999999999999</v>
      </c>
      <c r="M1337">
        <v>0.1042</v>
      </c>
      <c r="N1337">
        <f>CONVERT(O1337,"lbf","N")</f>
        <v>8540.5855013001601</v>
      </c>
      <c r="O1337">
        <v>1920</v>
      </c>
      <c r="P1337">
        <f t="shared" si="20"/>
        <v>0.69559412550066757</v>
      </c>
    </row>
    <row r="1338" spans="1:16" hidden="1" x14ac:dyDescent="0.25">
      <c r="A1338">
        <v>0</v>
      </c>
      <c r="B1338">
        <v>10000</v>
      </c>
      <c r="C1338">
        <f>1.225 * (1 - 0.00000687559 * B1338) ^ 4.2561</f>
        <v>0.90462252368600637</v>
      </c>
      <c r="D1338">
        <f>E1338*(SQRT($C$2/C1338))</f>
        <v>209.4627741358866</v>
      </c>
      <c r="E1338">
        <v>180</v>
      </c>
      <c r="F1338">
        <v>1150</v>
      </c>
      <c r="G1338">
        <v>1250</v>
      </c>
      <c r="H1338">
        <f>CONVERT(G1338,"HP","kW")</f>
        <v>932.12483947783778</v>
      </c>
      <c r="I1338">
        <v>0.88560000000000005</v>
      </c>
      <c r="J1338">
        <v>1.4188000000000001</v>
      </c>
      <c r="K1338">
        <v>0.60499999999999998</v>
      </c>
      <c r="L1338">
        <v>0.14979999999999999</v>
      </c>
      <c r="M1338">
        <v>9.35E-2</v>
      </c>
      <c r="N1338">
        <f>CONVERT(O1338,"lbf","N")</f>
        <v>7660.7272658016336</v>
      </c>
      <c r="O1338">
        <v>1722.2</v>
      </c>
      <c r="P1338">
        <f t="shared" si="20"/>
        <v>0.62416555407209617</v>
      </c>
    </row>
    <row r="1339" spans="1:16" hidden="1" x14ac:dyDescent="0.25">
      <c r="A1339">
        <v>0</v>
      </c>
      <c r="B1339">
        <v>10000</v>
      </c>
      <c r="C1339">
        <f>1.225 * (1 - 0.00000687559 * B1339) ^ 4.2561</f>
        <v>0.90462252368600637</v>
      </c>
      <c r="D1339">
        <f>E1339*(SQRT($C$2/C1339))</f>
        <v>302.55734041850286</v>
      </c>
      <c r="E1339">
        <v>260</v>
      </c>
      <c r="F1339">
        <v>1150</v>
      </c>
      <c r="G1339">
        <v>1250</v>
      </c>
      <c r="H1339">
        <f>CONVERT(G1339,"HP","kW")</f>
        <v>932.12483947783778</v>
      </c>
      <c r="I1339">
        <v>0.84370000000000001</v>
      </c>
      <c r="J1339">
        <v>2.0493999999999999</v>
      </c>
      <c r="K1339">
        <v>0.69510000000000005</v>
      </c>
      <c r="L1339">
        <v>0.14979999999999999</v>
      </c>
      <c r="M1339">
        <v>6.1699999999999998E-2</v>
      </c>
      <c r="N1339">
        <f>CONVERT(O1339,"lbf","N")</f>
        <v>5052.7349327744023</v>
      </c>
      <c r="O1339">
        <v>1135.9000000000001</v>
      </c>
      <c r="P1339">
        <f t="shared" si="20"/>
        <v>0.41188251001335113</v>
      </c>
    </row>
    <row r="1340" spans="1:16" hidden="1" x14ac:dyDescent="0.25">
      <c r="A1340">
        <v>0</v>
      </c>
      <c r="B1340">
        <v>0</v>
      </c>
      <c r="C1340">
        <f>1.225 * (1 - 0.00000687559 * B1340) ^ 4.2561</f>
        <v>1.2250000000000001</v>
      </c>
      <c r="D1340">
        <f>E1340*(SQRT($C$2/C1340))</f>
        <v>260</v>
      </c>
      <c r="E1340">
        <v>260</v>
      </c>
      <c r="F1340">
        <v>1215</v>
      </c>
      <c r="G1340">
        <v>2000</v>
      </c>
      <c r="H1340">
        <f>CONVERT(G1340,"HP","kW")</f>
        <v>1491.3997431645405</v>
      </c>
      <c r="I1340">
        <v>0.88500000000000001</v>
      </c>
      <c r="J1340">
        <v>1.667</v>
      </c>
      <c r="K1340">
        <v>0.65049999999999997</v>
      </c>
      <c r="L1340">
        <v>0.14990000000000001</v>
      </c>
      <c r="M1340">
        <v>7.9600000000000004E-2</v>
      </c>
      <c r="N1340">
        <f>CONVERT(O1340,"lbf","N")</f>
        <v>9867.9348312938946</v>
      </c>
      <c r="O1340">
        <v>2218.4</v>
      </c>
      <c r="P1340">
        <f t="shared" si="20"/>
        <v>0.53102068045363582</v>
      </c>
    </row>
    <row r="1341" spans="1:16" hidden="1" x14ac:dyDescent="0.25">
      <c r="A1341">
        <v>0</v>
      </c>
      <c r="B1341">
        <v>0</v>
      </c>
      <c r="C1341">
        <f>1.225 * (1 - 0.00000687559 * B1341) ^ 4.2561</f>
        <v>1.2250000000000001</v>
      </c>
      <c r="D1341">
        <f>E1341*(SQRT($C$2/C1341))</f>
        <v>200</v>
      </c>
      <c r="E1341">
        <v>200</v>
      </c>
      <c r="F1341">
        <v>1215</v>
      </c>
      <c r="G1341">
        <v>2000</v>
      </c>
      <c r="H1341">
        <f>CONVERT(G1341,"HP","kW")</f>
        <v>1491.3997431645405</v>
      </c>
      <c r="I1341">
        <v>0.879</v>
      </c>
      <c r="J1341">
        <v>1.2823</v>
      </c>
      <c r="K1341">
        <v>0.5998</v>
      </c>
      <c r="L1341">
        <v>0.15</v>
      </c>
      <c r="M1341">
        <v>0.10290000000000001</v>
      </c>
      <c r="N1341">
        <f>CONVERT(O1341,"lbf","N")</f>
        <v>12741.485994752176</v>
      </c>
      <c r="O1341">
        <v>2864.4</v>
      </c>
      <c r="P1341">
        <f t="shared" si="20"/>
        <v>0.68600000000000005</v>
      </c>
    </row>
    <row r="1342" spans="1:16" hidden="1" x14ac:dyDescent="0.25">
      <c r="A1342">
        <v>0</v>
      </c>
      <c r="B1342">
        <v>0</v>
      </c>
      <c r="C1342">
        <f>1.225 * (1 - 0.00000687559 * B1342) ^ 4.2561</f>
        <v>1.2250000000000001</v>
      </c>
      <c r="D1342">
        <f>E1342*(SQRT($C$2/C1342))</f>
        <v>240</v>
      </c>
      <c r="E1342">
        <v>240</v>
      </c>
      <c r="F1342">
        <v>1215</v>
      </c>
      <c r="G1342">
        <v>2000</v>
      </c>
      <c r="H1342">
        <f>CONVERT(G1342,"HP","kW")</f>
        <v>1491.3997431645405</v>
      </c>
      <c r="I1342">
        <v>0.88729999999999998</v>
      </c>
      <c r="J1342">
        <v>1.5387</v>
      </c>
      <c r="K1342">
        <v>0.63260000000000005</v>
      </c>
      <c r="L1342">
        <v>0.15</v>
      </c>
      <c r="M1342">
        <v>8.6499999999999994E-2</v>
      </c>
      <c r="N1342">
        <f>CONVERT(O1342,"lbf","N")</f>
        <v>10718.434804131701</v>
      </c>
      <c r="O1342">
        <v>2409.6</v>
      </c>
      <c r="P1342">
        <f t="shared" si="20"/>
        <v>0.57666666666666666</v>
      </c>
    </row>
    <row r="1343" spans="1:16" hidden="1" x14ac:dyDescent="0.25">
      <c r="A1343">
        <v>0</v>
      </c>
      <c r="B1343">
        <v>0</v>
      </c>
      <c r="C1343">
        <f>1.225 * (1 - 0.00000687559 * B1343) ^ 4.2561</f>
        <v>1.2250000000000001</v>
      </c>
      <c r="D1343">
        <f>E1343*(SQRT($C$2/C1343))</f>
        <v>0</v>
      </c>
      <c r="E1343">
        <v>0</v>
      </c>
      <c r="F1343">
        <v>1215</v>
      </c>
      <c r="G1343">
        <v>2000</v>
      </c>
      <c r="H1343">
        <f>CONVERT(G1343,"HP","kW")</f>
        <v>1491.3997431645405</v>
      </c>
      <c r="I1343">
        <v>0</v>
      </c>
      <c r="J1343">
        <v>0</v>
      </c>
      <c r="K1343">
        <v>0.50390000000000001</v>
      </c>
      <c r="L1343">
        <v>0.15010000000000001</v>
      </c>
      <c r="M1343">
        <v>0.26269999999999999</v>
      </c>
      <c r="N1343">
        <f>CONVERT(O1343,"lbf","N")</f>
        <v>32529.399850238507</v>
      </c>
      <c r="O1343">
        <v>7312.9</v>
      </c>
      <c r="P1343">
        <f t="shared" si="20"/>
        <v>1.75016655562958</v>
      </c>
    </row>
    <row r="1344" spans="1:16" hidden="1" x14ac:dyDescent="0.25">
      <c r="A1344">
        <v>0</v>
      </c>
      <c r="B1344">
        <v>0</v>
      </c>
      <c r="C1344">
        <f>1.225 * (1 - 0.00000687559 * B1344) ^ 4.2561</f>
        <v>1.2250000000000001</v>
      </c>
      <c r="D1344">
        <f>E1344*(SQRT($C$2/C1344))</f>
        <v>20</v>
      </c>
      <c r="E1344">
        <v>20</v>
      </c>
      <c r="F1344">
        <v>1215</v>
      </c>
      <c r="G1344">
        <v>2000</v>
      </c>
      <c r="H1344">
        <f>CONVERT(G1344,"HP","kW")</f>
        <v>1491.3997431645405</v>
      </c>
      <c r="I1344">
        <v>0.2137</v>
      </c>
      <c r="J1344">
        <v>0.12820000000000001</v>
      </c>
      <c r="K1344">
        <v>0.50890000000000002</v>
      </c>
      <c r="L1344">
        <v>0.15010000000000001</v>
      </c>
      <c r="M1344">
        <v>0.25019999999999998</v>
      </c>
      <c r="N1344">
        <f>CONVERT(O1344,"lbf","N")</f>
        <v>30980.084261643282</v>
      </c>
      <c r="O1344">
        <v>6964.6</v>
      </c>
      <c r="P1344">
        <f t="shared" si="20"/>
        <v>1.6668887408394402</v>
      </c>
    </row>
    <row r="1345" spans="1:16" hidden="1" x14ac:dyDescent="0.25">
      <c r="A1345">
        <v>0</v>
      </c>
      <c r="B1345">
        <v>0</v>
      </c>
      <c r="C1345">
        <f>1.225 * (1 - 0.00000687559 * B1345) ^ 4.2561</f>
        <v>1.2250000000000001</v>
      </c>
      <c r="D1345">
        <f>E1345*(SQRT($C$2/C1345))</f>
        <v>40</v>
      </c>
      <c r="E1345">
        <v>40</v>
      </c>
      <c r="F1345">
        <v>1215</v>
      </c>
      <c r="G1345">
        <v>2000</v>
      </c>
      <c r="H1345">
        <f>CONVERT(G1345,"HP","kW")</f>
        <v>1491.3997431645405</v>
      </c>
      <c r="I1345">
        <v>0.39539999999999997</v>
      </c>
      <c r="J1345">
        <v>0.25650000000000001</v>
      </c>
      <c r="K1345">
        <v>0.51490000000000002</v>
      </c>
      <c r="L1345">
        <v>0.15010000000000001</v>
      </c>
      <c r="M1345">
        <v>0.23150000000000001</v>
      </c>
      <c r="N1345">
        <f>CONVERT(O1345,"lbf","N")</f>
        <v>28660.33668928493</v>
      </c>
      <c r="O1345">
        <v>6443.1</v>
      </c>
      <c r="P1345">
        <f t="shared" si="20"/>
        <v>1.542305129913391</v>
      </c>
    </row>
    <row r="1346" spans="1:16" hidden="1" x14ac:dyDescent="0.25">
      <c r="A1346">
        <v>0</v>
      </c>
      <c r="B1346">
        <v>0</v>
      </c>
      <c r="C1346">
        <f>1.225 * (1 - 0.00000687559 * B1346) ^ 4.2561</f>
        <v>1.2250000000000001</v>
      </c>
      <c r="D1346">
        <f>E1346*(SQRT($C$2/C1346))</f>
        <v>60</v>
      </c>
      <c r="E1346">
        <v>60</v>
      </c>
      <c r="F1346">
        <v>1215</v>
      </c>
      <c r="G1346">
        <v>2000</v>
      </c>
      <c r="H1346">
        <f>CONVERT(G1346,"HP","kW")</f>
        <v>1491.3997431645405</v>
      </c>
      <c r="I1346">
        <v>0.54100000000000004</v>
      </c>
      <c r="J1346">
        <v>0.38469999999999999</v>
      </c>
      <c r="K1346">
        <v>0.52159999999999995</v>
      </c>
      <c r="L1346">
        <v>0.15010000000000001</v>
      </c>
      <c r="M1346">
        <v>0.21110000000000001</v>
      </c>
      <c r="N1346">
        <f>CONVERT(O1346,"lbf","N")</f>
        <v>26140.419144239855</v>
      </c>
      <c r="O1346">
        <v>5876.6</v>
      </c>
      <c r="P1346">
        <f t="shared" si="20"/>
        <v>1.4063957361758828</v>
      </c>
    </row>
    <row r="1347" spans="1:16" hidden="1" x14ac:dyDescent="0.25">
      <c r="A1347">
        <v>0</v>
      </c>
      <c r="B1347">
        <v>0</v>
      </c>
      <c r="C1347">
        <f>1.225 * (1 - 0.00000687559 * B1347) ^ 4.2561</f>
        <v>1.2250000000000001</v>
      </c>
      <c r="D1347">
        <f>E1347*(SQRT($C$2/C1347))</f>
        <v>80</v>
      </c>
      <c r="E1347">
        <v>80</v>
      </c>
      <c r="F1347">
        <v>1215</v>
      </c>
      <c r="G1347">
        <v>2000</v>
      </c>
      <c r="H1347">
        <f>CONVERT(G1347,"HP","kW")</f>
        <v>1491.3997431645405</v>
      </c>
      <c r="I1347">
        <v>0.65039999999999998</v>
      </c>
      <c r="J1347">
        <v>0.51290000000000002</v>
      </c>
      <c r="K1347">
        <v>0.52929999999999999</v>
      </c>
      <c r="L1347">
        <v>0.15010000000000001</v>
      </c>
      <c r="M1347">
        <v>0.19040000000000001</v>
      </c>
      <c r="N1347">
        <f>CONVERT(O1347,"lbf","N")</f>
        <v>23570.681517103862</v>
      </c>
      <c r="O1347">
        <v>5298.9</v>
      </c>
      <c r="P1347">
        <f t="shared" ref="P1347:P1410" si="21">M1347/L1347</f>
        <v>1.2684876748834111</v>
      </c>
    </row>
    <row r="1348" spans="1:16" hidden="1" x14ac:dyDescent="0.25">
      <c r="A1348">
        <v>0</v>
      </c>
      <c r="B1348">
        <v>0</v>
      </c>
      <c r="C1348">
        <f>1.225 * (1 - 0.00000687559 * B1348) ^ 4.2561</f>
        <v>1.2250000000000001</v>
      </c>
      <c r="D1348">
        <f>E1348*(SQRT($C$2/C1348))</f>
        <v>100</v>
      </c>
      <c r="E1348">
        <v>100</v>
      </c>
      <c r="F1348">
        <v>1215</v>
      </c>
      <c r="G1348">
        <v>2000</v>
      </c>
      <c r="H1348">
        <f>CONVERT(G1348,"HP","kW")</f>
        <v>1491.3997431645405</v>
      </c>
      <c r="I1348">
        <v>0.72889999999999999</v>
      </c>
      <c r="J1348">
        <v>0.6411</v>
      </c>
      <c r="K1348">
        <v>0.53800000000000003</v>
      </c>
      <c r="L1348">
        <v>0.15010000000000001</v>
      </c>
      <c r="M1348">
        <v>0.17069999999999999</v>
      </c>
      <c r="N1348">
        <f>CONVERT(O1348,"lbf","N")</f>
        <v>21131.721605456532</v>
      </c>
      <c r="O1348">
        <v>4750.6000000000004</v>
      </c>
      <c r="P1348">
        <f t="shared" si="21"/>
        <v>1.1372418387741505</v>
      </c>
    </row>
    <row r="1349" spans="1:16" hidden="1" x14ac:dyDescent="0.25">
      <c r="A1349">
        <v>0</v>
      </c>
      <c r="B1349">
        <v>0</v>
      </c>
      <c r="C1349">
        <f>1.225 * (1 - 0.00000687559 * B1349) ^ 4.2561</f>
        <v>1.2250000000000001</v>
      </c>
      <c r="D1349">
        <f>E1349*(SQRT($C$2/C1349))</f>
        <v>120</v>
      </c>
      <c r="E1349">
        <v>120</v>
      </c>
      <c r="F1349">
        <v>1215</v>
      </c>
      <c r="G1349">
        <v>2000</v>
      </c>
      <c r="H1349">
        <f>CONVERT(G1349,"HP","kW")</f>
        <v>1491.3997431645405</v>
      </c>
      <c r="I1349">
        <v>0.78459999999999996</v>
      </c>
      <c r="J1349">
        <v>0.76939999999999997</v>
      </c>
      <c r="K1349">
        <v>0.54790000000000005</v>
      </c>
      <c r="L1349">
        <v>0.15010000000000001</v>
      </c>
      <c r="M1349">
        <v>0.15310000000000001</v>
      </c>
      <c r="N1349">
        <f>CONVERT(O1349,"lbf","N")</f>
        <v>18955.206769109573</v>
      </c>
      <c r="O1349">
        <v>4261.3</v>
      </c>
      <c r="P1349">
        <f t="shared" si="21"/>
        <v>1.0199866755496336</v>
      </c>
    </row>
    <row r="1350" spans="1:16" hidden="1" x14ac:dyDescent="0.25">
      <c r="A1350">
        <v>0</v>
      </c>
      <c r="B1350">
        <v>0</v>
      </c>
      <c r="C1350">
        <f>1.225 * (1 - 0.00000687559 * B1350) ^ 4.2561</f>
        <v>1.2250000000000001</v>
      </c>
      <c r="D1350">
        <f>E1350*(SQRT($C$2/C1350))</f>
        <v>140</v>
      </c>
      <c r="E1350">
        <v>140</v>
      </c>
      <c r="F1350">
        <v>1215</v>
      </c>
      <c r="G1350">
        <v>2000</v>
      </c>
      <c r="H1350">
        <f>CONVERT(G1350,"HP","kW")</f>
        <v>1491.3997431645405</v>
      </c>
      <c r="I1350">
        <v>0.82340000000000002</v>
      </c>
      <c r="J1350">
        <v>0.89759999999999995</v>
      </c>
      <c r="K1350">
        <v>0.55900000000000005</v>
      </c>
      <c r="L1350">
        <v>0.15010000000000001</v>
      </c>
      <c r="M1350">
        <v>0.13769999999999999</v>
      </c>
      <c r="N1350">
        <f>CONVERT(O1350,"lbf","N")</f>
        <v>17050.923095616548</v>
      </c>
      <c r="O1350">
        <v>3833.2</v>
      </c>
      <c r="P1350">
        <f t="shared" si="21"/>
        <v>0.91738840772818109</v>
      </c>
    </row>
    <row r="1351" spans="1:16" hidden="1" x14ac:dyDescent="0.25">
      <c r="A1351">
        <v>0</v>
      </c>
      <c r="B1351">
        <v>0</v>
      </c>
      <c r="C1351">
        <f>1.225 * (1 - 0.00000687559 * B1351) ^ 4.2561</f>
        <v>1.2250000000000001</v>
      </c>
      <c r="D1351">
        <f>E1351*(SQRT($C$2/C1351))</f>
        <v>160</v>
      </c>
      <c r="E1351">
        <v>160</v>
      </c>
      <c r="F1351">
        <v>1215</v>
      </c>
      <c r="G1351">
        <v>2000</v>
      </c>
      <c r="H1351">
        <f>CONVERT(G1351,"HP","kW")</f>
        <v>1491.3997431645405</v>
      </c>
      <c r="I1351">
        <v>0.85</v>
      </c>
      <c r="J1351">
        <v>1.0258</v>
      </c>
      <c r="K1351">
        <v>0.57140000000000002</v>
      </c>
      <c r="L1351">
        <v>0.15010000000000001</v>
      </c>
      <c r="M1351">
        <v>0.1244</v>
      </c>
      <c r="N1351">
        <f>CONVERT(O1351,"lbf","N")</f>
        <v>15401.522520677956</v>
      </c>
      <c r="O1351">
        <v>3462.4</v>
      </c>
      <c r="P1351">
        <f t="shared" si="21"/>
        <v>0.82878081279147231</v>
      </c>
    </row>
    <row r="1352" spans="1:16" hidden="1" x14ac:dyDescent="0.25">
      <c r="A1352">
        <v>0</v>
      </c>
      <c r="B1352">
        <v>0</v>
      </c>
      <c r="C1352">
        <f>1.225 * (1 - 0.00000687559 * B1352) ^ 4.2561</f>
        <v>1.2250000000000001</v>
      </c>
      <c r="D1352">
        <f>E1352*(SQRT($C$2/C1352))</f>
        <v>180</v>
      </c>
      <c r="E1352">
        <v>180</v>
      </c>
      <c r="F1352">
        <v>1215</v>
      </c>
      <c r="G1352">
        <v>2000</v>
      </c>
      <c r="H1352">
        <f>CONVERT(G1352,"HP","kW")</f>
        <v>1491.3997431645405</v>
      </c>
      <c r="I1352">
        <v>0.86780000000000002</v>
      </c>
      <c r="J1352">
        <v>1.1540999999999999</v>
      </c>
      <c r="K1352">
        <v>0.58509999999999995</v>
      </c>
      <c r="L1352">
        <v>0.15010000000000001</v>
      </c>
      <c r="M1352">
        <v>0.1129</v>
      </c>
      <c r="N1352">
        <f>CONVERT(O1352,"lbf","N")</f>
        <v>13976.312315148492</v>
      </c>
      <c r="O1352">
        <v>3142</v>
      </c>
      <c r="P1352">
        <f t="shared" si="21"/>
        <v>0.7521652231845436</v>
      </c>
    </row>
    <row r="1353" spans="1:16" hidden="1" x14ac:dyDescent="0.25">
      <c r="A1353">
        <v>0</v>
      </c>
      <c r="B1353">
        <v>0</v>
      </c>
      <c r="C1353">
        <f>1.225 * (1 - 0.00000687559 * B1353) ^ 4.2561</f>
        <v>1.2250000000000001</v>
      </c>
      <c r="D1353">
        <f>E1353*(SQRT($C$2/C1353))</f>
        <v>220</v>
      </c>
      <c r="E1353">
        <v>220</v>
      </c>
      <c r="F1353">
        <v>1215</v>
      </c>
      <c r="G1353">
        <v>2000</v>
      </c>
      <c r="H1353">
        <f>CONVERT(G1353,"HP","kW")</f>
        <v>1491.3997431645405</v>
      </c>
      <c r="I1353">
        <v>0.88529999999999998</v>
      </c>
      <c r="J1353">
        <v>1.4105000000000001</v>
      </c>
      <c r="K1353">
        <v>0.61570000000000003</v>
      </c>
      <c r="L1353">
        <v>0.15010000000000001</v>
      </c>
      <c r="M1353">
        <v>9.4200000000000006E-2</v>
      </c>
      <c r="N1353">
        <f>CONVERT(O1353,"lbf","N")</f>
        <v>11665.906008182186</v>
      </c>
      <c r="O1353">
        <v>2622.6</v>
      </c>
      <c r="P1353">
        <f t="shared" si="21"/>
        <v>0.62758161225849429</v>
      </c>
    </row>
    <row r="1354" spans="1:16" hidden="1" x14ac:dyDescent="0.25">
      <c r="A1354">
        <v>0</v>
      </c>
      <c r="B1354">
        <v>30000</v>
      </c>
      <c r="C1354">
        <f>1.225 * (1 - 0.00000687559 * B1354) ^ 4.2561</f>
        <v>0.45828836225470948</v>
      </c>
      <c r="D1354">
        <f>E1354*(SQRT($C$2/C1354))</f>
        <v>261.58847891605171</v>
      </c>
      <c r="E1354">
        <v>160</v>
      </c>
      <c r="F1354">
        <v>1215</v>
      </c>
      <c r="G1354">
        <v>750</v>
      </c>
      <c r="H1354">
        <f>CONVERT(G1354,"HP","kW")</f>
        <v>559.27490368670271</v>
      </c>
      <c r="I1354">
        <v>0.82899999999999996</v>
      </c>
      <c r="J1354">
        <v>1.6771</v>
      </c>
      <c r="K1354">
        <v>0.73180000000000001</v>
      </c>
      <c r="L1354">
        <v>0.15029999999999999</v>
      </c>
      <c r="M1354">
        <v>7.4300000000000005E-2</v>
      </c>
      <c r="N1354">
        <f>CONVERT(O1354,"lbf","N")</f>
        <v>3445.1476410192572</v>
      </c>
      <c r="O1354">
        <v>774.5</v>
      </c>
      <c r="P1354">
        <f t="shared" si="21"/>
        <v>0.49434464404524292</v>
      </c>
    </row>
    <row r="1355" spans="1:16" hidden="1" x14ac:dyDescent="0.25">
      <c r="A1355">
        <v>0</v>
      </c>
      <c r="B1355">
        <v>30000</v>
      </c>
      <c r="C1355">
        <f>1.225 * (1 - 0.00000687559 * B1355) ^ 4.2561</f>
        <v>0.45828836225470948</v>
      </c>
      <c r="D1355">
        <f>E1355*(SQRT($C$2/C1355))</f>
        <v>294.28703878055819</v>
      </c>
      <c r="E1355">
        <v>180</v>
      </c>
      <c r="F1355">
        <v>1215</v>
      </c>
      <c r="G1355">
        <v>750</v>
      </c>
      <c r="H1355">
        <f>CONVERT(G1355,"HP","kW")</f>
        <v>559.27490368670271</v>
      </c>
      <c r="I1355">
        <v>0.76990000000000003</v>
      </c>
      <c r="J1355">
        <v>1.8867</v>
      </c>
      <c r="K1355">
        <v>0.76680000000000004</v>
      </c>
      <c r="L1355">
        <v>0.15040000000000001</v>
      </c>
      <c r="M1355">
        <v>6.1400000000000003E-2</v>
      </c>
      <c r="N1355">
        <f>CONVERT(O1355,"lbf","N")</f>
        <v>2844.1929007975637</v>
      </c>
      <c r="O1355">
        <v>639.4</v>
      </c>
      <c r="P1355">
        <f t="shared" si="21"/>
        <v>0.40824468085106386</v>
      </c>
    </row>
    <row r="1356" spans="1:16" hidden="1" x14ac:dyDescent="0.25">
      <c r="A1356">
        <v>0</v>
      </c>
      <c r="B1356">
        <v>30000</v>
      </c>
      <c r="C1356">
        <f>1.225 * (1 - 0.00000687559 * B1356) ^ 4.2561</f>
        <v>0.45828836225470948</v>
      </c>
      <c r="D1356">
        <f>E1356*(SQRT($C$2/C1356))</f>
        <v>425.08127823858405</v>
      </c>
      <c r="E1356">
        <v>260</v>
      </c>
      <c r="F1356">
        <v>1215</v>
      </c>
      <c r="G1356">
        <v>750</v>
      </c>
      <c r="H1356">
        <f>CONVERT(G1356,"HP","kW")</f>
        <v>559.27490368670271</v>
      </c>
      <c r="I1356">
        <v>-0.35170000000000001</v>
      </c>
      <c r="J1356">
        <v>2.7252999999999998</v>
      </c>
      <c r="K1356">
        <v>0.92679999999999996</v>
      </c>
      <c r="L1356">
        <v>0.15040000000000001</v>
      </c>
      <c r="M1356">
        <v>-1.9400000000000001E-2</v>
      </c>
      <c r="N1356">
        <f>CONVERT(O1356,"lbf","N")</f>
        <v>-899.43041060567305</v>
      </c>
      <c r="O1356">
        <v>-202.2</v>
      </c>
      <c r="P1356">
        <f t="shared" si="21"/>
        <v>-0.12898936170212766</v>
      </c>
    </row>
    <row r="1357" spans="1:16" hidden="1" x14ac:dyDescent="0.25">
      <c r="A1357">
        <v>0</v>
      </c>
      <c r="B1357">
        <v>30000</v>
      </c>
      <c r="C1357">
        <f>1.225 * (1 - 0.00000687559 * B1357) ^ 4.2561</f>
        <v>0.45828836225470948</v>
      </c>
      <c r="D1357">
        <f>E1357*(SQRT($C$2/C1357))</f>
        <v>0</v>
      </c>
      <c r="E1357">
        <v>0</v>
      </c>
      <c r="F1357">
        <v>1215</v>
      </c>
      <c r="G1357">
        <v>750</v>
      </c>
      <c r="H1357">
        <f>CONVERT(G1357,"HP","kW")</f>
        <v>559.27490368670271</v>
      </c>
      <c r="I1357">
        <v>0</v>
      </c>
      <c r="J1357">
        <v>0</v>
      </c>
      <c r="K1357">
        <v>0.56559999999999999</v>
      </c>
      <c r="L1357">
        <v>0.15049999999999999</v>
      </c>
      <c r="M1357">
        <v>0.25969999999999999</v>
      </c>
      <c r="N1357">
        <f>CONVERT(O1357,"lbf","N")</f>
        <v>12026.656781179814</v>
      </c>
      <c r="O1357">
        <v>2703.7</v>
      </c>
      <c r="P1357">
        <f t="shared" si="21"/>
        <v>1.7255813953488373</v>
      </c>
    </row>
    <row r="1358" spans="1:16" hidden="1" x14ac:dyDescent="0.25">
      <c r="A1358">
        <v>0</v>
      </c>
      <c r="B1358">
        <v>30000</v>
      </c>
      <c r="C1358">
        <f>1.225 * (1 - 0.00000687559 * B1358) ^ 4.2561</f>
        <v>0.45828836225470948</v>
      </c>
      <c r="D1358">
        <f>E1358*(SQRT($C$2/C1358))</f>
        <v>32.698559864506464</v>
      </c>
      <c r="E1358">
        <v>20</v>
      </c>
      <c r="F1358">
        <v>1215</v>
      </c>
      <c r="G1358">
        <v>750</v>
      </c>
      <c r="H1358">
        <f>CONVERT(G1358,"HP","kW")</f>
        <v>559.27490368670271</v>
      </c>
      <c r="I1358">
        <v>0.33189999999999997</v>
      </c>
      <c r="J1358">
        <v>0.20960000000000001</v>
      </c>
      <c r="K1358">
        <v>0.57530000000000003</v>
      </c>
      <c r="L1358">
        <v>0.15049999999999999</v>
      </c>
      <c r="M1358">
        <v>0.23830000000000001</v>
      </c>
      <c r="N1358">
        <f>CONVERT(O1358,"lbf","N")</f>
        <v>11036.482649622827</v>
      </c>
      <c r="O1358">
        <v>2481.1</v>
      </c>
      <c r="P1358">
        <f t="shared" si="21"/>
        <v>1.583388704318937</v>
      </c>
    </row>
    <row r="1359" spans="1:16" hidden="1" x14ac:dyDescent="0.25">
      <c r="A1359">
        <v>0</v>
      </c>
      <c r="B1359">
        <v>30000</v>
      </c>
      <c r="C1359">
        <f>1.225 * (1 - 0.00000687559 * B1359) ^ 4.2561</f>
        <v>0.45828836225470948</v>
      </c>
      <c r="D1359">
        <f>E1359*(SQRT($C$2/C1359))</f>
        <v>65.397119729012928</v>
      </c>
      <c r="E1359">
        <v>40</v>
      </c>
      <c r="F1359">
        <v>1215</v>
      </c>
      <c r="G1359">
        <v>750</v>
      </c>
      <c r="H1359">
        <f>CONVERT(G1359,"HP","kW")</f>
        <v>559.27490368670271</v>
      </c>
      <c r="I1359">
        <v>0.57179999999999997</v>
      </c>
      <c r="J1359">
        <v>0.41930000000000001</v>
      </c>
      <c r="K1359">
        <v>0.58760000000000001</v>
      </c>
      <c r="L1359">
        <v>0.15049999999999999</v>
      </c>
      <c r="M1359">
        <v>0.20530000000000001</v>
      </c>
      <c r="N1359">
        <f>CONVERT(O1359,"lbf","N")</f>
        <v>9506.2944139732153</v>
      </c>
      <c r="O1359">
        <v>2137.1</v>
      </c>
      <c r="P1359">
        <f t="shared" si="21"/>
        <v>1.3641196013289039</v>
      </c>
    </row>
    <row r="1360" spans="1:16" hidden="1" x14ac:dyDescent="0.25">
      <c r="A1360">
        <v>0</v>
      </c>
      <c r="B1360">
        <v>30000</v>
      </c>
      <c r="C1360">
        <f>1.225 * (1 - 0.00000687559 * B1360) ^ 4.2561</f>
        <v>0.45828836225470948</v>
      </c>
      <c r="D1360">
        <f>E1360*(SQRT($C$2/C1360))</f>
        <v>98.095679593519407</v>
      </c>
      <c r="E1360">
        <v>60</v>
      </c>
      <c r="F1360">
        <v>1215</v>
      </c>
      <c r="G1360">
        <v>750</v>
      </c>
      <c r="H1360">
        <f>CONVERT(G1360,"HP","kW")</f>
        <v>559.27490368670271</v>
      </c>
      <c r="I1360">
        <v>0.72050000000000003</v>
      </c>
      <c r="J1360">
        <v>0.62890000000000001</v>
      </c>
      <c r="K1360">
        <v>0.6028</v>
      </c>
      <c r="L1360">
        <v>0.15049999999999999</v>
      </c>
      <c r="M1360">
        <v>0.17249999999999999</v>
      </c>
      <c r="N1360">
        <f>CONVERT(O1360,"lbf","N")</f>
        <v>7985.8922658771753</v>
      </c>
      <c r="O1360">
        <v>1795.3</v>
      </c>
      <c r="P1360">
        <f t="shared" si="21"/>
        <v>1.1461794019933553</v>
      </c>
    </row>
    <row r="1361" spans="1:16" hidden="1" x14ac:dyDescent="0.25">
      <c r="A1361">
        <v>0</v>
      </c>
      <c r="B1361">
        <v>30000</v>
      </c>
      <c r="C1361">
        <f>1.225 * (1 - 0.00000687559 * B1361) ^ 4.2561</f>
        <v>0.45828836225470948</v>
      </c>
      <c r="D1361">
        <f>E1361*(SQRT($C$2/C1361))</f>
        <v>163.49279932253233</v>
      </c>
      <c r="E1361">
        <v>100</v>
      </c>
      <c r="F1361">
        <v>1215</v>
      </c>
      <c r="G1361">
        <v>750</v>
      </c>
      <c r="H1361">
        <f>CONVERT(G1361,"HP","kW")</f>
        <v>559.27490368670271</v>
      </c>
      <c r="I1361">
        <v>0.8518</v>
      </c>
      <c r="J1361">
        <v>1.0482</v>
      </c>
      <c r="K1361">
        <v>0.64400000000000002</v>
      </c>
      <c r="L1361">
        <v>0.15049999999999999</v>
      </c>
      <c r="M1361">
        <v>0.12230000000000001</v>
      </c>
      <c r="N1361">
        <f>CONVERT(O1361,"lbf","N")</f>
        <v>5663.9205827111946</v>
      </c>
      <c r="O1361">
        <v>1273.3</v>
      </c>
      <c r="P1361">
        <f t="shared" si="21"/>
        <v>0.81262458471760801</v>
      </c>
    </row>
    <row r="1362" spans="1:16" hidden="1" x14ac:dyDescent="0.25">
      <c r="A1362">
        <v>0</v>
      </c>
      <c r="B1362">
        <v>30000</v>
      </c>
      <c r="C1362">
        <f>1.225 * (1 - 0.00000687559 * B1362) ^ 4.2561</f>
        <v>0.45828836225470948</v>
      </c>
      <c r="D1362">
        <f>E1362*(SQRT($C$2/C1362))</f>
        <v>196.19135918703881</v>
      </c>
      <c r="E1362">
        <v>120</v>
      </c>
      <c r="F1362">
        <v>1215</v>
      </c>
      <c r="G1362">
        <v>750</v>
      </c>
      <c r="H1362">
        <f>CONVERT(G1362,"HP","kW")</f>
        <v>559.27490368670271</v>
      </c>
      <c r="I1362">
        <v>0.86909999999999998</v>
      </c>
      <c r="J1362">
        <v>1.2578</v>
      </c>
      <c r="K1362">
        <v>0.67</v>
      </c>
      <c r="L1362">
        <v>0.15049999999999999</v>
      </c>
      <c r="M1362">
        <v>0.104</v>
      </c>
      <c r="N1362">
        <f>CONVERT(O1362,"lbf","N")</f>
        <v>4816.0895428425438</v>
      </c>
      <c r="O1362">
        <v>1082.7</v>
      </c>
      <c r="P1362">
        <f t="shared" si="21"/>
        <v>0.69102990033222589</v>
      </c>
    </row>
    <row r="1363" spans="1:16" hidden="1" x14ac:dyDescent="0.25">
      <c r="A1363">
        <v>0</v>
      </c>
      <c r="B1363">
        <v>30000</v>
      </c>
      <c r="C1363">
        <f>1.225 * (1 - 0.00000687559 * B1363) ^ 4.2561</f>
        <v>0.45828836225470948</v>
      </c>
      <c r="D1363">
        <f>E1363*(SQRT($C$2/C1363))</f>
        <v>228.88991905154526</v>
      </c>
      <c r="E1363">
        <v>140</v>
      </c>
      <c r="F1363">
        <v>1215</v>
      </c>
      <c r="G1363">
        <v>750</v>
      </c>
      <c r="H1363">
        <f>CONVERT(G1363,"HP","kW")</f>
        <v>559.27490368670271</v>
      </c>
      <c r="I1363">
        <v>0.86199999999999999</v>
      </c>
      <c r="J1363">
        <v>1.4675</v>
      </c>
      <c r="K1363">
        <v>0.69940000000000002</v>
      </c>
      <c r="L1363">
        <v>0.15049999999999999</v>
      </c>
      <c r="M1363">
        <v>8.8400000000000006E-2</v>
      </c>
      <c r="N1363">
        <f>CONVERT(O1363,"lbf","N")</f>
        <v>4094.1431746857643</v>
      </c>
      <c r="O1363">
        <v>920.4</v>
      </c>
      <c r="P1363">
        <f t="shared" si="21"/>
        <v>0.58737541528239212</v>
      </c>
    </row>
    <row r="1364" spans="1:16" hidden="1" x14ac:dyDescent="0.25">
      <c r="A1364">
        <v>0</v>
      </c>
      <c r="B1364">
        <v>30000</v>
      </c>
      <c r="C1364">
        <f>1.225 * (1 - 0.00000687559 * B1364) ^ 4.2561</f>
        <v>0.45828836225470948</v>
      </c>
      <c r="D1364">
        <f>E1364*(SQRT($C$2/C1364))</f>
        <v>326.98559864506467</v>
      </c>
      <c r="E1364">
        <v>200</v>
      </c>
      <c r="F1364">
        <v>1215</v>
      </c>
      <c r="G1364">
        <v>750</v>
      </c>
      <c r="H1364">
        <f>CONVERT(G1364,"HP","kW")</f>
        <v>559.27490368670271</v>
      </c>
      <c r="I1364">
        <v>0.66910000000000003</v>
      </c>
      <c r="J1364">
        <v>2.0964</v>
      </c>
      <c r="K1364">
        <v>0.80400000000000005</v>
      </c>
      <c r="L1364">
        <v>0.15049999999999999</v>
      </c>
      <c r="M1364">
        <v>4.8000000000000001E-2</v>
      </c>
      <c r="N1364">
        <f>CONVERT(O1364,"lbf","N")</f>
        <v>2224.555629791776</v>
      </c>
      <c r="O1364">
        <v>500.1</v>
      </c>
      <c r="P1364">
        <f t="shared" si="21"/>
        <v>0.318936877076412</v>
      </c>
    </row>
    <row r="1365" spans="1:16" hidden="1" x14ac:dyDescent="0.25">
      <c r="A1365">
        <v>0</v>
      </c>
      <c r="B1365">
        <v>30000</v>
      </c>
      <c r="C1365">
        <f>1.225 * (1 - 0.00000687559 * B1365) ^ 4.2561</f>
        <v>0.45828836225470948</v>
      </c>
      <c r="D1365">
        <f>E1365*(SQRT($C$2/C1365))</f>
        <v>359.68415850957115</v>
      </c>
      <c r="E1365">
        <v>220</v>
      </c>
      <c r="F1365">
        <v>1215</v>
      </c>
      <c r="G1365">
        <v>750</v>
      </c>
      <c r="H1365">
        <f>CONVERT(G1365,"HP","kW")</f>
        <v>559.27490368670271</v>
      </c>
      <c r="I1365">
        <v>0.47810000000000002</v>
      </c>
      <c r="J1365">
        <v>2.306</v>
      </c>
      <c r="K1365">
        <v>0.84330000000000005</v>
      </c>
      <c r="L1365">
        <v>0.15049999999999999</v>
      </c>
      <c r="M1365">
        <v>3.1199999999999999E-2</v>
      </c>
      <c r="N1365">
        <f>CONVERT(O1365,"lbf","N")</f>
        <v>1445.2272027981364</v>
      </c>
      <c r="O1365">
        <v>324.89999999999998</v>
      </c>
      <c r="P1365">
        <f t="shared" si="21"/>
        <v>0.20730897009966778</v>
      </c>
    </row>
    <row r="1366" spans="1:16" hidden="1" x14ac:dyDescent="0.25">
      <c r="A1366">
        <v>0</v>
      </c>
      <c r="B1366">
        <v>30000</v>
      </c>
      <c r="C1366">
        <f>1.225 * (1 - 0.00000687559 * B1366) ^ 4.2561</f>
        <v>0.45828836225470948</v>
      </c>
      <c r="D1366">
        <f>E1366*(SQRT($C$2/C1366))</f>
        <v>392.38271837407763</v>
      </c>
      <c r="E1366">
        <v>240</v>
      </c>
      <c r="F1366">
        <v>1215</v>
      </c>
      <c r="G1366">
        <v>750</v>
      </c>
      <c r="H1366">
        <f>CONVERT(G1366,"HP","kW")</f>
        <v>559.27490368670271</v>
      </c>
      <c r="I1366">
        <v>0.15210000000000001</v>
      </c>
      <c r="J1366">
        <v>2.5156999999999998</v>
      </c>
      <c r="K1366">
        <v>0.88429999999999997</v>
      </c>
      <c r="L1366">
        <v>0.15049999999999999</v>
      </c>
      <c r="M1366">
        <v>9.1000000000000004E-3</v>
      </c>
      <c r="N1366">
        <f>CONVERT(O1366,"lbf","N")</f>
        <v>421.69140912669542</v>
      </c>
      <c r="O1366">
        <v>94.8</v>
      </c>
      <c r="P1366">
        <f t="shared" si="21"/>
        <v>6.0465116279069774E-2</v>
      </c>
    </row>
    <row r="1367" spans="1:16" hidden="1" x14ac:dyDescent="0.25">
      <c r="A1367">
        <v>0</v>
      </c>
      <c r="B1367">
        <v>30000</v>
      </c>
      <c r="C1367">
        <f>1.225 * (1 - 0.00000687559 * B1367) ^ 4.2561</f>
        <v>0.45828836225470948</v>
      </c>
      <c r="D1367">
        <f>E1367*(SQRT($C$2/C1367))</f>
        <v>130.79423945802586</v>
      </c>
      <c r="E1367">
        <v>80</v>
      </c>
      <c r="F1367">
        <v>1215</v>
      </c>
      <c r="G1367">
        <v>750</v>
      </c>
      <c r="H1367">
        <f>CONVERT(G1367,"HP","kW")</f>
        <v>559.27490368670271</v>
      </c>
      <c r="I1367">
        <v>0.80600000000000005</v>
      </c>
      <c r="J1367">
        <v>0.83860000000000001</v>
      </c>
      <c r="K1367">
        <v>0.62150000000000005</v>
      </c>
      <c r="L1367">
        <v>0.15060000000000001</v>
      </c>
      <c r="M1367">
        <v>0.14480000000000001</v>
      </c>
      <c r="N1367">
        <f>CONVERT(O1367,"lbf","N")</f>
        <v>6699.4665747438385</v>
      </c>
      <c r="O1367">
        <v>1506.1</v>
      </c>
      <c r="P1367">
        <f t="shared" si="21"/>
        <v>0.9614873837981408</v>
      </c>
    </row>
    <row r="1368" spans="1:16" hidden="1" x14ac:dyDescent="0.25">
      <c r="A1368">
        <v>0</v>
      </c>
      <c r="B1368">
        <v>5000</v>
      </c>
      <c r="C1368">
        <f>1.225 * (1 - 0.00000687559 * B1368) ^ 4.2561</f>
        <v>1.0555380742846066</v>
      </c>
      <c r="D1368">
        <f>E1368*(SQRT($C$2/C1368))</f>
        <v>193.91151425482059</v>
      </c>
      <c r="E1368">
        <v>180</v>
      </c>
      <c r="F1368">
        <v>1215</v>
      </c>
      <c r="G1368">
        <v>1750</v>
      </c>
      <c r="H1368">
        <f>CONVERT(G1368,"HP","kW")</f>
        <v>1304.974775268973</v>
      </c>
      <c r="I1368">
        <v>0.876</v>
      </c>
      <c r="J1368">
        <v>1.2432000000000001</v>
      </c>
      <c r="K1368">
        <v>0.60570000000000002</v>
      </c>
      <c r="L1368">
        <v>0.15229999999999999</v>
      </c>
      <c r="M1368">
        <v>0.10730000000000001</v>
      </c>
      <c r="N1368">
        <f>CONVERT(O1368,"lbf","N")</f>
        <v>11459.508525234098</v>
      </c>
      <c r="O1368">
        <v>2576.1999999999998</v>
      </c>
      <c r="P1368">
        <f t="shared" si="21"/>
        <v>0.70453053184504277</v>
      </c>
    </row>
    <row r="1369" spans="1:16" hidden="1" x14ac:dyDescent="0.25">
      <c r="A1369">
        <v>0</v>
      </c>
      <c r="B1369">
        <v>5000</v>
      </c>
      <c r="C1369">
        <f>1.225 * (1 - 0.00000687559 * B1369) ^ 4.2561</f>
        <v>1.0555380742846066</v>
      </c>
      <c r="D1369">
        <f>E1369*(SQRT($C$2/C1369))</f>
        <v>237.00296186700291</v>
      </c>
      <c r="E1369">
        <v>220</v>
      </c>
      <c r="F1369">
        <v>1215</v>
      </c>
      <c r="G1369">
        <v>1750</v>
      </c>
      <c r="H1369">
        <f>CONVERT(G1369,"HP","kW")</f>
        <v>1304.974775268973</v>
      </c>
      <c r="I1369">
        <v>0.88770000000000004</v>
      </c>
      <c r="J1369">
        <v>1.5195000000000001</v>
      </c>
      <c r="K1369">
        <v>0.6411</v>
      </c>
      <c r="L1369">
        <v>0.15229999999999999</v>
      </c>
      <c r="M1369">
        <v>8.8999999999999996E-2</v>
      </c>
      <c r="N1369">
        <f>CONVERT(O1369,"lbf","N")</f>
        <v>9501.4013701964286</v>
      </c>
      <c r="O1369">
        <v>2136</v>
      </c>
      <c r="P1369">
        <f t="shared" si="21"/>
        <v>0.58437294812869334</v>
      </c>
    </row>
    <row r="1370" spans="1:16" hidden="1" x14ac:dyDescent="0.25">
      <c r="A1370">
        <v>0</v>
      </c>
      <c r="B1370">
        <v>5000</v>
      </c>
      <c r="C1370">
        <f>1.225 * (1 - 0.00000687559 * B1370) ^ 4.2561</f>
        <v>1.0555380742846066</v>
      </c>
      <c r="D1370">
        <f>E1370*(SQRT($C$2/C1370))</f>
        <v>258.5486856730941</v>
      </c>
      <c r="E1370">
        <v>240</v>
      </c>
      <c r="F1370">
        <v>1215</v>
      </c>
      <c r="G1370">
        <v>1750</v>
      </c>
      <c r="H1370">
        <f>CONVERT(G1370,"HP","kW")</f>
        <v>1304.974775268973</v>
      </c>
      <c r="I1370">
        <v>0.88539999999999996</v>
      </c>
      <c r="J1370">
        <v>1.6577</v>
      </c>
      <c r="K1370">
        <v>0.66059999999999997</v>
      </c>
      <c r="L1370">
        <v>0.15229999999999999</v>
      </c>
      <c r="M1370">
        <v>8.1299999999999997E-2</v>
      </c>
      <c r="N1370">
        <f>CONVERT(O1370,"lbf","N")</f>
        <v>8686.9319924422307</v>
      </c>
      <c r="O1370">
        <v>1952.9</v>
      </c>
      <c r="P1370">
        <f t="shared" si="21"/>
        <v>0.53381483913328953</v>
      </c>
    </row>
    <row r="1371" spans="1:16" hidden="1" x14ac:dyDescent="0.25">
      <c r="A1371">
        <v>0</v>
      </c>
      <c r="B1371">
        <v>5000</v>
      </c>
      <c r="C1371">
        <f>1.225 * (1 - 0.00000687559 * B1371) ^ 4.2561</f>
        <v>1.0555380742846066</v>
      </c>
      <c r="D1371">
        <f>E1371*(SQRT($C$2/C1371))</f>
        <v>280.09440947918529</v>
      </c>
      <c r="E1371">
        <v>260</v>
      </c>
      <c r="F1371">
        <v>1215</v>
      </c>
      <c r="G1371">
        <v>1750</v>
      </c>
      <c r="H1371">
        <f>CONVERT(G1371,"HP","kW")</f>
        <v>1304.974775268973</v>
      </c>
      <c r="I1371">
        <v>0.87460000000000004</v>
      </c>
      <c r="J1371">
        <v>1.7958000000000001</v>
      </c>
      <c r="K1371">
        <v>0.68110000000000004</v>
      </c>
      <c r="L1371">
        <v>0.15229999999999999</v>
      </c>
      <c r="M1371">
        <v>7.4200000000000002E-2</v>
      </c>
      <c r="N1371">
        <f>CONVERT(O1371,"lbf","N")</f>
        <v>7920.9482302943734</v>
      </c>
      <c r="O1371">
        <v>1780.7</v>
      </c>
      <c r="P1371">
        <f t="shared" si="21"/>
        <v>0.48719632304661858</v>
      </c>
    </row>
    <row r="1372" spans="1:16" hidden="1" x14ac:dyDescent="0.25">
      <c r="A1372">
        <v>0</v>
      </c>
      <c r="B1372">
        <v>10000</v>
      </c>
      <c r="C1372">
        <f>1.225 * (1 - 0.00000687559 * B1372) ^ 4.2561</f>
        <v>0.90462252368600637</v>
      </c>
      <c r="D1372">
        <f>E1372*(SQRT($C$2/C1372))</f>
        <v>232.73641570654067</v>
      </c>
      <c r="E1372">
        <v>200</v>
      </c>
      <c r="F1372">
        <v>1215</v>
      </c>
      <c r="G1372">
        <v>1500</v>
      </c>
      <c r="H1372">
        <f>CONVERT(G1372,"HP","kW")</f>
        <v>1118.5498073734054</v>
      </c>
      <c r="I1372">
        <v>0.88719999999999999</v>
      </c>
      <c r="J1372">
        <v>1.4922</v>
      </c>
      <c r="K1372">
        <v>0.64910000000000001</v>
      </c>
      <c r="L1372">
        <v>0.15229999999999999</v>
      </c>
      <c r="M1372">
        <v>9.06E-2</v>
      </c>
      <c r="N1372">
        <f>CONVERT(O1372,"lbf","N")</f>
        <v>8288.3713357148899</v>
      </c>
      <c r="O1372">
        <v>1863.3</v>
      </c>
      <c r="P1372">
        <f t="shared" si="21"/>
        <v>0.59487852921864748</v>
      </c>
    </row>
    <row r="1373" spans="1:16" hidden="1" x14ac:dyDescent="0.25">
      <c r="A1373">
        <v>0</v>
      </c>
      <c r="B1373">
        <v>10000</v>
      </c>
      <c r="C1373">
        <f>1.225 * (1 - 0.00000687559 * B1373) ^ 4.2561</f>
        <v>0.90462252368600637</v>
      </c>
      <c r="D1373">
        <f>E1373*(SQRT($C$2/C1373))</f>
        <v>256.01005727719473</v>
      </c>
      <c r="E1373">
        <v>220</v>
      </c>
      <c r="F1373">
        <v>1215</v>
      </c>
      <c r="G1373">
        <v>1500</v>
      </c>
      <c r="H1373">
        <f>CONVERT(G1373,"HP","kW")</f>
        <v>1118.5498073734054</v>
      </c>
      <c r="I1373">
        <v>0.88349999999999995</v>
      </c>
      <c r="J1373">
        <v>1.6414</v>
      </c>
      <c r="K1373">
        <v>0.67030000000000001</v>
      </c>
      <c r="L1373">
        <v>0.15229999999999999</v>
      </c>
      <c r="M1373">
        <v>8.2000000000000003E-2</v>
      </c>
      <c r="N1373">
        <f>CONVERT(O1373,"lbf","N")</f>
        <v>7503.7050427829381</v>
      </c>
      <c r="O1373">
        <v>1686.9</v>
      </c>
      <c r="P1373">
        <f t="shared" si="21"/>
        <v>0.53841103086014452</v>
      </c>
    </row>
    <row r="1374" spans="1:16" hidden="1" x14ac:dyDescent="0.25">
      <c r="A1374">
        <v>0</v>
      </c>
      <c r="B1374">
        <v>10000</v>
      </c>
      <c r="C1374">
        <f>1.225 * (1 - 0.00000687559 * B1374) ^ 4.2561</f>
        <v>0.90462252368600637</v>
      </c>
      <c r="D1374">
        <f>E1374*(SQRT($C$2/C1374))</f>
        <v>279.28369884784883</v>
      </c>
      <c r="E1374">
        <v>240</v>
      </c>
      <c r="F1374">
        <v>1215</v>
      </c>
      <c r="G1374">
        <v>1500</v>
      </c>
      <c r="H1374">
        <f>CONVERT(G1374,"HP","kW")</f>
        <v>1118.5498073734054</v>
      </c>
      <c r="I1374">
        <v>0.86860000000000004</v>
      </c>
      <c r="J1374">
        <v>1.7906</v>
      </c>
      <c r="K1374">
        <v>0.69279999999999997</v>
      </c>
      <c r="L1374">
        <v>0.15229999999999999</v>
      </c>
      <c r="M1374">
        <v>7.3899999999999993E-2</v>
      </c>
      <c r="N1374">
        <f>CONVERT(O1374,"lbf","N")</f>
        <v>6762.1864995190117</v>
      </c>
      <c r="O1374">
        <v>1520.2</v>
      </c>
      <c r="P1374">
        <f t="shared" si="21"/>
        <v>0.48522652659225213</v>
      </c>
    </row>
    <row r="1375" spans="1:16" hidden="1" x14ac:dyDescent="0.25">
      <c r="A1375">
        <v>0</v>
      </c>
      <c r="B1375">
        <v>5000</v>
      </c>
      <c r="C1375">
        <f>1.225 * (1 - 0.00000687559 * B1375) ^ 4.2561</f>
        <v>1.0555380742846066</v>
      </c>
      <c r="D1375">
        <f>E1375*(SQRT($C$2/C1375))</f>
        <v>0</v>
      </c>
      <c r="E1375">
        <v>0</v>
      </c>
      <c r="F1375">
        <v>1215</v>
      </c>
      <c r="G1375">
        <v>1750</v>
      </c>
      <c r="H1375">
        <f>CONVERT(G1375,"HP","kW")</f>
        <v>1304.974775268973</v>
      </c>
      <c r="I1375">
        <v>0</v>
      </c>
      <c r="J1375">
        <v>0</v>
      </c>
      <c r="K1375">
        <v>0.51270000000000004</v>
      </c>
      <c r="L1375">
        <v>0.15240000000000001</v>
      </c>
      <c r="M1375">
        <v>0.26379999999999998</v>
      </c>
      <c r="N1375">
        <f>CONVERT(O1375,"lbf","N")</f>
        <v>28150.570492176073</v>
      </c>
      <c r="O1375">
        <v>6328.5</v>
      </c>
      <c r="P1375">
        <f t="shared" si="21"/>
        <v>1.7309711286089235</v>
      </c>
    </row>
    <row r="1376" spans="1:16" hidden="1" x14ac:dyDescent="0.25">
      <c r="A1376">
        <v>0</v>
      </c>
      <c r="B1376">
        <v>5000</v>
      </c>
      <c r="C1376">
        <f>1.225 * (1 - 0.00000687559 * B1376) ^ 4.2561</f>
        <v>1.0555380742846066</v>
      </c>
      <c r="D1376">
        <f>E1376*(SQRT($C$2/C1376))</f>
        <v>21.545723806091175</v>
      </c>
      <c r="E1376">
        <v>20</v>
      </c>
      <c r="F1376">
        <v>1215</v>
      </c>
      <c r="G1376">
        <v>1750</v>
      </c>
      <c r="H1376">
        <f>CONVERT(G1376,"HP","kW")</f>
        <v>1304.974775268973</v>
      </c>
      <c r="I1376">
        <v>0.2273</v>
      </c>
      <c r="J1376">
        <v>0.1381</v>
      </c>
      <c r="K1376">
        <v>0.51819999999999999</v>
      </c>
      <c r="L1376">
        <v>0.15240000000000001</v>
      </c>
      <c r="M1376">
        <v>0.25080000000000002</v>
      </c>
      <c r="N1376">
        <f>CONVERT(O1376,"lbf","N")</f>
        <v>26762.725348214797</v>
      </c>
      <c r="O1376">
        <v>6016.5</v>
      </c>
      <c r="P1376">
        <f t="shared" si="21"/>
        <v>1.6456692913385826</v>
      </c>
    </row>
    <row r="1377" spans="1:16" hidden="1" x14ac:dyDescent="0.25">
      <c r="A1377">
        <v>0</v>
      </c>
      <c r="B1377">
        <v>5000</v>
      </c>
      <c r="C1377">
        <f>1.225 * (1 - 0.00000687559 * B1377) ^ 4.2561</f>
        <v>1.0555380742846066</v>
      </c>
      <c r="D1377">
        <f>E1377*(SQRT($C$2/C1377))</f>
        <v>43.09144761218235</v>
      </c>
      <c r="E1377">
        <v>40</v>
      </c>
      <c r="F1377">
        <v>1215</v>
      </c>
      <c r="G1377">
        <v>1750</v>
      </c>
      <c r="H1377">
        <f>CONVERT(G1377,"HP","kW")</f>
        <v>1304.974775268973</v>
      </c>
      <c r="I1377">
        <v>0.41789999999999999</v>
      </c>
      <c r="J1377">
        <v>0.27629999999999999</v>
      </c>
      <c r="K1377">
        <v>0.52480000000000004</v>
      </c>
      <c r="L1377">
        <v>0.15240000000000001</v>
      </c>
      <c r="M1377">
        <v>0.2306</v>
      </c>
      <c r="N1377">
        <f>CONVERT(O1377,"lbf","N")</f>
        <v>24600.444821036668</v>
      </c>
      <c r="O1377">
        <v>5530.4</v>
      </c>
      <c r="P1377">
        <f t="shared" si="21"/>
        <v>1.5131233595800524</v>
      </c>
    </row>
    <row r="1378" spans="1:16" hidden="1" x14ac:dyDescent="0.25">
      <c r="A1378">
        <v>0</v>
      </c>
      <c r="B1378">
        <v>5000</v>
      </c>
      <c r="C1378">
        <f>1.225 * (1 - 0.00000687559 * B1378) ^ 4.2561</f>
        <v>1.0555380742846066</v>
      </c>
      <c r="D1378">
        <f>E1378*(SQRT($C$2/C1378))</f>
        <v>64.637171418273525</v>
      </c>
      <c r="E1378">
        <v>60</v>
      </c>
      <c r="F1378">
        <v>1215</v>
      </c>
      <c r="G1378">
        <v>1750</v>
      </c>
      <c r="H1378">
        <f>CONVERT(G1378,"HP","kW")</f>
        <v>1304.974775268973</v>
      </c>
      <c r="I1378">
        <v>0.56720000000000004</v>
      </c>
      <c r="J1378">
        <v>0.41439999999999999</v>
      </c>
      <c r="K1378">
        <v>0.53249999999999997</v>
      </c>
      <c r="L1378">
        <v>0.15240000000000001</v>
      </c>
      <c r="M1378">
        <v>0.20860000000000001</v>
      </c>
      <c r="N1378">
        <f>CONVERT(O1378,"lbf","N")</f>
        <v>22258.456140602015</v>
      </c>
      <c r="O1378">
        <v>5003.8999999999996</v>
      </c>
      <c r="P1378">
        <f t="shared" si="21"/>
        <v>1.3687664041994752</v>
      </c>
    </row>
    <row r="1379" spans="1:16" hidden="1" x14ac:dyDescent="0.25">
      <c r="A1379">
        <v>0</v>
      </c>
      <c r="B1379">
        <v>5000</v>
      </c>
      <c r="C1379">
        <f>1.225 * (1 - 0.00000687559 * B1379) ^ 4.2561</f>
        <v>1.0555380742846066</v>
      </c>
      <c r="D1379">
        <f>E1379*(SQRT($C$2/C1379))</f>
        <v>107.72861903045587</v>
      </c>
      <c r="E1379">
        <v>100</v>
      </c>
      <c r="F1379">
        <v>1215</v>
      </c>
      <c r="G1379">
        <v>1750</v>
      </c>
      <c r="H1379">
        <f>CONVERT(G1379,"HP","kW")</f>
        <v>1304.974775268973</v>
      </c>
      <c r="I1379">
        <v>0.75090000000000001</v>
      </c>
      <c r="J1379">
        <v>0.69069999999999998</v>
      </c>
      <c r="K1379">
        <v>0.55120000000000002</v>
      </c>
      <c r="L1379">
        <v>0.15240000000000001</v>
      </c>
      <c r="M1379">
        <v>0.16569999999999999</v>
      </c>
      <c r="N1379">
        <f>CONVERT(O1379,"lbf","N")</f>
        <v>17682.57056498354</v>
      </c>
      <c r="O1379">
        <v>3975.2</v>
      </c>
      <c r="P1379">
        <f t="shared" si="21"/>
        <v>1.087270341207349</v>
      </c>
    </row>
    <row r="1380" spans="1:16" hidden="1" x14ac:dyDescent="0.25">
      <c r="A1380">
        <v>0</v>
      </c>
      <c r="B1380">
        <v>5000</v>
      </c>
      <c r="C1380">
        <f>1.225 * (1 - 0.00000687559 * B1380) ^ 4.2561</f>
        <v>1.0555380742846066</v>
      </c>
      <c r="D1380">
        <f>E1380*(SQRT($C$2/C1380))</f>
        <v>150.82006664263821</v>
      </c>
      <c r="E1380">
        <v>140</v>
      </c>
      <c r="F1380">
        <v>1215</v>
      </c>
      <c r="G1380">
        <v>1750</v>
      </c>
      <c r="H1380">
        <f>CONVERT(G1380,"HP","kW")</f>
        <v>1304.974775268973</v>
      </c>
      <c r="I1380">
        <v>0.83809999999999996</v>
      </c>
      <c r="J1380">
        <v>0.96699999999999997</v>
      </c>
      <c r="K1380">
        <v>0.5756</v>
      </c>
      <c r="L1380">
        <v>0.15240000000000001</v>
      </c>
      <c r="M1380">
        <v>0.1321</v>
      </c>
      <c r="N1380">
        <f>CONVERT(O1380,"lbf","N")</f>
        <v>14095.524654437473</v>
      </c>
      <c r="O1380">
        <v>3168.8</v>
      </c>
      <c r="P1380">
        <f t="shared" si="21"/>
        <v>0.86679790026246717</v>
      </c>
    </row>
    <row r="1381" spans="1:16" hidden="1" x14ac:dyDescent="0.25">
      <c r="A1381">
        <v>0</v>
      </c>
      <c r="B1381">
        <v>5000</v>
      </c>
      <c r="C1381">
        <f>1.225 * (1 - 0.00000687559 * B1381) ^ 4.2561</f>
        <v>1.0555380742846066</v>
      </c>
      <c r="D1381">
        <f>E1381*(SQRT($C$2/C1381))</f>
        <v>172.3657904487294</v>
      </c>
      <c r="E1381">
        <v>160</v>
      </c>
      <c r="F1381">
        <v>1215</v>
      </c>
      <c r="G1381">
        <v>1750</v>
      </c>
      <c r="H1381">
        <f>CONVERT(G1381,"HP","kW")</f>
        <v>1304.974775268973</v>
      </c>
      <c r="I1381">
        <v>0.86129999999999995</v>
      </c>
      <c r="J1381">
        <v>1.1051</v>
      </c>
      <c r="K1381">
        <v>0.58989999999999998</v>
      </c>
      <c r="L1381">
        <v>0.15240000000000001</v>
      </c>
      <c r="M1381">
        <v>0.1188</v>
      </c>
      <c r="N1381">
        <f>CONVERT(O1381,"lbf","N")</f>
        <v>12675.207492684796</v>
      </c>
      <c r="O1381">
        <v>2849.5</v>
      </c>
      <c r="P1381">
        <f t="shared" si="21"/>
        <v>0.77952755905511806</v>
      </c>
    </row>
    <row r="1382" spans="1:16" hidden="1" x14ac:dyDescent="0.25">
      <c r="A1382">
        <v>0</v>
      </c>
      <c r="B1382">
        <v>5000</v>
      </c>
      <c r="C1382">
        <f>1.225 * (1 - 0.00000687559 * B1382) ^ 4.2561</f>
        <v>1.0555380742846066</v>
      </c>
      <c r="D1382">
        <f>E1382*(SQRT($C$2/C1382))</f>
        <v>215.45723806091175</v>
      </c>
      <c r="E1382">
        <v>200</v>
      </c>
      <c r="F1382">
        <v>1215</v>
      </c>
      <c r="G1382">
        <v>1750</v>
      </c>
      <c r="H1382">
        <f>CONVERT(G1382,"HP","kW")</f>
        <v>1304.974775268973</v>
      </c>
      <c r="I1382">
        <v>0.88439999999999996</v>
      </c>
      <c r="J1382">
        <v>1.3814</v>
      </c>
      <c r="K1382">
        <v>0.62280000000000002</v>
      </c>
      <c r="L1382">
        <v>0.15240000000000001</v>
      </c>
      <c r="M1382">
        <v>9.7600000000000006E-2</v>
      </c>
      <c r="N1382">
        <f>CONVERT(O1382,"lbf","N")</f>
        <v>10412.397157001778</v>
      </c>
      <c r="O1382">
        <v>2340.8000000000002</v>
      </c>
      <c r="P1382">
        <f t="shared" si="21"/>
        <v>0.64041994750656173</v>
      </c>
    </row>
    <row r="1383" spans="1:16" hidden="1" x14ac:dyDescent="0.25">
      <c r="A1383">
        <v>0</v>
      </c>
      <c r="B1383">
        <v>10000</v>
      </c>
      <c r="C1383">
        <f>1.225 * (1 - 0.00000687559 * B1383) ^ 4.2561</f>
        <v>0.90462252368600637</v>
      </c>
      <c r="D1383">
        <f>E1383*(SQRT($C$2/C1383))</f>
        <v>23.273641570654068</v>
      </c>
      <c r="E1383">
        <v>20</v>
      </c>
      <c r="F1383">
        <v>1215</v>
      </c>
      <c r="G1383">
        <v>1500</v>
      </c>
      <c r="H1383">
        <f>CONVERT(G1383,"HP","kW")</f>
        <v>1118.5498073734054</v>
      </c>
      <c r="I1383">
        <v>0.24399999999999999</v>
      </c>
      <c r="J1383">
        <v>0.1492</v>
      </c>
      <c r="K1383">
        <v>0.52810000000000001</v>
      </c>
      <c r="L1383">
        <v>0.15240000000000001</v>
      </c>
      <c r="M1383">
        <v>0.24929999999999999</v>
      </c>
      <c r="N1383">
        <f>CONVERT(O1383,"lbf","N")</f>
        <v>22800.249533340746</v>
      </c>
      <c r="O1383">
        <v>5125.7</v>
      </c>
      <c r="P1383">
        <f t="shared" si="21"/>
        <v>1.6358267716535433</v>
      </c>
    </row>
    <row r="1384" spans="1:16" hidden="1" x14ac:dyDescent="0.25">
      <c r="A1384">
        <v>0</v>
      </c>
      <c r="B1384">
        <v>10000</v>
      </c>
      <c r="C1384">
        <f>1.225 * (1 - 0.00000687559 * B1384) ^ 4.2561</f>
        <v>0.90462252368600637</v>
      </c>
      <c r="D1384">
        <f>E1384*(SQRT($C$2/C1384))</f>
        <v>139.64184942392441</v>
      </c>
      <c r="E1384">
        <v>120</v>
      </c>
      <c r="F1384">
        <v>1215</v>
      </c>
      <c r="G1384">
        <v>1500</v>
      </c>
      <c r="H1384">
        <f>CONVERT(G1384,"HP","kW")</f>
        <v>1118.5498073734054</v>
      </c>
      <c r="I1384">
        <v>0.82140000000000002</v>
      </c>
      <c r="J1384">
        <v>0.89529999999999998</v>
      </c>
      <c r="K1384">
        <v>0.57909999999999995</v>
      </c>
      <c r="L1384">
        <v>0.15240000000000001</v>
      </c>
      <c r="M1384">
        <v>0.1399</v>
      </c>
      <c r="N1384">
        <f>CONVERT(O1384,"lbf","N")</f>
        <v>12790.416432520042</v>
      </c>
      <c r="O1384">
        <v>2875.4</v>
      </c>
      <c r="P1384">
        <f t="shared" si="21"/>
        <v>0.9179790026246718</v>
      </c>
    </row>
    <row r="1385" spans="1:16" hidden="1" x14ac:dyDescent="0.25">
      <c r="A1385">
        <v>0</v>
      </c>
      <c r="B1385">
        <v>10000</v>
      </c>
      <c r="C1385">
        <f>1.225 * (1 - 0.00000687559 * B1385) ^ 4.2561</f>
        <v>0.90462252368600637</v>
      </c>
      <c r="D1385">
        <f>E1385*(SQRT($C$2/C1385))</f>
        <v>209.4627741358866</v>
      </c>
      <c r="E1385">
        <v>180</v>
      </c>
      <c r="F1385">
        <v>1215</v>
      </c>
      <c r="G1385">
        <v>1500</v>
      </c>
      <c r="H1385">
        <f>CONVERT(G1385,"HP","kW")</f>
        <v>1118.5498073734054</v>
      </c>
      <c r="I1385">
        <v>0.88260000000000005</v>
      </c>
      <c r="J1385">
        <v>1.3429</v>
      </c>
      <c r="K1385">
        <v>0.62919999999999998</v>
      </c>
      <c r="L1385">
        <v>0.15240000000000001</v>
      </c>
      <c r="M1385">
        <v>0.1002</v>
      </c>
      <c r="N1385">
        <f>CONVERT(O1385,"lbf","N")</f>
        <v>9161.1124166289992</v>
      </c>
      <c r="O1385">
        <v>2059.5</v>
      </c>
      <c r="P1385">
        <f t="shared" si="21"/>
        <v>0.65748031496062986</v>
      </c>
    </row>
    <row r="1386" spans="1:16" hidden="1" x14ac:dyDescent="0.25">
      <c r="A1386">
        <v>0</v>
      </c>
      <c r="B1386">
        <v>10000</v>
      </c>
      <c r="C1386">
        <f>1.225 * (1 - 0.00000687559 * B1386) ^ 4.2561</f>
        <v>0.90462252368600637</v>
      </c>
      <c r="D1386">
        <f>E1386*(SQRT($C$2/C1386))</f>
        <v>302.55734041850286</v>
      </c>
      <c r="E1386">
        <v>260</v>
      </c>
      <c r="F1386">
        <v>1215</v>
      </c>
      <c r="G1386">
        <v>1500</v>
      </c>
      <c r="H1386">
        <f>CONVERT(G1386,"HP","kW")</f>
        <v>1118.5498073734054</v>
      </c>
      <c r="I1386">
        <v>0.83540000000000003</v>
      </c>
      <c r="J1386">
        <v>1.9398</v>
      </c>
      <c r="K1386">
        <v>0.71640000000000004</v>
      </c>
      <c r="L1386">
        <v>0.15240000000000001</v>
      </c>
      <c r="M1386">
        <v>6.5600000000000006E-2</v>
      </c>
      <c r="N1386">
        <f>CONVERT(O1386,"lbf","N")</f>
        <v>6003.7647141170964</v>
      </c>
      <c r="O1386">
        <v>1349.7</v>
      </c>
      <c r="P1386">
        <f t="shared" si="21"/>
        <v>0.43044619422572178</v>
      </c>
    </row>
    <row r="1387" spans="1:16" hidden="1" x14ac:dyDescent="0.25">
      <c r="A1387">
        <v>0</v>
      </c>
      <c r="B1387">
        <v>5000</v>
      </c>
      <c r="C1387">
        <f>1.225 * (1 - 0.00000687559 * B1387) ^ 4.2561</f>
        <v>1.0555380742846066</v>
      </c>
      <c r="D1387">
        <f>E1387*(SQRT($C$2/C1387))</f>
        <v>86.1828952243647</v>
      </c>
      <c r="E1387">
        <v>80</v>
      </c>
      <c r="F1387">
        <v>1215</v>
      </c>
      <c r="G1387">
        <v>1750</v>
      </c>
      <c r="H1387">
        <f>CONVERT(G1387,"HP","kW")</f>
        <v>1304.974775268973</v>
      </c>
      <c r="I1387">
        <v>0.67530000000000001</v>
      </c>
      <c r="J1387">
        <v>0.55259999999999998</v>
      </c>
      <c r="K1387">
        <v>0.54120000000000001</v>
      </c>
      <c r="L1387">
        <v>0.1525</v>
      </c>
      <c r="M1387">
        <v>0.18629999999999999</v>
      </c>
      <c r="N1387">
        <f>CONVERT(O1387,"lbf","N")</f>
        <v>19877.767932114595</v>
      </c>
      <c r="O1387">
        <v>4468.7</v>
      </c>
      <c r="P1387">
        <f t="shared" si="21"/>
        <v>1.221639344262295</v>
      </c>
    </row>
    <row r="1388" spans="1:16" hidden="1" x14ac:dyDescent="0.25">
      <c r="A1388">
        <v>0</v>
      </c>
      <c r="B1388">
        <v>5000</v>
      </c>
      <c r="C1388">
        <f>1.225 * (1 - 0.00000687559 * B1388) ^ 4.2561</f>
        <v>1.0555380742846066</v>
      </c>
      <c r="D1388">
        <f>E1388*(SQRT($C$2/C1388))</f>
        <v>129.27434283654705</v>
      </c>
      <c r="E1388">
        <v>120</v>
      </c>
      <c r="F1388">
        <v>1215</v>
      </c>
      <c r="G1388">
        <v>1750</v>
      </c>
      <c r="H1388">
        <f>CONVERT(G1388,"HP","kW")</f>
        <v>1304.974775268973</v>
      </c>
      <c r="I1388">
        <v>0.80289999999999995</v>
      </c>
      <c r="J1388">
        <v>0.82879999999999998</v>
      </c>
      <c r="K1388">
        <v>0.56259999999999999</v>
      </c>
      <c r="L1388">
        <v>0.1525</v>
      </c>
      <c r="M1388">
        <v>0.1477</v>
      </c>
      <c r="N1388">
        <f>CONVERT(O1388,"lbf","N")</f>
        <v>15755.156139091165</v>
      </c>
      <c r="O1388">
        <v>3541.9</v>
      </c>
      <c r="P1388">
        <f t="shared" si="21"/>
        <v>0.96852459016393444</v>
      </c>
    </row>
    <row r="1389" spans="1:16" hidden="1" x14ac:dyDescent="0.25">
      <c r="A1389">
        <v>0</v>
      </c>
      <c r="B1389">
        <v>10000</v>
      </c>
      <c r="C1389">
        <f>1.225 * (1 - 0.00000687559 * B1389) ^ 4.2561</f>
        <v>0.90462252368600637</v>
      </c>
      <c r="D1389">
        <f>E1389*(SQRT($C$2/C1389))</f>
        <v>0</v>
      </c>
      <c r="E1389">
        <v>0</v>
      </c>
      <c r="F1389">
        <v>1215</v>
      </c>
      <c r="G1389">
        <v>1500</v>
      </c>
      <c r="H1389">
        <f>CONVERT(G1389,"HP","kW")</f>
        <v>1118.5498073734054</v>
      </c>
      <c r="I1389">
        <v>0</v>
      </c>
      <c r="J1389">
        <v>0</v>
      </c>
      <c r="K1389">
        <v>0.52210000000000001</v>
      </c>
      <c r="L1389">
        <v>0.1525</v>
      </c>
      <c r="M1389">
        <v>0.26350000000000001</v>
      </c>
      <c r="N1389">
        <f>CONVERT(O1389,"lbf","N")</f>
        <v>24092.013090412398</v>
      </c>
      <c r="O1389">
        <v>5416.1</v>
      </c>
      <c r="P1389">
        <f t="shared" si="21"/>
        <v>1.7278688524590164</v>
      </c>
    </row>
    <row r="1390" spans="1:16" hidden="1" x14ac:dyDescent="0.25">
      <c r="A1390">
        <v>0</v>
      </c>
      <c r="B1390">
        <v>10000</v>
      </c>
      <c r="C1390">
        <f>1.225 * (1 - 0.00000687559 * B1390) ^ 4.2561</f>
        <v>0.90462252368600637</v>
      </c>
      <c r="D1390">
        <f>E1390*(SQRT($C$2/C1390))</f>
        <v>46.547283141308135</v>
      </c>
      <c r="E1390">
        <v>40</v>
      </c>
      <c r="F1390">
        <v>1215</v>
      </c>
      <c r="G1390">
        <v>1500</v>
      </c>
      <c r="H1390">
        <f>CONVERT(G1390,"HP","kW")</f>
        <v>1118.5498073734054</v>
      </c>
      <c r="I1390">
        <v>0.44419999999999998</v>
      </c>
      <c r="J1390">
        <v>0.2984</v>
      </c>
      <c r="K1390">
        <v>0.53559999999999997</v>
      </c>
      <c r="L1390">
        <v>0.1525</v>
      </c>
      <c r="M1390">
        <v>0.22689999999999999</v>
      </c>
      <c r="N1390">
        <f>CONVERT(O1390,"lbf","N")</f>
        <v>20749.174546544131</v>
      </c>
      <c r="O1390">
        <v>4664.6000000000004</v>
      </c>
      <c r="P1390">
        <f t="shared" si="21"/>
        <v>1.4878688524590165</v>
      </c>
    </row>
    <row r="1391" spans="1:16" hidden="1" x14ac:dyDescent="0.25">
      <c r="A1391">
        <v>0</v>
      </c>
      <c r="B1391">
        <v>10000</v>
      </c>
      <c r="C1391">
        <f>1.225 * (1 - 0.00000687559 * B1391) ^ 4.2561</f>
        <v>0.90462252368600637</v>
      </c>
      <c r="D1391">
        <f>E1391*(SQRT($C$2/C1391))</f>
        <v>69.820924711962206</v>
      </c>
      <c r="E1391">
        <v>60</v>
      </c>
      <c r="F1391">
        <v>1215</v>
      </c>
      <c r="G1391">
        <v>1500</v>
      </c>
      <c r="H1391">
        <f>CONVERT(G1391,"HP","kW")</f>
        <v>1118.5498073734054</v>
      </c>
      <c r="I1391">
        <v>0.59650000000000003</v>
      </c>
      <c r="J1391">
        <v>0.4476</v>
      </c>
      <c r="K1391">
        <v>0.54420000000000002</v>
      </c>
      <c r="L1391">
        <v>0.1525</v>
      </c>
      <c r="M1391">
        <v>0.20319999999999999</v>
      </c>
      <c r="N1391">
        <f>CONVERT(O1391,"lbf","N")</f>
        <v>18574.43899884327</v>
      </c>
      <c r="O1391">
        <v>4175.7</v>
      </c>
      <c r="P1391">
        <f t="shared" si="21"/>
        <v>1.3324590163934427</v>
      </c>
    </row>
    <row r="1392" spans="1:16" hidden="1" x14ac:dyDescent="0.25">
      <c r="A1392">
        <v>0</v>
      </c>
      <c r="B1392">
        <v>10000</v>
      </c>
      <c r="C1392">
        <f>1.225 * (1 - 0.00000687559 * B1392) ^ 4.2561</f>
        <v>0.90462252368600637</v>
      </c>
      <c r="D1392">
        <f>E1392*(SQRT($C$2/C1392))</f>
        <v>93.09456628261627</v>
      </c>
      <c r="E1392">
        <v>80</v>
      </c>
      <c r="F1392">
        <v>1215</v>
      </c>
      <c r="G1392">
        <v>1500</v>
      </c>
      <c r="H1392">
        <f>CONVERT(G1392,"HP","kW")</f>
        <v>1118.5498073734054</v>
      </c>
      <c r="I1392">
        <v>0.70230000000000004</v>
      </c>
      <c r="J1392">
        <v>0.59689999999999999</v>
      </c>
      <c r="K1392">
        <v>0.55420000000000003</v>
      </c>
      <c r="L1392">
        <v>0.1525</v>
      </c>
      <c r="M1392">
        <v>0.1794</v>
      </c>
      <c r="N1392">
        <f>CONVERT(O1392,"lbf","N")</f>
        <v>16403.706850596147</v>
      </c>
      <c r="O1392">
        <v>3687.7</v>
      </c>
      <c r="P1392">
        <f t="shared" si="21"/>
        <v>1.176393442622951</v>
      </c>
    </row>
    <row r="1393" spans="1:16" hidden="1" x14ac:dyDescent="0.25">
      <c r="A1393">
        <v>0</v>
      </c>
      <c r="B1393">
        <v>10000</v>
      </c>
      <c r="C1393">
        <f>1.225 * (1 - 0.00000687559 * B1393) ^ 4.2561</f>
        <v>0.90462252368600637</v>
      </c>
      <c r="D1393">
        <f>E1393*(SQRT($C$2/C1393))</f>
        <v>116.36820785327033</v>
      </c>
      <c r="E1393">
        <v>100</v>
      </c>
      <c r="F1393">
        <v>1215</v>
      </c>
      <c r="G1393">
        <v>1500</v>
      </c>
      <c r="H1393">
        <f>CONVERT(G1393,"HP","kW")</f>
        <v>1118.5498073734054</v>
      </c>
      <c r="I1393">
        <v>0.77400000000000002</v>
      </c>
      <c r="J1393">
        <v>0.74609999999999999</v>
      </c>
      <c r="K1393">
        <v>0.56569999999999998</v>
      </c>
      <c r="L1393">
        <v>0.1525</v>
      </c>
      <c r="M1393">
        <v>0.15820000000000001</v>
      </c>
      <c r="N1393">
        <f>CONVERT(O1393,"lbf","N")</f>
        <v>14461.613293373412</v>
      </c>
      <c r="O1393">
        <v>3251.1</v>
      </c>
      <c r="P1393">
        <f t="shared" si="21"/>
        <v>1.037377049180328</v>
      </c>
    </row>
    <row r="1394" spans="1:16" hidden="1" x14ac:dyDescent="0.25">
      <c r="A1394">
        <v>0</v>
      </c>
      <c r="B1394">
        <v>10000</v>
      </c>
      <c r="C1394">
        <f>1.225 * (1 - 0.00000687559 * B1394) ^ 4.2561</f>
        <v>0.90462252368600637</v>
      </c>
      <c r="D1394">
        <f>E1394*(SQRT($C$2/C1394))</f>
        <v>162.91549099457848</v>
      </c>
      <c r="E1394">
        <v>140</v>
      </c>
      <c r="F1394">
        <v>1215</v>
      </c>
      <c r="G1394">
        <v>1500</v>
      </c>
      <c r="H1394">
        <f>CONVERT(G1394,"HP","kW")</f>
        <v>1118.5498073734054</v>
      </c>
      <c r="I1394">
        <v>0.85219999999999996</v>
      </c>
      <c r="J1394">
        <v>1.0445</v>
      </c>
      <c r="K1394">
        <v>0.59409999999999996</v>
      </c>
      <c r="L1394">
        <v>0.1525</v>
      </c>
      <c r="M1394">
        <v>0.1244</v>
      </c>
      <c r="N1394">
        <f>CONVERT(O1394,"lbf","N")</f>
        <v>11374.1026702211</v>
      </c>
      <c r="O1394">
        <v>2557</v>
      </c>
      <c r="P1394">
        <f t="shared" si="21"/>
        <v>0.81573770491803277</v>
      </c>
    </row>
    <row r="1395" spans="1:16" hidden="1" x14ac:dyDescent="0.25">
      <c r="A1395">
        <v>0</v>
      </c>
      <c r="B1395">
        <v>10000</v>
      </c>
      <c r="C1395">
        <f>1.225 * (1 - 0.00000687559 * B1395) ^ 4.2561</f>
        <v>0.90462252368600637</v>
      </c>
      <c r="D1395">
        <f>E1395*(SQRT($C$2/C1395))</f>
        <v>186.18913256523254</v>
      </c>
      <c r="E1395">
        <v>160</v>
      </c>
      <c r="F1395">
        <v>1215</v>
      </c>
      <c r="G1395">
        <v>1500</v>
      </c>
      <c r="H1395">
        <f>CONVERT(G1395,"HP","kW")</f>
        <v>1118.5498073734054</v>
      </c>
      <c r="I1395">
        <v>0.87150000000000005</v>
      </c>
      <c r="J1395">
        <v>1.1937</v>
      </c>
      <c r="K1395">
        <v>0.6109</v>
      </c>
      <c r="L1395">
        <v>0.1525</v>
      </c>
      <c r="M1395">
        <v>0.1113</v>
      </c>
      <c r="N1395">
        <f>CONVERT(O1395,"lbf","N")</f>
        <v>10177.531055716025</v>
      </c>
      <c r="O1395">
        <v>2288</v>
      </c>
      <c r="P1395">
        <f t="shared" si="21"/>
        <v>0.72983606557377045</v>
      </c>
    </row>
    <row r="1396" spans="1:16" hidden="1" x14ac:dyDescent="0.25">
      <c r="A1396">
        <v>0</v>
      </c>
      <c r="B1396">
        <v>5000</v>
      </c>
      <c r="C1396">
        <f>1.225 * (1 - 0.00000687559 * B1396) ^ 4.2561</f>
        <v>1.0555380742846066</v>
      </c>
      <c r="D1396">
        <f>E1396*(SQRT($C$2/C1396))</f>
        <v>215.45723806091175</v>
      </c>
      <c r="E1396">
        <v>200</v>
      </c>
      <c r="F1396">
        <v>1150</v>
      </c>
      <c r="G1396">
        <v>1500</v>
      </c>
      <c r="H1396">
        <f>CONVERT(G1396,"HP","kW")</f>
        <v>1118.5498073734054</v>
      </c>
      <c r="I1396">
        <v>0.88729999999999998</v>
      </c>
      <c r="J1396">
        <v>1.4595</v>
      </c>
      <c r="K1396">
        <v>0.59919999999999995</v>
      </c>
      <c r="L1396">
        <v>0.154</v>
      </c>
      <c r="M1396">
        <v>9.3600000000000003E-2</v>
      </c>
      <c r="N1396">
        <f>CONVERT(O1396,"lbf","N")</f>
        <v>8953.825289357861</v>
      </c>
      <c r="O1396">
        <v>2012.9</v>
      </c>
      <c r="P1396">
        <f t="shared" si="21"/>
        <v>0.60779220779220777</v>
      </c>
    </row>
    <row r="1397" spans="1:16" hidden="1" x14ac:dyDescent="0.25">
      <c r="A1397">
        <v>0</v>
      </c>
      <c r="B1397">
        <v>5000</v>
      </c>
      <c r="C1397">
        <f>1.225 * (1 - 0.00000687559 * B1397) ^ 4.2561</f>
        <v>1.0555380742846066</v>
      </c>
      <c r="D1397">
        <f>E1397*(SQRT($C$2/C1397))</f>
        <v>237.00296186700291</v>
      </c>
      <c r="E1397">
        <v>220</v>
      </c>
      <c r="F1397">
        <v>1150</v>
      </c>
      <c r="G1397">
        <v>1500</v>
      </c>
      <c r="H1397">
        <f>CONVERT(G1397,"HP","kW")</f>
        <v>1118.5498073734054</v>
      </c>
      <c r="I1397">
        <v>0.88839999999999997</v>
      </c>
      <c r="J1397">
        <v>1.6053999999999999</v>
      </c>
      <c r="K1397">
        <v>0.61819999999999997</v>
      </c>
      <c r="L1397">
        <v>0.154</v>
      </c>
      <c r="M1397">
        <v>8.5199999999999998E-2</v>
      </c>
      <c r="N1397">
        <f>CONVERT(O1397,"lbf","N")</f>
        <v>8150.0316434802889</v>
      </c>
      <c r="O1397">
        <v>1832.2</v>
      </c>
      <c r="P1397">
        <f t="shared" si="21"/>
        <v>0.55324675324675321</v>
      </c>
    </row>
    <row r="1398" spans="1:16" hidden="1" x14ac:dyDescent="0.25">
      <c r="A1398">
        <v>0</v>
      </c>
      <c r="B1398">
        <v>5000</v>
      </c>
      <c r="C1398">
        <f>1.225 * (1 - 0.00000687559 * B1398) ^ 4.2561</f>
        <v>1.0555380742846066</v>
      </c>
      <c r="D1398">
        <f>E1398*(SQRT($C$2/C1398))</f>
        <v>258.5486856730941</v>
      </c>
      <c r="E1398">
        <v>240</v>
      </c>
      <c r="F1398">
        <v>1150</v>
      </c>
      <c r="G1398">
        <v>1500</v>
      </c>
      <c r="H1398">
        <f>CONVERT(G1398,"HP","kW")</f>
        <v>1118.5498073734054</v>
      </c>
      <c r="I1398">
        <v>0.88419999999999999</v>
      </c>
      <c r="J1398">
        <v>1.7513000000000001</v>
      </c>
      <c r="K1398">
        <v>0.63829999999999998</v>
      </c>
      <c r="L1398">
        <v>0.154</v>
      </c>
      <c r="M1398">
        <v>7.7700000000000005E-2</v>
      </c>
      <c r="N1398">
        <f>CONVERT(O1398,"lbf","N")</f>
        <v>7435.6472520694515</v>
      </c>
      <c r="O1398">
        <v>1671.6</v>
      </c>
      <c r="P1398">
        <f t="shared" si="21"/>
        <v>0.50454545454545463</v>
      </c>
    </row>
    <row r="1399" spans="1:16" hidden="1" x14ac:dyDescent="0.25">
      <c r="A1399">
        <v>0</v>
      </c>
      <c r="B1399">
        <v>5000</v>
      </c>
      <c r="C1399">
        <f>1.225 * (1 - 0.00000687559 * B1399) ^ 4.2561</f>
        <v>1.0555380742846066</v>
      </c>
      <c r="D1399">
        <f>E1399*(SQRT($C$2/C1399))</f>
        <v>280.09440947918529</v>
      </c>
      <c r="E1399">
        <v>260</v>
      </c>
      <c r="F1399">
        <v>1150</v>
      </c>
      <c r="G1399">
        <v>1500</v>
      </c>
      <c r="H1399">
        <f>CONVERT(G1399,"HP","kW")</f>
        <v>1118.5498073734054</v>
      </c>
      <c r="I1399">
        <v>0.87429999999999997</v>
      </c>
      <c r="J1399">
        <v>1.8973</v>
      </c>
      <c r="K1399">
        <v>0.65949999999999998</v>
      </c>
      <c r="L1399">
        <v>0.154</v>
      </c>
      <c r="M1399">
        <v>7.0900000000000005E-2</v>
      </c>
      <c r="N1399">
        <f>CONVERT(O1399,"lbf","N")</f>
        <v>6786.6517184029444</v>
      </c>
      <c r="O1399">
        <v>1525.7</v>
      </c>
      <c r="P1399">
        <f t="shared" si="21"/>
        <v>0.4603896103896104</v>
      </c>
    </row>
    <row r="1400" spans="1:16" hidden="1" x14ac:dyDescent="0.25">
      <c r="A1400">
        <v>0</v>
      </c>
      <c r="B1400">
        <v>5000</v>
      </c>
      <c r="C1400">
        <f>1.225 * (1 - 0.00000687559 * B1400) ^ 4.2561</f>
        <v>1.0555380742846066</v>
      </c>
      <c r="D1400">
        <f>E1400*(SQRT($C$2/C1400))</f>
        <v>0</v>
      </c>
      <c r="E1400">
        <v>0</v>
      </c>
      <c r="F1400">
        <v>1150</v>
      </c>
      <c r="G1400">
        <v>1500</v>
      </c>
      <c r="H1400">
        <f>CONVERT(G1400,"HP","kW")</f>
        <v>1118.5498073734054</v>
      </c>
      <c r="I1400">
        <v>0</v>
      </c>
      <c r="J1400">
        <v>0</v>
      </c>
      <c r="K1400">
        <v>0.48520000000000002</v>
      </c>
      <c r="L1400">
        <v>0.15409999999999999</v>
      </c>
      <c r="M1400">
        <v>0.26590000000000003</v>
      </c>
      <c r="N1400">
        <f>CONVERT(O1400,"lbf","N")</f>
        <v>25412.690087983236</v>
      </c>
      <c r="O1400">
        <v>5713</v>
      </c>
      <c r="P1400">
        <f t="shared" si="21"/>
        <v>1.7255029201817005</v>
      </c>
    </row>
    <row r="1401" spans="1:16" hidden="1" x14ac:dyDescent="0.25">
      <c r="A1401">
        <v>0</v>
      </c>
      <c r="B1401">
        <v>5000</v>
      </c>
      <c r="C1401">
        <f>1.225 * (1 - 0.00000687559 * B1401) ^ 4.2561</f>
        <v>1.0555380742846066</v>
      </c>
      <c r="D1401">
        <f>E1401*(SQRT($C$2/C1401))</f>
        <v>43.09144761218235</v>
      </c>
      <c r="E1401">
        <v>40</v>
      </c>
      <c r="F1401">
        <v>1150</v>
      </c>
      <c r="G1401">
        <v>1500</v>
      </c>
      <c r="H1401">
        <f>CONVERT(G1401,"HP","kW")</f>
        <v>1118.5498073734054</v>
      </c>
      <c r="I1401">
        <v>0.43609999999999999</v>
      </c>
      <c r="J1401">
        <v>0.29189999999999999</v>
      </c>
      <c r="K1401">
        <v>0.4975</v>
      </c>
      <c r="L1401">
        <v>0.15409999999999999</v>
      </c>
      <c r="M1401">
        <v>0.23019999999999999</v>
      </c>
      <c r="N1401">
        <f>CONVERT(O1401,"lbf","N")</f>
        <v>22002.238575563009</v>
      </c>
      <c r="O1401">
        <v>4946.3</v>
      </c>
      <c r="P1401">
        <f t="shared" si="21"/>
        <v>1.4938351719662557</v>
      </c>
    </row>
    <row r="1402" spans="1:16" hidden="1" x14ac:dyDescent="0.25">
      <c r="A1402">
        <v>0</v>
      </c>
      <c r="B1402">
        <v>5000</v>
      </c>
      <c r="C1402">
        <f>1.225 * (1 - 0.00000687559 * B1402) ^ 4.2561</f>
        <v>1.0555380742846066</v>
      </c>
      <c r="D1402">
        <f>E1402*(SQRT($C$2/C1402))</f>
        <v>64.637171418273525</v>
      </c>
      <c r="E1402">
        <v>60</v>
      </c>
      <c r="F1402">
        <v>1150</v>
      </c>
      <c r="G1402">
        <v>1500</v>
      </c>
      <c r="H1402">
        <f>CONVERT(G1402,"HP","kW")</f>
        <v>1118.5498073734054</v>
      </c>
      <c r="I1402">
        <v>0.58750000000000002</v>
      </c>
      <c r="J1402">
        <v>0.43780000000000002</v>
      </c>
      <c r="K1402">
        <v>0.50529999999999997</v>
      </c>
      <c r="L1402">
        <v>0.15409999999999999</v>
      </c>
      <c r="M1402">
        <v>0.20680000000000001</v>
      </c>
      <c r="N1402">
        <f>CONVERT(O1402,"lbf","N")</f>
        <v>19763.448636602403</v>
      </c>
      <c r="O1402">
        <v>4443</v>
      </c>
      <c r="P1402">
        <f t="shared" si="21"/>
        <v>1.3419857235561325</v>
      </c>
    </row>
    <row r="1403" spans="1:16" hidden="1" x14ac:dyDescent="0.25">
      <c r="A1403">
        <v>0</v>
      </c>
      <c r="B1403">
        <v>5000</v>
      </c>
      <c r="C1403">
        <f>1.225 * (1 - 0.00000687559 * B1403) ^ 4.2561</f>
        <v>1.0555380742846066</v>
      </c>
      <c r="D1403">
        <f>E1403*(SQRT($C$2/C1403))</f>
        <v>86.1828952243647</v>
      </c>
      <c r="E1403">
        <v>80</v>
      </c>
      <c r="F1403">
        <v>1150</v>
      </c>
      <c r="G1403">
        <v>1500</v>
      </c>
      <c r="H1403">
        <f>CONVERT(G1403,"HP","kW")</f>
        <v>1118.5498073734054</v>
      </c>
      <c r="I1403">
        <v>0.69420000000000004</v>
      </c>
      <c r="J1403">
        <v>0.58379999999999999</v>
      </c>
      <c r="K1403">
        <v>0.51419999999999999</v>
      </c>
      <c r="L1403">
        <v>0.15409999999999999</v>
      </c>
      <c r="M1403">
        <v>0.1832</v>
      </c>
      <c r="N1403">
        <f>CONVERT(O1403,"lbf","N")</f>
        <v>17513.982965765168</v>
      </c>
      <c r="O1403">
        <v>3937.3</v>
      </c>
      <c r="P1403">
        <f t="shared" si="21"/>
        <v>1.1888384166125894</v>
      </c>
    </row>
    <row r="1404" spans="1:16" hidden="1" x14ac:dyDescent="0.25">
      <c r="A1404">
        <v>0</v>
      </c>
      <c r="B1404">
        <v>5000</v>
      </c>
      <c r="C1404">
        <f>1.225 * (1 - 0.00000687559 * B1404) ^ 4.2561</f>
        <v>1.0555380742846066</v>
      </c>
      <c r="D1404">
        <f>E1404*(SQRT($C$2/C1404))</f>
        <v>107.72861903045587</v>
      </c>
      <c r="E1404">
        <v>100</v>
      </c>
      <c r="F1404">
        <v>1150</v>
      </c>
      <c r="G1404">
        <v>1500</v>
      </c>
      <c r="H1404">
        <f>CONVERT(G1404,"HP","kW")</f>
        <v>1118.5498073734054</v>
      </c>
      <c r="I1404">
        <v>0.7671</v>
      </c>
      <c r="J1404">
        <v>0.72970000000000002</v>
      </c>
      <c r="K1404">
        <v>0.52459999999999996</v>
      </c>
      <c r="L1404">
        <v>0.15409999999999999</v>
      </c>
      <c r="M1404">
        <v>0.16200000000000001</v>
      </c>
      <c r="N1404">
        <f>CONVERT(O1404,"lbf","N")</f>
        <v>15482.480154075696</v>
      </c>
      <c r="O1404">
        <v>3480.6</v>
      </c>
      <c r="P1404">
        <f t="shared" si="21"/>
        <v>1.0512654120700844</v>
      </c>
    </row>
    <row r="1405" spans="1:16" hidden="1" x14ac:dyDescent="0.25">
      <c r="A1405">
        <v>0</v>
      </c>
      <c r="B1405">
        <v>5000</v>
      </c>
      <c r="C1405">
        <f>1.225 * (1 - 0.00000687559 * B1405) ^ 4.2561</f>
        <v>1.0555380742846066</v>
      </c>
      <c r="D1405">
        <f>E1405*(SQRT($C$2/C1405))</f>
        <v>129.27434283654705</v>
      </c>
      <c r="E1405">
        <v>120</v>
      </c>
      <c r="F1405">
        <v>1150</v>
      </c>
      <c r="G1405">
        <v>1500</v>
      </c>
      <c r="H1405">
        <f>CONVERT(G1405,"HP","kW")</f>
        <v>1118.5498073734054</v>
      </c>
      <c r="I1405">
        <v>0.81599999999999995</v>
      </c>
      <c r="J1405">
        <v>0.87570000000000003</v>
      </c>
      <c r="K1405">
        <v>0.53649999999999998</v>
      </c>
      <c r="L1405">
        <v>0.15409999999999999</v>
      </c>
      <c r="M1405">
        <v>0.14360000000000001</v>
      </c>
      <c r="N1405">
        <f>CONVERT(O1405,"lbf","N")</f>
        <v>13724.542971724748</v>
      </c>
      <c r="O1405">
        <v>3085.4</v>
      </c>
      <c r="P1405">
        <f t="shared" si="21"/>
        <v>0.93186242699545763</v>
      </c>
    </row>
    <row r="1406" spans="1:16" hidden="1" x14ac:dyDescent="0.25">
      <c r="A1406">
        <v>0</v>
      </c>
      <c r="B1406">
        <v>5000</v>
      </c>
      <c r="C1406">
        <f>1.225 * (1 - 0.00000687559 * B1406) ^ 4.2561</f>
        <v>1.0555380742846066</v>
      </c>
      <c r="D1406">
        <f>E1406*(SQRT($C$2/C1406))</f>
        <v>150.82006664263821</v>
      </c>
      <c r="E1406">
        <v>140</v>
      </c>
      <c r="F1406">
        <v>1150</v>
      </c>
      <c r="G1406">
        <v>1500</v>
      </c>
      <c r="H1406">
        <f>CONVERT(G1406,"HP","kW")</f>
        <v>1118.5498073734054</v>
      </c>
      <c r="I1406">
        <v>0.84809999999999997</v>
      </c>
      <c r="J1406">
        <v>1.0216000000000001</v>
      </c>
      <c r="K1406">
        <v>0.55000000000000004</v>
      </c>
      <c r="L1406">
        <v>0.15409999999999999</v>
      </c>
      <c r="M1406">
        <v>0.12790000000000001</v>
      </c>
      <c r="N1406">
        <f>CONVERT(O1406,"lbf","N")</f>
        <v>12226.826753866537</v>
      </c>
      <c r="O1406">
        <v>2748.7</v>
      </c>
      <c r="P1406">
        <f t="shared" si="21"/>
        <v>0.82998053212199885</v>
      </c>
    </row>
    <row r="1407" spans="1:16" hidden="1" x14ac:dyDescent="0.25">
      <c r="A1407">
        <v>0</v>
      </c>
      <c r="B1407">
        <v>5000</v>
      </c>
      <c r="C1407">
        <f>1.225 * (1 - 0.00000687559 * B1407) ^ 4.2561</f>
        <v>1.0555380742846066</v>
      </c>
      <c r="D1407">
        <f>E1407*(SQRT($C$2/C1407))</f>
        <v>172.3657904487294</v>
      </c>
      <c r="E1407">
        <v>160</v>
      </c>
      <c r="F1407">
        <v>1150</v>
      </c>
      <c r="G1407">
        <v>1500</v>
      </c>
      <c r="H1407">
        <f>CONVERT(G1407,"HP","kW")</f>
        <v>1118.5498073734054</v>
      </c>
      <c r="I1407">
        <v>0.86870000000000003</v>
      </c>
      <c r="J1407">
        <v>1.1676</v>
      </c>
      <c r="K1407">
        <v>0.56499999999999995</v>
      </c>
      <c r="L1407">
        <v>0.15409999999999999</v>
      </c>
      <c r="M1407">
        <v>0.11459999999999999</v>
      </c>
      <c r="N1407">
        <f>CONVERT(O1407,"lbf","N")</f>
        <v>10958.193949194243</v>
      </c>
      <c r="O1407">
        <v>2463.5</v>
      </c>
      <c r="P1407">
        <f t="shared" si="21"/>
        <v>0.74367293964957826</v>
      </c>
    </row>
    <row r="1408" spans="1:16" hidden="1" x14ac:dyDescent="0.25">
      <c r="A1408">
        <v>0</v>
      </c>
      <c r="B1408">
        <v>5000</v>
      </c>
      <c r="C1408">
        <f>1.225 * (1 - 0.00000687559 * B1408) ^ 4.2561</f>
        <v>1.0555380742846066</v>
      </c>
      <c r="D1408">
        <f>E1408*(SQRT($C$2/C1408))</f>
        <v>193.91151425482059</v>
      </c>
      <c r="E1408">
        <v>180</v>
      </c>
      <c r="F1408">
        <v>1150</v>
      </c>
      <c r="G1408">
        <v>1500</v>
      </c>
      <c r="H1408">
        <f>CONVERT(G1408,"HP","kW")</f>
        <v>1118.5498073734054</v>
      </c>
      <c r="I1408">
        <v>0.88100000000000001</v>
      </c>
      <c r="J1408">
        <v>1.3134999999999999</v>
      </c>
      <c r="K1408">
        <v>0.58140000000000003</v>
      </c>
      <c r="L1408">
        <v>0.15409999999999999</v>
      </c>
      <c r="M1408">
        <v>0.1033</v>
      </c>
      <c r="N1408">
        <f>CONVERT(O1408,"lbf","N")</f>
        <v>9878.6105631705195</v>
      </c>
      <c r="O1408">
        <v>2220.8000000000002</v>
      </c>
      <c r="P1408">
        <f t="shared" si="21"/>
        <v>0.67034393251135638</v>
      </c>
    </row>
    <row r="1409" spans="1:16" hidden="1" x14ac:dyDescent="0.25">
      <c r="A1409">
        <v>0</v>
      </c>
      <c r="B1409">
        <v>5000</v>
      </c>
      <c r="C1409">
        <f>1.225 * (1 - 0.00000687559 * B1409) ^ 4.2561</f>
        <v>1.0555380742846066</v>
      </c>
      <c r="D1409">
        <f>E1409*(SQRT($C$2/C1409))</f>
        <v>21.545723806091175</v>
      </c>
      <c r="E1409">
        <v>20</v>
      </c>
      <c r="F1409">
        <v>1150</v>
      </c>
      <c r="G1409">
        <v>1500</v>
      </c>
      <c r="H1409">
        <f>CONVERT(G1409,"HP","kW")</f>
        <v>1118.5498073734054</v>
      </c>
      <c r="I1409">
        <v>0.23860000000000001</v>
      </c>
      <c r="J1409">
        <v>0.1459</v>
      </c>
      <c r="K1409">
        <v>0.49070000000000003</v>
      </c>
      <c r="L1409">
        <v>0.1542</v>
      </c>
      <c r="M1409">
        <v>0.25209999999999999</v>
      </c>
      <c r="N1409">
        <f>CONVERT(O1409,"lbf","N")</f>
        <v>24077.778781243556</v>
      </c>
      <c r="O1409">
        <v>5412.9</v>
      </c>
      <c r="P1409">
        <f t="shared" si="21"/>
        <v>1.6348897535667963</v>
      </c>
    </row>
    <row r="1410" spans="1:16" hidden="1" x14ac:dyDescent="0.25">
      <c r="A1410">
        <v>0</v>
      </c>
      <c r="B1410">
        <v>0</v>
      </c>
      <c r="C1410">
        <f>1.225 * (1 - 0.00000687559 * B1410) ^ 4.2561</f>
        <v>1.2250000000000001</v>
      </c>
      <c r="D1410">
        <f>E1410*(SQRT($C$2/C1410))</f>
        <v>180</v>
      </c>
      <c r="E1410">
        <v>180</v>
      </c>
      <c r="F1410">
        <v>1150</v>
      </c>
      <c r="G1410">
        <v>1750</v>
      </c>
      <c r="H1410">
        <f>CONVERT(G1410,"HP","kW")</f>
        <v>1304.974775268973</v>
      </c>
      <c r="I1410">
        <v>0.87380000000000002</v>
      </c>
      <c r="J1410">
        <v>1.2193000000000001</v>
      </c>
      <c r="K1410">
        <v>0.56069999999999998</v>
      </c>
      <c r="L1410">
        <v>0.15479999999999999</v>
      </c>
      <c r="M1410">
        <v>0.1109</v>
      </c>
      <c r="N1410">
        <f>CONVERT(O1410,"lbf","N")</f>
        <v>12314.011897525645</v>
      </c>
      <c r="O1410">
        <v>2768.3</v>
      </c>
      <c r="P1410">
        <f t="shared" si="21"/>
        <v>0.71640826873385011</v>
      </c>
    </row>
    <row r="1411" spans="1:16" hidden="1" x14ac:dyDescent="0.25">
      <c r="A1411">
        <v>0</v>
      </c>
      <c r="B1411">
        <v>0</v>
      </c>
      <c r="C1411">
        <f>1.225 * (1 - 0.00000687559 * B1411) ^ 4.2561</f>
        <v>1.2250000000000001</v>
      </c>
      <c r="D1411">
        <f>E1411*(SQRT($C$2/C1411))</f>
        <v>220</v>
      </c>
      <c r="E1411">
        <v>220</v>
      </c>
      <c r="F1411">
        <v>1150</v>
      </c>
      <c r="G1411">
        <v>1750</v>
      </c>
      <c r="H1411">
        <f>CONVERT(G1411,"HP","kW")</f>
        <v>1304.974775268973</v>
      </c>
      <c r="I1411">
        <v>0.8881</v>
      </c>
      <c r="J1411">
        <v>1.4902</v>
      </c>
      <c r="K1411">
        <v>0.59260000000000002</v>
      </c>
      <c r="L1411">
        <v>0.15479999999999999</v>
      </c>
      <c r="M1411">
        <v>9.2299999999999993E-2</v>
      </c>
      <c r="N1411">
        <f>CONVERT(O1411,"lbf","N")</f>
        <v>10240.250980491197</v>
      </c>
      <c r="O1411">
        <v>2302.1</v>
      </c>
      <c r="P1411">
        <f t="shared" ref="P1411:P1474" si="22">M1411/L1411</f>
        <v>0.59625322997416019</v>
      </c>
    </row>
    <row r="1412" spans="1:16" hidden="1" x14ac:dyDescent="0.25">
      <c r="A1412">
        <v>0</v>
      </c>
      <c r="B1412">
        <v>0</v>
      </c>
      <c r="C1412">
        <f>1.225 * (1 - 0.00000687559 * B1412) ^ 4.2561</f>
        <v>1.2250000000000001</v>
      </c>
      <c r="D1412">
        <f>E1412*(SQRT($C$2/C1412))</f>
        <v>240</v>
      </c>
      <c r="E1412">
        <v>240</v>
      </c>
      <c r="F1412">
        <v>1150</v>
      </c>
      <c r="G1412">
        <v>1750</v>
      </c>
      <c r="H1412">
        <f>CONVERT(G1412,"HP","kW")</f>
        <v>1304.974775268973</v>
      </c>
      <c r="I1412">
        <v>0.88849999999999996</v>
      </c>
      <c r="J1412">
        <v>1.6256999999999999</v>
      </c>
      <c r="K1412">
        <v>0.61009999999999998</v>
      </c>
      <c r="L1412">
        <v>0.15479999999999999</v>
      </c>
      <c r="M1412">
        <v>8.4599999999999995E-2</v>
      </c>
      <c r="N1412">
        <f>CONVERT(O1412,"lbf","N")</f>
        <v>9391.5302962994938</v>
      </c>
      <c r="O1412">
        <v>2111.3000000000002</v>
      </c>
      <c r="P1412">
        <f t="shared" si="22"/>
        <v>0.54651162790697672</v>
      </c>
    </row>
    <row r="1413" spans="1:16" hidden="1" x14ac:dyDescent="0.25">
      <c r="A1413">
        <v>0</v>
      </c>
      <c r="B1413">
        <v>0</v>
      </c>
      <c r="C1413">
        <f>1.225 * (1 - 0.00000687559 * B1413) ^ 4.2561</f>
        <v>1.2250000000000001</v>
      </c>
      <c r="D1413">
        <f>E1413*(SQRT($C$2/C1413))</f>
        <v>260</v>
      </c>
      <c r="E1413">
        <v>260</v>
      </c>
      <c r="F1413">
        <v>1150</v>
      </c>
      <c r="G1413">
        <v>1750</v>
      </c>
      <c r="H1413">
        <f>CONVERT(G1413,"HP","kW")</f>
        <v>1304.974775268973</v>
      </c>
      <c r="I1413">
        <v>0.88449999999999995</v>
      </c>
      <c r="J1413">
        <v>1.7612000000000001</v>
      </c>
      <c r="K1413">
        <v>0.62860000000000005</v>
      </c>
      <c r="L1413">
        <v>0.15479999999999999</v>
      </c>
      <c r="M1413">
        <v>7.7700000000000005E-2</v>
      </c>
      <c r="N1413">
        <f>CONVERT(O1413,"lbf","N")</f>
        <v>8629.1051114438451</v>
      </c>
      <c r="O1413">
        <v>1939.9</v>
      </c>
      <c r="P1413">
        <f t="shared" si="22"/>
        <v>0.50193798449612403</v>
      </c>
    </row>
    <row r="1414" spans="1:16" hidden="1" x14ac:dyDescent="0.25">
      <c r="A1414">
        <v>0</v>
      </c>
      <c r="B1414">
        <v>0</v>
      </c>
      <c r="C1414">
        <f>1.225 * (1 - 0.00000687559 * B1414) ^ 4.2561</f>
        <v>1.2250000000000001</v>
      </c>
      <c r="D1414">
        <f>E1414*(SQRT($C$2/C1414))</f>
        <v>0</v>
      </c>
      <c r="E1414">
        <v>0</v>
      </c>
      <c r="F1414">
        <v>1150</v>
      </c>
      <c r="G1414">
        <v>1750</v>
      </c>
      <c r="H1414">
        <f>CONVERT(G1414,"HP","kW")</f>
        <v>1304.974775268973</v>
      </c>
      <c r="I1414">
        <v>0</v>
      </c>
      <c r="J1414">
        <v>0</v>
      </c>
      <c r="K1414">
        <v>0.4768</v>
      </c>
      <c r="L1414">
        <v>0.15490000000000001</v>
      </c>
      <c r="M1414">
        <v>0.2666</v>
      </c>
      <c r="N1414">
        <f>CONVERT(O1414,"lbf","N")</f>
        <v>29570.442831767225</v>
      </c>
      <c r="O1414">
        <v>6647.7</v>
      </c>
      <c r="P1414">
        <f t="shared" si="22"/>
        <v>1.721110393802453</v>
      </c>
    </row>
    <row r="1415" spans="1:16" hidden="1" x14ac:dyDescent="0.25">
      <c r="A1415">
        <v>0</v>
      </c>
      <c r="B1415">
        <v>0</v>
      </c>
      <c r="C1415">
        <f>1.225 * (1 - 0.00000687559 * B1415) ^ 4.2561</f>
        <v>1.2250000000000001</v>
      </c>
      <c r="D1415">
        <f>E1415*(SQRT($C$2/C1415))</f>
        <v>40</v>
      </c>
      <c r="E1415">
        <v>40</v>
      </c>
      <c r="F1415">
        <v>1150</v>
      </c>
      <c r="G1415">
        <v>1750</v>
      </c>
      <c r="H1415">
        <f>CONVERT(G1415,"HP","kW")</f>
        <v>1304.974775268973</v>
      </c>
      <c r="I1415">
        <v>0.41010000000000002</v>
      </c>
      <c r="J1415">
        <v>0.27100000000000002</v>
      </c>
      <c r="K1415">
        <v>0.48780000000000001</v>
      </c>
      <c r="L1415">
        <v>0.15490000000000001</v>
      </c>
      <c r="M1415">
        <v>0.2344</v>
      </c>
      <c r="N1415">
        <f>CONVERT(O1415,"lbf","N")</f>
        <v>26008.306962266615</v>
      </c>
      <c r="O1415">
        <v>5846.9</v>
      </c>
      <c r="P1415">
        <f t="shared" si="22"/>
        <v>1.5132343447385408</v>
      </c>
    </row>
    <row r="1416" spans="1:16" hidden="1" x14ac:dyDescent="0.25">
      <c r="A1416">
        <v>0</v>
      </c>
      <c r="B1416">
        <v>0</v>
      </c>
      <c r="C1416">
        <f>1.225 * (1 - 0.00000687559 * B1416) ^ 4.2561</f>
        <v>1.2250000000000001</v>
      </c>
      <c r="D1416">
        <f>E1416*(SQRT($C$2/C1416))</f>
        <v>60</v>
      </c>
      <c r="E1416">
        <v>60</v>
      </c>
      <c r="F1416">
        <v>1150</v>
      </c>
      <c r="G1416">
        <v>1750</v>
      </c>
      <c r="H1416">
        <f>CONVERT(G1416,"HP","kW")</f>
        <v>1304.974775268973</v>
      </c>
      <c r="I1416">
        <v>0.55820000000000003</v>
      </c>
      <c r="J1416">
        <v>0.40639999999999998</v>
      </c>
      <c r="K1416">
        <v>0.49480000000000002</v>
      </c>
      <c r="L1416">
        <v>0.15490000000000001</v>
      </c>
      <c r="M1416">
        <v>0.2127</v>
      </c>
      <c r="N1416">
        <f>CONVERT(O1416,"lbf","N")</f>
        <v>23599.594957603054</v>
      </c>
      <c r="O1416">
        <v>5305.4</v>
      </c>
      <c r="P1416">
        <f t="shared" si="22"/>
        <v>1.3731439638476435</v>
      </c>
    </row>
    <row r="1417" spans="1:16" hidden="1" x14ac:dyDescent="0.25">
      <c r="A1417">
        <v>0</v>
      </c>
      <c r="B1417">
        <v>0</v>
      </c>
      <c r="C1417">
        <f>1.225 * (1 - 0.00000687559 * B1417) ^ 4.2561</f>
        <v>1.2250000000000001</v>
      </c>
      <c r="D1417">
        <f>E1417*(SQRT($C$2/C1417))</f>
        <v>80</v>
      </c>
      <c r="E1417">
        <v>80</v>
      </c>
      <c r="F1417">
        <v>1150</v>
      </c>
      <c r="G1417">
        <v>1750</v>
      </c>
      <c r="H1417">
        <f>CONVERT(G1417,"HP","kW")</f>
        <v>1304.974775268973</v>
      </c>
      <c r="I1417">
        <v>0.66700000000000004</v>
      </c>
      <c r="J1417">
        <v>0.54190000000000005</v>
      </c>
      <c r="K1417">
        <v>0.50260000000000005</v>
      </c>
      <c r="L1417">
        <v>0.15490000000000001</v>
      </c>
      <c r="M1417">
        <v>0.19070000000000001</v>
      </c>
      <c r="N1417">
        <f>CONVERT(O1417,"lbf","N")</f>
        <v>21149.9593140791</v>
      </c>
      <c r="O1417">
        <v>4754.7</v>
      </c>
      <c r="P1417">
        <f t="shared" si="22"/>
        <v>1.2311168495803744</v>
      </c>
    </row>
    <row r="1418" spans="1:16" hidden="1" x14ac:dyDescent="0.25">
      <c r="A1418">
        <v>0</v>
      </c>
      <c r="B1418">
        <v>0</v>
      </c>
      <c r="C1418">
        <f>1.225 * (1 - 0.00000687559 * B1418) ^ 4.2561</f>
        <v>1.2250000000000001</v>
      </c>
      <c r="D1418">
        <f>E1418*(SQRT($C$2/C1418))</f>
        <v>100</v>
      </c>
      <c r="E1418">
        <v>100</v>
      </c>
      <c r="F1418">
        <v>1150</v>
      </c>
      <c r="G1418">
        <v>1750</v>
      </c>
      <c r="H1418">
        <f>CONVERT(G1418,"HP","kW")</f>
        <v>1304.974775268973</v>
      </c>
      <c r="I1418">
        <v>0.74370000000000003</v>
      </c>
      <c r="J1418">
        <v>0.6774</v>
      </c>
      <c r="K1418">
        <v>0.51170000000000004</v>
      </c>
      <c r="L1418">
        <v>0.15490000000000001</v>
      </c>
      <c r="M1418">
        <v>0.1701</v>
      </c>
      <c r="N1418">
        <f>CONVERT(O1418,"lbf","N")</f>
        <v>18864.907870319781</v>
      </c>
      <c r="O1418">
        <v>4241</v>
      </c>
      <c r="P1418">
        <f t="shared" si="22"/>
        <v>1.0981278244028405</v>
      </c>
    </row>
    <row r="1419" spans="1:16" hidden="1" x14ac:dyDescent="0.25">
      <c r="A1419">
        <v>0</v>
      </c>
      <c r="B1419">
        <v>0</v>
      </c>
      <c r="C1419">
        <f>1.225 * (1 - 0.00000687559 * B1419) ^ 4.2561</f>
        <v>1.2250000000000001</v>
      </c>
      <c r="D1419">
        <f>E1419*(SQRT($C$2/C1419))</f>
        <v>120</v>
      </c>
      <c r="E1419">
        <v>120</v>
      </c>
      <c r="F1419">
        <v>1150</v>
      </c>
      <c r="G1419">
        <v>1750</v>
      </c>
      <c r="H1419">
        <f>CONVERT(G1419,"HP","kW")</f>
        <v>1304.974775268973</v>
      </c>
      <c r="I1419">
        <v>0.79700000000000004</v>
      </c>
      <c r="J1419">
        <v>0.81289999999999996</v>
      </c>
      <c r="K1419">
        <v>0.52200000000000002</v>
      </c>
      <c r="L1419">
        <v>0.15490000000000001</v>
      </c>
      <c r="M1419">
        <v>0.15190000000000001</v>
      </c>
      <c r="N1419">
        <f>CONVERT(O1419,"lbf","N")</f>
        <v>16847.639367799144</v>
      </c>
      <c r="O1419">
        <v>3787.5</v>
      </c>
      <c r="P1419">
        <f t="shared" si="22"/>
        <v>0.98063266623628143</v>
      </c>
    </row>
    <row r="1420" spans="1:16" hidden="1" x14ac:dyDescent="0.25">
      <c r="A1420">
        <v>0</v>
      </c>
      <c r="B1420">
        <v>0</v>
      </c>
      <c r="C1420">
        <f>1.225 * (1 - 0.00000687559 * B1420) ^ 4.2561</f>
        <v>1.2250000000000001</v>
      </c>
      <c r="D1420">
        <f>E1420*(SQRT($C$2/C1420))</f>
        <v>140</v>
      </c>
      <c r="E1420">
        <v>140</v>
      </c>
      <c r="F1420">
        <v>1150</v>
      </c>
      <c r="G1420">
        <v>1750</v>
      </c>
      <c r="H1420">
        <f>CONVERT(G1420,"HP","kW")</f>
        <v>1304.974775268973</v>
      </c>
      <c r="I1420">
        <v>0.83340000000000003</v>
      </c>
      <c r="J1420">
        <v>0.94830000000000003</v>
      </c>
      <c r="K1420">
        <v>0.53359999999999996</v>
      </c>
      <c r="L1420">
        <v>0.15490000000000001</v>
      </c>
      <c r="M1420">
        <v>0.1361</v>
      </c>
      <c r="N1420">
        <f>CONVERT(O1420,"lbf","N")</f>
        <v>15101.267561647874</v>
      </c>
      <c r="O1420">
        <v>3394.9</v>
      </c>
      <c r="P1420">
        <f t="shared" si="22"/>
        <v>0.87863137508069711</v>
      </c>
    </row>
    <row r="1421" spans="1:16" hidden="1" x14ac:dyDescent="0.25">
      <c r="A1421">
        <v>0</v>
      </c>
      <c r="B1421">
        <v>0</v>
      </c>
      <c r="C1421">
        <f>1.225 * (1 - 0.00000687559 * B1421) ^ 4.2561</f>
        <v>1.2250000000000001</v>
      </c>
      <c r="D1421">
        <f>E1421*(SQRT($C$2/C1421))</f>
        <v>160</v>
      </c>
      <c r="E1421">
        <v>160</v>
      </c>
      <c r="F1421">
        <v>1150</v>
      </c>
      <c r="G1421">
        <v>1750</v>
      </c>
      <c r="H1421">
        <f>CONVERT(G1421,"HP","kW")</f>
        <v>1304.974775268973</v>
      </c>
      <c r="I1421">
        <v>0.8579</v>
      </c>
      <c r="J1421">
        <v>1.0838000000000001</v>
      </c>
      <c r="K1421">
        <v>0.54649999999999999</v>
      </c>
      <c r="L1421">
        <v>0.15490000000000001</v>
      </c>
      <c r="M1421">
        <v>0.1226</v>
      </c>
      <c r="N1421">
        <f>CONVERT(O1421,"lbf","N")</f>
        <v>13600.882410820506</v>
      </c>
      <c r="O1421">
        <v>3057.6</v>
      </c>
      <c r="P1421">
        <f t="shared" si="22"/>
        <v>0.79147837314396385</v>
      </c>
    </row>
    <row r="1422" spans="1:16" hidden="1" x14ac:dyDescent="0.25">
      <c r="A1422">
        <v>0</v>
      </c>
      <c r="B1422">
        <v>0</v>
      </c>
      <c r="C1422">
        <f>1.225 * (1 - 0.00000687559 * B1422) ^ 4.2561</f>
        <v>1.2250000000000001</v>
      </c>
      <c r="D1422">
        <f>E1422*(SQRT($C$2/C1422))</f>
        <v>200</v>
      </c>
      <c r="E1422">
        <v>200</v>
      </c>
      <c r="F1422">
        <v>1150</v>
      </c>
      <c r="G1422">
        <v>1750</v>
      </c>
      <c r="H1422">
        <f>CONVERT(G1422,"HP","kW")</f>
        <v>1304.974775268973</v>
      </c>
      <c r="I1422">
        <v>0.88339999999999996</v>
      </c>
      <c r="J1422">
        <v>1.3548</v>
      </c>
      <c r="K1422">
        <v>0.57609999999999995</v>
      </c>
      <c r="L1422">
        <v>0.15490000000000001</v>
      </c>
      <c r="M1422">
        <v>0.10100000000000001</v>
      </c>
      <c r="N1422">
        <f>CONVERT(O1422,"lbf","N")</f>
        <v>11204.180604518149</v>
      </c>
      <c r="O1422">
        <v>2518.8000000000002</v>
      </c>
      <c r="P1422">
        <f t="shared" si="22"/>
        <v>0.65203357004519047</v>
      </c>
    </row>
    <row r="1423" spans="1:16" hidden="1" x14ac:dyDescent="0.25">
      <c r="A1423">
        <v>0</v>
      </c>
      <c r="B1423">
        <v>0</v>
      </c>
      <c r="C1423">
        <f>1.225 * (1 - 0.00000687559 * B1423) ^ 4.2561</f>
        <v>1.2250000000000001</v>
      </c>
      <c r="D1423">
        <f>E1423*(SQRT($C$2/C1423))</f>
        <v>20</v>
      </c>
      <c r="E1423">
        <v>20</v>
      </c>
      <c r="F1423">
        <v>1150</v>
      </c>
      <c r="G1423">
        <v>1750</v>
      </c>
      <c r="H1423">
        <f>CONVERT(G1423,"HP","kW")</f>
        <v>1304.974775268973</v>
      </c>
      <c r="I1423">
        <v>0.22220000000000001</v>
      </c>
      <c r="J1423">
        <v>0.13550000000000001</v>
      </c>
      <c r="K1423">
        <v>0.48170000000000002</v>
      </c>
      <c r="L1423">
        <v>0.155</v>
      </c>
      <c r="M1423">
        <v>0.25419999999999998</v>
      </c>
      <c r="N1423">
        <f>CONVERT(O1423,"lbf","N")</f>
        <v>28177.704644029163</v>
      </c>
      <c r="O1423">
        <v>6334.6</v>
      </c>
      <c r="P1423">
        <f t="shared" si="22"/>
        <v>1.64</v>
      </c>
    </row>
    <row r="1424" spans="1:16" hidden="1" x14ac:dyDescent="0.25">
      <c r="A1424">
        <v>0</v>
      </c>
      <c r="B1424">
        <v>25000</v>
      </c>
      <c r="C1424">
        <f>1.225 * (1 - 0.00000687559 * B1424) ^ 4.2561</f>
        <v>0.54892259437885793</v>
      </c>
      <c r="D1424">
        <f>E1424*(SQRT($C$2/C1424))</f>
        <v>149.38689160910337</v>
      </c>
      <c r="E1424">
        <v>100</v>
      </c>
      <c r="F1424">
        <v>987</v>
      </c>
      <c r="G1424">
        <v>500</v>
      </c>
      <c r="H1424">
        <f>CONVERT(G1424,"HP","kW")</f>
        <v>372.84993579113512</v>
      </c>
      <c r="I1424">
        <v>0.86960000000000004</v>
      </c>
      <c r="J1424">
        <v>1.179</v>
      </c>
      <c r="K1424">
        <v>0.52470000000000006</v>
      </c>
      <c r="L1424">
        <v>0.156</v>
      </c>
      <c r="M1424">
        <v>0.11509999999999999</v>
      </c>
      <c r="N1424">
        <f>CONVERT(O1424,"lbf","N")</f>
        <v>4219.1382020745841</v>
      </c>
      <c r="O1424">
        <v>948.5</v>
      </c>
      <c r="P1424">
        <f t="shared" si="22"/>
        <v>0.73782051282051275</v>
      </c>
    </row>
    <row r="1425" spans="1:16" hidden="1" x14ac:dyDescent="0.25">
      <c r="A1425">
        <v>0</v>
      </c>
      <c r="B1425">
        <v>25000</v>
      </c>
      <c r="C1425">
        <f>1.225 * (1 - 0.00000687559 * B1425) ^ 4.2561</f>
        <v>0.54892259437885793</v>
      </c>
      <c r="D1425">
        <f>E1425*(SQRT($C$2/C1425))</f>
        <v>388.40591818366875</v>
      </c>
      <c r="E1425">
        <v>260</v>
      </c>
      <c r="F1425">
        <v>987</v>
      </c>
      <c r="G1425">
        <v>500</v>
      </c>
      <c r="H1425">
        <f>CONVERT(G1425,"HP","kW")</f>
        <v>372.84993579113512</v>
      </c>
      <c r="I1425">
        <v>0.15840000000000001</v>
      </c>
      <c r="J1425">
        <v>3.0653999999999999</v>
      </c>
      <c r="K1425">
        <v>0.79410000000000003</v>
      </c>
      <c r="L1425">
        <v>0.156</v>
      </c>
      <c r="M1425">
        <v>8.0999999999999996E-3</v>
      </c>
      <c r="N1425">
        <f>CONVERT(O1425,"lbf","N")</f>
        <v>295.36191525329724</v>
      </c>
      <c r="O1425">
        <v>66.400000000000006</v>
      </c>
      <c r="P1425">
        <f t="shared" si="22"/>
        <v>5.1923076923076919E-2</v>
      </c>
    </row>
    <row r="1426" spans="1:16" hidden="1" x14ac:dyDescent="0.25">
      <c r="A1426">
        <v>0</v>
      </c>
      <c r="B1426">
        <v>25000</v>
      </c>
      <c r="C1426">
        <f>1.225 * (1 - 0.00000687559 * B1426) ^ 4.2561</f>
        <v>0.54892259437885793</v>
      </c>
      <c r="D1426">
        <f>E1426*(SQRT($C$2/C1426))</f>
        <v>209.14164825274472</v>
      </c>
      <c r="E1426">
        <v>140</v>
      </c>
      <c r="F1426">
        <v>987</v>
      </c>
      <c r="G1426">
        <v>500</v>
      </c>
      <c r="H1426">
        <f>CONVERT(G1426,"HP","kW")</f>
        <v>372.84993579113512</v>
      </c>
      <c r="I1426">
        <v>0.8891</v>
      </c>
      <c r="J1426">
        <v>1.6506000000000001</v>
      </c>
      <c r="K1426">
        <v>0.5786</v>
      </c>
      <c r="L1426">
        <v>0.15609999999999999</v>
      </c>
      <c r="M1426">
        <v>8.4099999999999994E-2</v>
      </c>
      <c r="N1426">
        <f>CONVERT(O1426,"lbf","N")</f>
        <v>3081.2831128909488</v>
      </c>
      <c r="O1426">
        <v>692.7</v>
      </c>
      <c r="P1426">
        <f t="shared" si="22"/>
        <v>0.53875720691864193</v>
      </c>
    </row>
    <row r="1427" spans="1:16" hidden="1" x14ac:dyDescent="0.25">
      <c r="A1427">
        <v>0</v>
      </c>
      <c r="B1427">
        <v>25000</v>
      </c>
      <c r="C1427">
        <f>1.225 * (1 - 0.00000687559 * B1427) ^ 4.2561</f>
        <v>0.54892259437885793</v>
      </c>
      <c r="D1427">
        <f>E1427*(SQRT($C$2/C1427))</f>
        <v>239.01902657456537</v>
      </c>
      <c r="E1427">
        <v>160</v>
      </c>
      <c r="F1427">
        <v>987</v>
      </c>
      <c r="G1427">
        <v>500</v>
      </c>
      <c r="H1427">
        <f>CONVERT(G1427,"HP","kW")</f>
        <v>372.84993579113512</v>
      </c>
      <c r="I1427">
        <v>0.87919999999999998</v>
      </c>
      <c r="J1427">
        <v>1.8864000000000001</v>
      </c>
      <c r="K1427">
        <v>0.60970000000000002</v>
      </c>
      <c r="L1427">
        <v>0.15609999999999999</v>
      </c>
      <c r="M1427">
        <v>7.2800000000000004E-2</v>
      </c>
      <c r="N1427">
        <f>CONVERT(O1427,"lbf","N")</f>
        <v>2666.2640361871436</v>
      </c>
      <c r="O1427">
        <v>599.4</v>
      </c>
      <c r="P1427">
        <f t="shared" si="22"/>
        <v>0.46636771300448437</v>
      </c>
    </row>
    <row r="1428" spans="1:16" hidden="1" x14ac:dyDescent="0.25">
      <c r="A1428">
        <v>0</v>
      </c>
      <c r="B1428">
        <v>25000</v>
      </c>
      <c r="C1428">
        <f>1.225 * (1 - 0.00000687559 * B1428) ^ 4.2561</f>
        <v>0.54892259437885793</v>
      </c>
      <c r="D1428">
        <f>E1428*(SQRT($C$2/C1428))</f>
        <v>0</v>
      </c>
      <c r="E1428">
        <v>0</v>
      </c>
      <c r="F1428">
        <v>987</v>
      </c>
      <c r="G1428">
        <v>500</v>
      </c>
      <c r="H1428">
        <f>CONVERT(G1428,"HP","kW")</f>
        <v>372.84993579113512</v>
      </c>
      <c r="I1428">
        <v>0</v>
      </c>
      <c r="J1428">
        <v>0</v>
      </c>
      <c r="K1428">
        <v>0.4496</v>
      </c>
      <c r="L1428">
        <v>0.15620000000000001</v>
      </c>
      <c r="M1428">
        <v>0.2681</v>
      </c>
      <c r="N1428">
        <f>CONVERT(O1428,"lbf","N")</f>
        <v>9813.6665275877149</v>
      </c>
      <c r="O1428">
        <v>2206.1999999999998</v>
      </c>
      <c r="P1428">
        <f t="shared" si="22"/>
        <v>1.7163892445582587</v>
      </c>
    </row>
    <row r="1429" spans="1:16" hidden="1" x14ac:dyDescent="0.25">
      <c r="A1429">
        <v>0</v>
      </c>
      <c r="B1429">
        <v>25000</v>
      </c>
      <c r="C1429">
        <f>1.225 * (1 - 0.00000687559 * B1429) ^ 4.2561</f>
        <v>0.54892259437885793</v>
      </c>
      <c r="D1429">
        <f>E1429*(SQRT($C$2/C1429))</f>
        <v>29.877378321820672</v>
      </c>
      <c r="E1429">
        <v>20</v>
      </c>
      <c r="F1429">
        <v>987</v>
      </c>
      <c r="G1429">
        <v>500</v>
      </c>
      <c r="H1429">
        <f>CONVERT(G1429,"HP","kW")</f>
        <v>372.84993579113512</v>
      </c>
      <c r="I1429">
        <v>0.36470000000000002</v>
      </c>
      <c r="J1429">
        <v>0.23580000000000001</v>
      </c>
      <c r="K1429">
        <v>0.45850000000000002</v>
      </c>
      <c r="L1429">
        <v>0.15620000000000001</v>
      </c>
      <c r="M1429">
        <v>0.24160000000000001</v>
      </c>
      <c r="N1429">
        <f>CONVERT(O1429,"lbf","N")</f>
        <v>8847.9576149146596</v>
      </c>
      <c r="O1429">
        <v>1989.1</v>
      </c>
      <c r="P1429">
        <f t="shared" si="22"/>
        <v>1.5467349551856595</v>
      </c>
    </row>
    <row r="1430" spans="1:16" hidden="1" x14ac:dyDescent="0.25">
      <c r="A1430">
        <v>0</v>
      </c>
      <c r="B1430">
        <v>25000</v>
      </c>
      <c r="C1430">
        <f>1.225 * (1 - 0.00000687559 * B1430) ^ 4.2561</f>
        <v>0.54892259437885793</v>
      </c>
      <c r="D1430">
        <f>E1430*(SQRT($C$2/C1430))</f>
        <v>59.754756643641343</v>
      </c>
      <c r="E1430">
        <v>40</v>
      </c>
      <c r="F1430">
        <v>987</v>
      </c>
      <c r="G1430">
        <v>500</v>
      </c>
      <c r="H1430">
        <f>CONVERT(G1430,"HP","kW")</f>
        <v>372.84993579113512</v>
      </c>
      <c r="I1430">
        <v>0.61429999999999996</v>
      </c>
      <c r="J1430">
        <v>0.47160000000000002</v>
      </c>
      <c r="K1430">
        <v>0.47010000000000002</v>
      </c>
      <c r="L1430">
        <v>0.15620000000000001</v>
      </c>
      <c r="M1430">
        <v>0.20349999999999999</v>
      </c>
      <c r="N1430">
        <f>CONVERT(O1430,"lbf","N")</f>
        <v>7451.2160277228631</v>
      </c>
      <c r="O1430">
        <v>1675.1</v>
      </c>
      <c r="P1430">
        <f t="shared" si="22"/>
        <v>1.3028169014084505</v>
      </c>
    </row>
    <row r="1431" spans="1:16" hidden="1" x14ac:dyDescent="0.25">
      <c r="A1431">
        <v>0</v>
      </c>
      <c r="B1431">
        <v>25000</v>
      </c>
      <c r="C1431">
        <f>1.225 * (1 - 0.00000687559 * B1431) ^ 4.2561</f>
        <v>0.54892259437885793</v>
      </c>
      <c r="D1431">
        <f>E1431*(SQRT($C$2/C1431))</f>
        <v>89.632134965462015</v>
      </c>
      <c r="E1431">
        <v>60</v>
      </c>
      <c r="F1431">
        <v>987</v>
      </c>
      <c r="G1431">
        <v>500</v>
      </c>
      <c r="H1431">
        <f>CONVERT(G1431,"HP","kW")</f>
        <v>372.84993579113512</v>
      </c>
      <c r="I1431">
        <v>0.75649999999999995</v>
      </c>
      <c r="J1431">
        <v>0.70740000000000003</v>
      </c>
      <c r="K1431">
        <v>0.48459999999999998</v>
      </c>
      <c r="L1431">
        <v>0.15620000000000001</v>
      </c>
      <c r="M1431">
        <v>0.1671</v>
      </c>
      <c r="N1431">
        <f>CONVERT(O1431,"lbf","N")</f>
        <v>6116.7495431447132</v>
      </c>
      <c r="O1431">
        <v>1375.1</v>
      </c>
      <c r="P1431">
        <f t="shared" si="22"/>
        <v>1.0697823303457106</v>
      </c>
    </row>
    <row r="1432" spans="1:16" hidden="1" x14ac:dyDescent="0.25">
      <c r="A1432">
        <v>0</v>
      </c>
      <c r="B1432">
        <v>25000</v>
      </c>
      <c r="C1432">
        <f>1.225 * (1 - 0.00000687559 * B1432) ^ 4.2561</f>
        <v>0.54892259437885793</v>
      </c>
      <c r="D1432">
        <f>E1432*(SQRT($C$2/C1432))</f>
        <v>119.50951328728269</v>
      </c>
      <c r="E1432">
        <v>80</v>
      </c>
      <c r="F1432">
        <v>987</v>
      </c>
      <c r="G1432">
        <v>500</v>
      </c>
      <c r="H1432">
        <f>CONVERT(G1432,"HP","kW")</f>
        <v>372.84993579113512</v>
      </c>
      <c r="I1432">
        <v>0.83179999999999998</v>
      </c>
      <c r="J1432">
        <v>0.94320000000000004</v>
      </c>
      <c r="K1432">
        <v>0.50280000000000002</v>
      </c>
      <c r="L1432">
        <v>0.15620000000000001</v>
      </c>
      <c r="M1432">
        <v>0.13780000000000001</v>
      </c>
      <c r="N1432">
        <f>CONVERT(O1432,"lbf","N")</f>
        <v>5044.283311705407</v>
      </c>
      <c r="O1432">
        <v>1134</v>
      </c>
      <c r="P1432">
        <f t="shared" si="22"/>
        <v>0.88220230473751604</v>
      </c>
    </row>
    <row r="1433" spans="1:16" hidden="1" x14ac:dyDescent="0.25">
      <c r="A1433">
        <v>0</v>
      </c>
      <c r="B1433">
        <v>25000</v>
      </c>
      <c r="C1433">
        <f>1.225 * (1 - 0.00000687559 * B1433) ^ 4.2561</f>
        <v>0.54892259437885793</v>
      </c>
      <c r="D1433">
        <f>E1433*(SQRT($C$2/C1433))</f>
        <v>179.26426993092403</v>
      </c>
      <c r="E1433">
        <v>120</v>
      </c>
      <c r="F1433">
        <v>987</v>
      </c>
      <c r="G1433">
        <v>500</v>
      </c>
      <c r="H1433">
        <f>CONVERT(G1433,"HP","kW")</f>
        <v>372.84993579113512</v>
      </c>
      <c r="I1433">
        <v>0.88619999999999999</v>
      </c>
      <c r="J1433">
        <v>1.4148000000000001</v>
      </c>
      <c r="K1433">
        <v>0.55010000000000003</v>
      </c>
      <c r="L1433">
        <v>0.15620000000000001</v>
      </c>
      <c r="M1433">
        <v>9.7799999999999998E-2</v>
      </c>
      <c r="N1433">
        <f>CONVERT(O1433,"lbf","N")</f>
        <v>3583.0425110923325</v>
      </c>
      <c r="O1433">
        <v>805.5</v>
      </c>
      <c r="P1433">
        <f t="shared" si="22"/>
        <v>0.6261203585147247</v>
      </c>
    </row>
    <row r="1434" spans="1:16" hidden="1" x14ac:dyDescent="0.25">
      <c r="A1434">
        <v>0</v>
      </c>
      <c r="B1434">
        <v>25000</v>
      </c>
      <c r="C1434">
        <f>1.225 * (1 - 0.00000687559 * B1434) ^ 4.2561</f>
        <v>0.54892259437885793</v>
      </c>
      <c r="D1434">
        <f>E1434*(SQRT($C$2/C1434))</f>
        <v>268.89640489638606</v>
      </c>
      <c r="E1434">
        <v>180</v>
      </c>
      <c r="F1434">
        <v>987</v>
      </c>
      <c r="G1434">
        <v>500</v>
      </c>
      <c r="H1434">
        <f>CONVERT(G1434,"HP","kW")</f>
        <v>372.84993579113512</v>
      </c>
      <c r="I1434">
        <v>0.85450000000000004</v>
      </c>
      <c r="J1434">
        <v>2.1221999999999999</v>
      </c>
      <c r="K1434">
        <v>0.64319999999999999</v>
      </c>
      <c r="L1434">
        <v>0.15620000000000001</v>
      </c>
      <c r="M1434">
        <v>6.2899999999999998E-2</v>
      </c>
      <c r="N1434">
        <f>CONVERT(O1434,"lbf","N")</f>
        <v>2303.2891523818867</v>
      </c>
      <c r="O1434">
        <v>517.79999999999995</v>
      </c>
      <c r="P1434">
        <f t="shared" si="22"/>
        <v>0.4026888604353393</v>
      </c>
    </row>
    <row r="1435" spans="1:16" hidden="1" x14ac:dyDescent="0.25">
      <c r="A1435">
        <v>0</v>
      </c>
      <c r="B1435">
        <v>25000</v>
      </c>
      <c r="C1435">
        <f>1.225 * (1 - 0.00000687559 * B1435) ^ 4.2561</f>
        <v>0.54892259437885793</v>
      </c>
      <c r="D1435">
        <f>E1435*(SQRT($C$2/C1435))</f>
        <v>298.77378321820675</v>
      </c>
      <c r="E1435">
        <v>200</v>
      </c>
      <c r="F1435">
        <v>987</v>
      </c>
      <c r="G1435">
        <v>500</v>
      </c>
      <c r="H1435">
        <f>CONVERT(G1435,"HP","kW")</f>
        <v>372.84993579113512</v>
      </c>
      <c r="I1435">
        <v>0.80859999999999999</v>
      </c>
      <c r="J1435">
        <v>2.3580000000000001</v>
      </c>
      <c r="K1435">
        <v>0.67859999999999998</v>
      </c>
      <c r="L1435">
        <v>0.15620000000000001</v>
      </c>
      <c r="M1435">
        <v>5.3600000000000002E-2</v>
      </c>
      <c r="N1435">
        <f>CONVERT(O1435,"lbf","N")</f>
        <v>1961.6657323298805</v>
      </c>
      <c r="O1435">
        <v>441</v>
      </c>
      <c r="P1435">
        <f t="shared" si="22"/>
        <v>0.34314980793854033</v>
      </c>
    </row>
    <row r="1436" spans="1:16" hidden="1" x14ac:dyDescent="0.25">
      <c r="A1436">
        <v>0</v>
      </c>
      <c r="B1436">
        <v>25000</v>
      </c>
      <c r="C1436">
        <f>1.225 * (1 - 0.00000687559 * B1436) ^ 4.2561</f>
        <v>0.54892259437885793</v>
      </c>
      <c r="D1436">
        <f>E1436*(SQRT($C$2/C1436))</f>
        <v>328.65116154002743</v>
      </c>
      <c r="E1436">
        <v>220</v>
      </c>
      <c r="F1436">
        <v>987</v>
      </c>
      <c r="G1436">
        <v>500</v>
      </c>
      <c r="H1436">
        <f>CONVERT(G1436,"HP","kW")</f>
        <v>372.84993579113512</v>
      </c>
      <c r="I1436">
        <v>0.71909999999999996</v>
      </c>
      <c r="J1436">
        <v>2.5937999999999999</v>
      </c>
      <c r="K1436">
        <v>0.71579999999999999</v>
      </c>
      <c r="L1436">
        <v>0.15620000000000001</v>
      </c>
      <c r="M1436">
        <v>4.3299999999999998E-2</v>
      </c>
      <c r="N1436">
        <f>CONVERT(O1436,"lbf","N")</f>
        <v>1585.7910058403684</v>
      </c>
      <c r="O1436">
        <v>356.5</v>
      </c>
      <c r="P1436">
        <f t="shared" si="22"/>
        <v>0.27720870678617154</v>
      </c>
    </row>
    <row r="1437" spans="1:16" hidden="1" x14ac:dyDescent="0.25">
      <c r="A1437">
        <v>0</v>
      </c>
      <c r="B1437">
        <v>25000</v>
      </c>
      <c r="C1437">
        <f>1.225 * (1 - 0.00000687559 * B1437) ^ 4.2561</f>
        <v>0.54892259437885793</v>
      </c>
      <c r="D1437">
        <f>E1437*(SQRT($C$2/C1437))</f>
        <v>358.52853986184806</v>
      </c>
      <c r="E1437">
        <v>240</v>
      </c>
      <c r="F1437">
        <v>987</v>
      </c>
      <c r="G1437">
        <v>500</v>
      </c>
      <c r="H1437">
        <f>CONVERT(G1437,"HP","kW")</f>
        <v>372.84993579113512</v>
      </c>
      <c r="I1437">
        <v>0.51580000000000004</v>
      </c>
      <c r="J1437">
        <v>2.8296000000000001</v>
      </c>
      <c r="K1437">
        <v>0.75429999999999997</v>
      </c>
      <c r="L1437">
        <v>0.15620000000000001</v>
      </c>
      <c r="M1437">
        <v>2.8500000000000001E-2</v>
      </c>
      <c r="N1437">
        <f>CONVERT(O1437,"lbf","N")</f>
        <v>1042.6631466170611</v>
      </c>
      <c r="O1437">
        <v>234.4</v>
      </c>
      <c r="P1437">
        <f t="shared" si="22"/>
        <v>0.18245838668373879</v>
      </c>
    </row>
    <row r="1438" spans="1:16" hidden="1" x14ac:dyDescent="0.25">
      <c r="A1438">
        <v>0</v>
      </c>
      <c r="B1438">
        <v>5000</v>
      </c>
      <c r="C1438">
        <f>1.225 * (1 - 0.00000687559 * B1438) ^ 4.2561</f>
        <v>1.0555380742846066</v>
      </c>
      <c r="D1438">
        <f>E1438*(SQRT($C$2/C1438))</f>
        <v>0</v>
      </c>
      <c r="E1438">
        <v>0</v>
      </c>
      <c r="F1438">
        <v>987</v>
      </c>
      <c r="G1438">
        <v>1000</v>
      </c>
      <c r="H1438">
        <f>CONVERT(G1438,"HP","kW")</f>
        <v>745.69987158227025</v>
      </c>
      <c r="I1438">
        <v>0</v>
      </c>
      <c r="J1438">
        <v>0</v>
      </c>
      <c r="K1438">
        <v>0.41610000000000003</v>
      </c>
      <c r="L1438">
        <v>0.16239999999999999</v>
      </c>
      <c r="M1438">
        <v>0.27189999999999998</v>
      </c>
      <c r="N1438">
        <f>CONVERT(O1438,"lbf","N")</f>
        <v>19159.380141250025</v>
      </c>
      <c r="O1438">
        <v>4307.2</v>
      </c>
      <c r="P1438">
        <f t="shared" si="22"/>
        <v>1.6742610837438423</v>
      </c>
    </row>
    <row r="1439" spans="1:16" hidden="1" x14ac:dyDescent="0.25">
      <c r="A1439">
        <v>0</v>
      </c>
      <c r="B1439">
        <v>5000</v>
      </c>
      <c r="C1439">
        <f>1.225 * (1 - 0.00000687559 * B1439) ^ 4.2561</f>
        <v>1.0555380742846066</v>
      </c>
      <c r="D1439">
        <f>E1439*(SQRT($C$2/C1439))</f>
        <v>43.09144761218235</v>
      </c>
      <c r="E1439">
        <v>40</v>
      </c>
      <c r="F1439">
        <v>987</v>
      </c>
      <c r="G1439">
        <v>1000</v>
      </c>
      <c r="H1439">
        <f>CONVERT(G1439,"HP","kW")</f>
        <v>745.69987158227025</v>
      </c>
      <c r="I1439">
        <v>0.48370000000000002</v>
      </c>
      <c r="J1439">
        <v>0.34010000000000001</v>
      </c>
      <c r="K1439">
        <v>0.42880000000000001</v>
      </c>
      <c r="L1439">
        <v>0.16239999999999999</v>
      </c>
      <c r="M1439">
        <v>0.23100000000000001</v>
      </c>
      <c r="N1439">
        <f>CONVERT(O1439,"lbf","N")</f>
        <v>16271.594668622909</v>
      </c>
      <c r="O1439">
        <v>3658</v>
      </c>
      <c r="P1439">
        <f t="shared" si="22"/>
        <v>1.4224137931034484</v>
      </c>
    </row>
    <row r="1440" spans="1:16" hidden="1" x14ac:dyDescent="0.25">
      <c r="A1440">
        <v>0</v>
      </c>
      <c r="B1440">
        <v>5000</v>
      </c>
      <c r="C1440">
        <f>1.225 * (1 - 0.00000687559 * B1440) ^ 4.2561</f>
        <v>1.0555380742846066</v>
      </c>
      <c r="D1440">
        <f>E1440*(SQRT($C$2/C1440))</f>
        <v>150.82006664263821</v>
      </c>
      <c r="E1440">
        <v>140</v>
      </c>
      <c r="F1440">
        <v>987</v>
      </c>
      <c r="G1440">
        <v>1000</v>
      </c>
      <c r="H1440">
        <f>CONVERT(G1440,"HP","kW")</f>
        <v>745.69987158227025</v>
      </c>
      <c r="I1440">
        <v>0.86939999999999995</v>
      </c>
      <c r="J1440">
        <v>1.1902999999999999</v>
      </c>
      <c r="K1440">
        <v>0.48699999999999999</v>
      </c>
      <c r="L1440">
        <v>0.16239999999999999</v>
      </c>
      <c r="M1440">
        <v>0.1186</v>
      </c>
      <c r="N1440">
        <f>CONVERT(O1440,"lbf","N")</f>
        <v>8355.984304266849</v>
      </c>
      <c r="O1440">
        <v>1878.5</v>
      </c>
      <c r="P1440">
        <f t="shared" si="22"/>
        <v>0.73029556650246308</v>
      </c>
    </row>
    <row r="1441" spans="1:16" hidden="1" x14ac:dyDescent="0.25">
      <c r="A1441">
        <v>0</v>
      </c>
      <c r="B1441">
        <v>5000</v>
      </c>
      <c r="C1441">
        <f>1.225 * (1 - 0.00000687559 * B1441) ^ 4.2561</f>
        <v>1.0555380742846066</v>
      </c>
      <c r="D1441">
        <f>E1441*(SQRT($C$2/C1441))</f>
        <v>172.3657904487294</v>
      </c>
      <c r="E1441">
        <v>160</v>
      </c>
      <c r="F1441">
        <v>987</v>
      </c>
      <c r="G1441">
        <v>1000</v>
      </c>
      <c r="H1441">
        <f>CONVERT(G1441,"HP","kW")</f>
        <v>745.69987158227025</v>
      </c>
      <c r="I1441">
        <v>0.88339999999999996</v>
      </c>
      <c r="J1441">
        <v>1.3604000000000001</v>
      </c>
      <c r="K1441">
        <v>0.50370000000000004</v>
      </c>
      <c r="L1441">
        <v>0.16239999999999999</v>
      </c>
      <c r="M1441">
        <v>0.1055</v>
      </c>
      <c r="N1441">
        <f>CONVERT(O1441,"lbf","N")</f>
        <v>7429.4197418080876</v>
      </c>
      <c r="O1441">
        <v>1670.2</v>
      </c>
      <c r="P1441">
        <f t="shared" si="22"/>
        <v>0.64963054187192115</v>
      </c>
    </row>
    <row r="1442" spans="1:16" hidden="1" x14ac:dyDescent="0.25">
      <c r="A1442">
        <v>0</v>
      </c>
      <c r="B1442">
        <v>5000</v>
      </c>
      <c r="C1442">
        <f>1.225 * (1 - 0.00000687559 * B1442) ^ 4.2561</f>
        <v>1.0555380742846066</v>
      </c>
      <c r="D1442">
        <f>E1442*(SQRT($C$2/C1442))</f>
        <v>193.91151425482059</v>
      </c>
      <c r="E1442">
        <v>180</v>
      </c>
      <c r="F1442">
        <v>987</v>
      </c>
      <c r="G1442">
        <v>1000</v>
      </c>
      <c r="H1442">
        <f>CONVERT(G1442,"HP","kW")</f>
        <v>745.69987158227025</v>
      </c>
      <c r="I1442">
        <v>0.89</v>
      </c>
      <c r="J1442">
        <v>1.5304</v>
      </c>
      <c r="K1442">
        <v>0.52200000000000002</v>
      </c>
      <c r="L1442">
        <v>0.16239999999999999</v>
      </c>
      <c r="M1442">
        <v>9.4500000000000001E-2</v>
      </c>
      <c r="N1442">
        <f>CONVERT(O1442,"lbf","N")</f>
        <v>6653.2050699451302</v>
      </c>
      <c r="O1442">
        <v>1495.7</v>
      </c>
      <c r="P1442">
        <f t="shared" si="22"/>
        <v>0.58189655172413801</v>
      </c>
    </row>
    <row r="1443" spans="1:16" hidden="1" x14ac:dyDescent="0.25">
      <c r="A1443">
        <v>0</v>
      </c>
      <c r="B1443">
        <v>5000</v>
      </c>
      <c r="C1443">
        <f>1.225 * (1 - 0.00000687559 * B1443) ^ 4.2561</f>
        <v>1.0555380742846066</v>
      </c>
      <c r="D1443">
        <f>E1443*(SQRT($C$2/C1443))</f>
        <v>215.45723806091175</v>
      </c>
      <c r="E1443">
        <v>200</v>
      </c>
      <c r="F1443">
        <v>987</v>
      </c>
      <c r="G1443">
        <v>1000</v>
      </c>
      <c r="H1443">
        <f>CONVERT(G1443,"HP","kW")</f>
        <v>745.69987158227025</v>
      </c>
      <c r="I1443">
        <v>0.89070000000000005</v>
      </c>
      <c r="J1443">
        <v>1.7004999999999999</v>
      </c>
      <c r="K1443">
        <v>0.54169999999999996</v>
      </c>
      <c r="L1443">
        <v>0.16239999999999999</v>
      </c>
      <c r="M1443">
        <v>8.5099999999999995E-2</v>
      </c>
      <c r="N1443">
        <f>CONVERT(O1443,"lbf","N")</f>
        <v>5992.1993379174201</v>
      </c>
      <c r="O1443">
        <v>1347.1</v>
      </c>
      <c r="P1443">
        <f t="shared" si="22"/>
        <v>0.52401477832512311</v>
      </c>
    </row>
    <row r="1444" spans="1:16" hidden="1" x14ac:dyDescent="0.25">
      <c r="A1444">
        <v>0</v>
      </c>
      <c r="B1444">
        <v>5000</v>
      </c>
      <c r="C1444">
        <f>1.225 * (1 - 0.00000687559 * B1444) ^ 4.2561</f>
        <v>1.0555380742846066</v>
      </c>
      <c r="D1444">
        <f>E1444*(SQRT($C$2/C1444))</f>
        <v>237.00296186700291</v>
      </c>
      <c r="E1444">
        <v>220</v>
      </c>
      <c r="F1444">
        <v>987</v>
      </c>
      <c r="G1444">
        <v>1000</v>
      </c>
      <c r="H1444">
        <f>CONVERT(G1444,"HP","kW")</f>
        <v>745.69987158227025</v>
      </c>
      <c r="I1444">
        <v>0.88539999999999996</v>
      </c>
      <c r="J1444">
        <v>1.8705000000000001</v>
      </c>
      <c r="K1444">
        <v>0.56259999999999999</v>
      </c>
      <c r="L1444">
        <v>0.16239999999999999</v>
      </c>
      <c r="M1444">
        <v>7.6899999999999996E-2</v>
      </c>
      <c r="N1444">
        <f>CONVERT(O1444,"lbf","N")</f>
        <v>5414.8201722566064</v>
      </c>
      <c r="O1444">
        <v>1217.3</v>
      </c>
      <c r="P1444">
        <f t="shared" si="22"/>
        <v>0.47352216748768472</v>
      </c>
    </row>
    <row r="1445" spans="1:16" hidden="1" x14ac:dyDescent="0.25">
      <c r="A1445">
        <v>0</v>
      </c>
      <c r="B1445">
        <v>5000</v>
      </c>
      <c r="C1445">
        <f>1.225 * (1 - 0.00000687559 * B1445) ^ 4.2561</f>
        <v>1.0555380742846066</v>
      </c>
      <c r="D1445">
        <f>E1445*(SQRT($C$2/C1445))</f>
        <v>21.545723806091175</v>
      </c>
      <c r="E1445">
        <v>20</v>
      </c>
      <c r="F1445">
        <v>987</v>
      </c>
      <c r="G1445">
        <v>1000</v>
      </c>
      <c r="H1445">
        <f>CONVERT(G1445,"HP","kW")</f>
        <v>745.69987158227025</v>
      </c>
      <c r="I1445">
        <v>0.26889999999999997</v>
      </c>
      <c r="J1445">
        <v>0.17</v>
      </c>
      <c r="K1445">
        <v>0.42170000000000002</v>
      </c>
      <c r="L1445">
        <v>0.16250000000000001</v>
      </c>
      <c r="M1445">
        <v>0.25700000000000001</v>
      </c>
      <c r="N1445">
        <f>CONVERT(O1445,"lbf","N")</f>
        <v>18092.696597910559</v>
      </c>
      <c r="O1445">
        <v>4067.4</v>
      </c>
      <c r="P1445">
        <f t="shared" si="22"/>
        <v>1.5815384615384616</v>
      </c>
    </row>
    <row r="1446" spans="1:16" hidden="1" x14ac:dyDescent="0.25">
      <c r="A1446">
        <v>0</v>
      </c>
      <c r="B1446">
        <v>5000</v>
      </c>
      <c r="C1446">
        <f>1.225 * (1 - 0.00000687559 * B1446) ^ 4.2561</f>
        <v>1.0555380742846066</v>
      </c>
      <c r="D1446">
        <f>E1446*(SQRT($C$2/C1446))</f>
        <v>64.637171418273525</v>
      </c>
      <c r="E1446">
        <v>60</v>
      </c>
      <c r="F1446">
        <v>987</v>
      </c>
      <c r="G1446">
        <v>1000</v>
      </c>
      <c r="H1446">
        <f>CONVERT(G1446,"HP","kW")</f>
        <v>745.69987158227025</v>
      </c>
      <c r="I1446">
        <v>0.63849999999999996</v>
      </c>
      <c r="J1446">
        <v>0.5101</v>
      </c>
      <c r="K1446">
        <v>0.43709999999999999</v>
      </c>
      <c r="L1446">
        <v>0.16250000000000001</v>
      </c>
      <c r="M1446">
        <v>0.20330000000000001</v>
      </c>
      <c r="N1446">
        <f>CONVERT(O1446,"lbf","N")</f>
        <v>14317.935735200497</v>
      </c>
      <c r="O1446">
        <v>3218.8</v>
      </c>
      <c r="P1446">
        <f t="shared" si="22"/>
        <v>1.2510769230769232</v>
      </c>
    </row>
    <row r="1447" spans="1:16" hidden="1" x14ac:dyDescent="0.25">
      <c r="A1447">
        <v>0</v>
      </c>
      <c r="B1447">
        <v>5000</v>
      </c>
      <c r="C1447">
        <f>1.225 * (1 - 0.00000687559 * B1447) ^ 4.2561</f>
        <v>1.0555380742846066</v>
      </c>
      <c r="D1447">
        <f>E1447*(SQRT($C$2/C1447))</f>
        <v>107.72861903045587</v>
      </c>
      <c r="E1447">
        <v>100</v>
      </c>
      <c r="F1447">
        <v>987</v>
      </c>
      <c r="G1447">
        <v>1000</v>
      </c>
      <c r="H1447">
        <f>CONVERT(G1447,"HP","kW")</f>
        <v>745.69987158227025</v>
      </c>
      <c r="I1447">
        <v>0.80430000000000001</v>
      </c>
      <c r="J1447">
        <v>0.85019999999999996</v>
      </c>
      <c r="K1447">
        <v>0.45850000000000002</v>
      </c>
      <c r="L1447">
        <v>0.16250000000000001</v>
      </c>
      <c r="M1447">
        <v>0.1537</v>
      </c>
      <c r="N1447">
        <f>CONVERT(O1447,"lbf","N")</f>
        <v>10822.523189928796</v>
      </c>
      <c r="O1447">
        <v>2433</v>
      </c>
      <c r="P1447">
        <f t="shared" si="22"/>
        <v>0.94584615384615378</v>
      </c>
    </row>
    <row r="1448" spans="1:16" hidden="1" x14ac:dyDescent="0.25">
      <c r="A1448">
        <v>0</v>
      </c>
      <c r="B1448">
        <v>5000</v>
      </c>
      <c r="C1448">
        <f>1.225 * (1 - 0.00000687559 * B1448) ^ 4.2561</f>
        <v>1.0555380742846066</v>
      </c>
      <c r="D1448">
        <f>E1448*(SQRT($C$2/C1448))</f>
        <v>129.27434283654705</v>
      </c>
      <c r="E1448">
        <v>120</v>
      </c>
      <c r="F1448">
        <v>987</v>
      </c>
      <c r="G1448">
        <v>1000</v>
      </c>
      <c r="H1448">
        <f>CONVERT(G1448,"HP","kW")</f>
        <v>745.69987158227025</v>
      </c>
      <c r="I1448">
        <v>0.8448</v>
      </c>
      <c r="J1448">
        <v>1.0203</v>
      </c>
      <c r="K1448">
        <v>0.47189999999999999</v>
      </c>
      <c r="L1448">
        <v>0.16250000000000001</v>
      </c>
      <c r="M1448">
        <v>0.13450000000000001</v>
      </c>
      <c r="N1448">
        <f>CONVERT(O1448,"lbf","N")</f>
        <v>9472.487929697234</v>
      </c>
      <c r="O1448">
        <v>2129.5</v>
      </c>
      <c r="P1448">
        <f t="shared" si="22"/>
        <v>0.82769230769230773</v>
      </c>
    </row>
    <row r="1449" spans="1:16" hidden="1" x14ac:dyDescent="0.25">
      <c r="A1449">
        <v>0</v>
      </c>
      <c r="B1449">
        <v>5000</v>
      </c>
      <c r="C1449">
        <f>1.225 * (1 - 0.00000687559 * B1449) ^ 4.2561</f>
        <v>1.0555380742846066</v>
      </c>
      <c r="D1449">
        <f>E1449*(SQRT($C$2/C1449))</f>
        <v>258.5486856730941</v>
      </c>
      <c r="E1449">
        <v>240</v>
      </c>
      <c r="F1449">
        <v>987</v>
      </c>
      <c r="G1449">
        <v>1000</v>
      </c>
      <c r="H1449">
        <f>CONVERT(G1449,"HP","kW")</f>
        <v>745.69987158227025</v>
      </c>
      <c r="I1449">
        <v>0.87339999999999995</v>
      </c>
      <c r="J1449">
        <v>2.0406</v>
      </c>
      <c r="K1449">
        <v>0.5847</v>
      </c>
      <c r="L1449">
        <v>0.16250000000000001</v>
      </c>
      <c r="M1449">
        <v>6.9500000000000006E-2</v>
      </c>
      <c r="N1449">
        <f>CONVERT(O1449,"lbf","N")</f>
        <v>4897.0471762402849</v>
      </c>
      <c r="O1449">
        <v>1100.9000000000001</v>
      </c>
      <c r="P1449">
        <f t="shared" si="22"/>
        <v>0.4276923076923077</v>
      </c>
    </row>
    <row r="1450" spans="1:16" hidden="1" x14ac:dyDescent="0.25">
      <c r="A1450">
        <v>0</v>
      </c>
      <c r="B1450">
        <v>5000</v>
      </c>
      <c r="C1450">
        <f>1.225 * (1 - 0.00000687559 * B1450) ^ 4.2561</f>
        <v>1.0555380742846066</v>
      </c>
      <c r="D1450">
        <f>E1450*(SQRT($C$2/C1450))</f>
        <v>280.09440947918529</v>
      </c>
      <c r="E1450">
        <v>260</v>
      </c>
      <c r="F1450">
        <v>987</v>
      </c>
      <c r="G1450">
        <v>1000</v>
      </c>
      <c r="H1450">
        <f>CONVERT(G1450,"HP","kW")</f>
        <v>745.69987158227025</v>
      </c>
      <c r="I1450">
        <v>0.8538</v>
      </c>
      <c r="J1450">
        <v>2.2105999999999999</v>
      </c>
      <c r="K1450">
        <v>0.60780000000000001</v>
      </c>
      <c r="L1450">
        <v>0.16250000000000001</v>
      </c>
      <c r="M1450">
        <v>6.2700000000000006E-2</v>
      </c>
      <c r="N1450">
        <f>CONVERT(O1450,"lbf","N")</f>
        <v>4418.4185304382545</v>
      </c>
      <c r="O1450">
        <v>993.3</v>
      </c>
      <c r="P1450">
        <f t="shared" si="22"/>
        <v>0.38584615384615389</v>
      </c>
    </row>
    <row r="1451" spans="1:16" hidden="1" x14ac:dyDescent="0.25">
      <c r="A1451">
        <v>0</v>
      </c>
      <c r="B1451">
        <v>5000</v>
      </c>
      <c r="C1451">
        <f>1.225 * (1 - 0.00000687559 * B1451) ^ 4.2561</f>
        <v>1.0555380742846066</v>
      </c>
      <c r="D1451">
        <f>E1451*(SQRT($C$2/C1451))</f>
        <v>86.1828952243647</v>
      </c>
      <c r="E1451">
        <v>80</v>
      </c>
      <c r="F1451">
        <v>987</v>
      </c>
      <c r="G1451">
        <v>1000</v>
      </c>
      <c r="H1451">
        <f>CONVERT(G1451,"HP","kW")</f>
        <v>745.69987158227025</v>
      </c>
      <c r="I1451">
        <v>0.73939999999999995</v>
      </c>
      <c r="J1451">
        <v>0.68020000000000003</v>
      </c>
      <c r="K1451">
        <v>0.44700000000000001</v>
      </c>
      <c r="L1451">
        <v>0.16270000000000001</v>
      </c>
      <c r="M1451">
        <v>0.17680000000000001</v>
      </c>
      <c r="N1451">
        <f>CONVERT(O1451,"lbf","N")</f>
        <v>12436.782814106831</v>
      </c>
      <c r="O1451">
        <v>2795.9</v>
      </c>
      <c r="P1451">
        <f t="shared" si="22"/>
        <v>1.0866625691456668</v>
      </c>
    </row>
    <row r="1452" spans="1:16" hidden="1" x14ac:dyDescent="0.25">
      <c r="A1452">
        <v>0</v>
      </c>
      <c r="B1452">
        <v>20000</v>
      </c>
      <c r="C1452">
        <f>1.225 * (1 - 0.00000687559 * B1452) ^ 4.2561</f>
        <v>0.65267221054298263</v>
      </c>
      <c r="D1452">
        <f>E1452*(SQRT($C$2/C1452))</f>
        <v>27.399994721664136</v>
      </c>
      <c r="E1452">
        <v>20</v>
      </c>
      <c r="F1452">
        <v>1150</v>
      </c>
      <c r="G1452">
        <v>1000</v>
      </c>
      <c r="H1452">
        <f>CONVERT(G1452,"HP","kW")</f>
        <v>745.69987158227025</v>
      </c>
      <c r="I1452">
        <v>0.28720000000000001</v>
      </c>
      <c r="J1452">
        <v>0.18559999999999999</v>
      </c>
      <c r="K1452">
        <v>0.52049999999999996</v>
      </c>
      <c r="L1452">
        <v>0.16600000000000001</v>
      </c>
      <c r="M1452">
        <v>0.25679999999999997</v>
      </c>
      <c r="N1452">
        <f>CONVERT(O1452,"lbf","N")</f>
        <v>15195.125037729869</v>
      </c>
      <c r="O1452">
        <v>3416</v>
      </c>
      <c r="P1452">
        <f t="shared" si="22"/>
        <v>1.5469879518072287</v>
      </c>
    </row>
    <row r="1453" spans="1:16" hidden="1" x14ac:dyDescent="0.25">
      <c r="A1453">
        <v>0</v>
      </c>
      <c r="B1453">
        <v>20000</v>
      </c>
      <c r="C1453">
        <f>1.225 * (1 - 0.00000687559 * B1453) ^ 4.2561</f>
        <v>0.65267221054298263</v>
      </c>
      <c r="D1453">
        <f>E1453*(SQRT($C$2/C1453))</f>
        <v>246.59995249497723</v>
      </c>
      <c r="E1453">
        <v>180</v>
      </c>
      <c r="F1453">
        <v>1150</v>
      </c>
      <c r="G1453">
        <v>1000</v>
      </c>
      <c r="H1453">
        <f>CONVERT(G1453,"HP","kW")</f>
        <v>745.69987158227025</v>
      </c>
      <c r="I1453">
        <v>0.88990000000000002</v>
      </c>
      <c r="J1453">
        <v>1.6704000000000001</v>
      </c>
      <c r="K1453">
        <v>0.66339999999999999</v>
      </c>
      <c r="L1453">
        <v>0.16600000000000001</v>
      </c>
      <c r="M1453">
        <v>8.8400000000000006E-2</v>
      </c>
      <c r="N1453">
        <f>CONVERT(O1453,"lbf","N")</f>
        <v>5231.1086195463477</v>
      </c>
      <c r="O1453">
        <v>1176</v>
      </c>
      <c r="P1453">
        <f t="shared" si="22"/>
        <v>0.53253012048192772</v>
      </c>
    </row>
    <row r="1454" spans="1:16" hidden="1" x14ac:dyDescent="0.25">
      <c r="A1454">
        <v>0</v>
      </c>
      <c r="B1454">
        <v>20000</v>
      </c>
      <c r="C1454">
        <f>1.225 * (1 - 0.00000687559 * B1454) ^ 4.2561</f>
        <v>0.65267221054298263</v>
      </c>
      <c r="D1454">
        <f>E1454*(SQRT($C$2/C1454))</f>
        <v>273.99994721664137</v>
      </c>
      <c r="E1454">
        <v>200</v>
      </c>
      <c r="F1454">
        <v>1150</v>
      </c>
      <c r="G1454">
        <v>1000</v>
      </c>
      <c r="H1454">
        <f>CONVERT(G1454,"HP","kW")</f>
        <v>745.69987158227025</v>
      </c>
      <c r="I1454">
        <v>0.87660000000000005</v>
      </c>
      <c r="J1454">
        <v>1.8560000000000001</v>
      </c>
      <c r="K1454">
        <v>0.69140000000000001</v>
      </c>
      <c r="L1454">
        <v>0.16600000000000001</v>
      </c>
      <c r="M1454">
        <v>7.8399999999999997E-2</v>
      </c>
      <c r="N1454">
        <f>CONVERT(O1454,"lbf","N")</f>
        <v>4637.2710339090709</v>
      </c>
      <c r="O1454">
        <v>1042.5</v>
      </c>
      <c r="P1454">
        <f t="shared" si="22"/>
        <v>0.472289156626506</v>
      </c>
    </row>
    <row r="1455" spans="1:16" hidden="1" x14ac:dyDescent="0.25">
      <c r="A1455">
        <v>0</v>
      </c>
      <c r="B1455">
        <v>20000</v>
      </c>
      <c r="C1455">
        <f>1.225 * (1 - 0.00000687559 * B1455) ^ 4.2561</f>
        <v>0.65267221054298263</v>
      </c>
      <c r="D1455">
        <f>E1455*(SQRT($C$2/C1455))</f>
        <v>54.799989443328272</v>
      </c>
      <c r="E1455">
        <v>40</v>
      </c>
      <c r="F1455">
        <v>1150</v>
      </c>
      <c r="G1455">
        <v>1000</v>
      </c>
      <c r="H1455">
        <f>CONVERT(G1455,"HP","kW")</f>
        <v>745.69987158227025</v>
      </c>
      <c r="I1455">
        <v>0.51219999999999999</v>
      </c>
      <c r="J1455">
        <v>0.37119999999999997</v>
      </c>
      <c r="K1455">
        <v>0.5302</v>
      </c>
      <c r="L1455">
        <v>0.1661</v>
      </c>
      <c r="M1455">
        <v>0.22919999999999999</v>
      </c>
      <c r="N1455">
        <f>CONVERT(O1455,"lbf","N")</f>
        <v>13547.503751437378</v>
      </c>
      <c r="O1455">
        <v>3045.6</v>
      </c>
      <c r="P1455">
        <f t="shared" si="22"/>
        <v>1.3798916315472607</v>
      </c>
    </row>
    <row r="1456" spans="1:16" hidden="1" x14ac:dyDescent="0.25">
      <c r="A1456">
        <v>0</v>
      </c>
      <c r="B1456">
        <v>20000</v>
      </c>
      <c r="C1456">
        <f>1.225 * (1 - 0.00000687559 * B1456) ^ 4.2561</f>
        <v>0.65267221054298263</v>
      </c>
      <c r="D1456">
        <f>E1456*(SQRT($C$2/C1456))</f>
        <v>82.199984164992401</v>
      </c>
      <c r="E1456">
        <v>60</v>
      </c>
      <c r="F1456">
        <v>1150</v>
      </c>
      <c r="G1456">
        <v>1000</v>
      </c>
      <c r="H1456">
        <f>CONVERT(G1456,"HP","kW")</f>
        <v>745.69987158227025</v>
      </c>
      <c r="I1456">
        <v>0.66669999999999996</v>
      </c>
      <c r="J1456">
        <v>0.55679999999999996</v>
      </c>
      <c r="K1456">
        <v>0.54190000000000005</v>
      </c>
      <c r="L1456">
        <v>0.1661</v>
      </c>
      <c r="M1456">
        <v>0.19889999999999999</v>
      </c>
      <c r="N1456">
        <f>CONVERT(O1456,"lbf","N")</f>
        <v>11757.094551295027</v>
      </c>
      <c r="O1456">
        <v>2643.1</v>
      </c>
      <c r="P1456">
        <f t="shared" si="22"/>
        <v>1.197471402769416</v>
      </c>
    </row>
    <row r="1457" spans="1:16" hidden="1" x14ac:dyDescent="0.25">
      <c r="A1457">
        <v>0</v>
      </c>
      <c r="B1457">
        <v>20000</v>
      </c>
      <c r="C1457">
        <f>1.225 * (1 - 0.00000687559 * B1457) ^ 4.2561</f>
        <v>0.65267221054298263</v>
      </c>
      <c r="D1457">
        <f>E1457*(SQRT($C$2/C1457))</f>
        <v>136.99997360832069</v>
      </c>
      <c r="E1457">
        <v>100</v>
      </c>
      <c r="F1457">
        <v>1150</v>
      </c>
      <c r="G1457">
        <v>1000</v>
      </c>
      <c r="H1457">
        <f>CONVERT(G1457,"HP","kW")</f>
        <v>745.69987158227025</v>
      </c>
      <c r="I1457">
        <v>0.82320000000000004</v>
      </c>
      <c r="J1457">
        <v>0.92800000000000005</v>
      </c>
      <c r="K1457">
        <v>0.57250000000000001</v>
      </c>
      <c r="L1457">
        <v>0.1661</v>
      </c>
      <c r="M1457">
        <v>0.1474</v>
      </c>
      <c r="N1457">
        <f>CONVERT(O1457,"lbf","N")</f>
        <v>8710.0627448415853</v>
      </c>
      <c r="O1457">
        <v>1958.1</v>
      </c>
      <c r="P1457">
        <f t="shared" si="22"/>
        <v>0.88741721854304634</v>
      </c>
    </row>
    <row r="1458" spans="1:16" hidden="1" x14ac:dyDescent="0.25">
      <c r="A1458">
        <v>0</v>
      </c>
      <c r="B1458">
        <v>20000</v>
      </c>
      <c r="C1458">
        <f>1.225 * (1 - 0.00000687559 * B1458) ^ 4.2561</f>
        <v>0.65267221054298263</v>
      </c>
      <c r="D1458">
        <f>E1458*(SQRT($C$2/C1458))</f>
        <v>164.3999683299848</v>
      </c>
      <c r="E1458">
        <v>120</v>
      </c>
      <c r="F1458">
        <v>1150</v>
      </c>
      <c r="G1458">
        <v>1000</v>
      </c>
      <c r="H1458">
        <f>CONVERT(G1458,"HP","kW")</f>
        <v>745.69987158227025</v>
      </c>
      <c r="I1458">
        <v>0.85870000000000002</v>
      </c>
      <c r="J1458">
        <v>1.1135999999999999</v>
      </c>
      <c r="K1458">
        <v>0.59160000000000001</v>
      </c>
      <c r="L1458">
        <v>0.1661</v>
      </c>
      <c r="M1458">
        <v>0.12809999999999999</v>
      </c>
      <c r="N1458">
        <f>CONVERT(O1458,"lbf","N")</f>
        <v>7571.7628334964238</v>
      </c>
      <c r="O1458">
        <v>1702.2</v>
      </c>
      <c r="P1458">
        <f t="shared" si="22"/>
        <v>0.77122215532811556</v>
      </c>
    </row>
    <row r="1459" spans="1:16" hidden="1" x14ac:dyDescent="0.25">
      <c r="A1459">
        <v>0</v>
      </c>
      <c r="B1459">
        <v>20000</v>
      </c>
      <c r="C1459">
        <f>1.225 * (1 - 0.00000687559 * B1459) ^ 4.2561</f>
        <v>0.65267221054298263</v>
      </c>
      <c r="D1459">
        <f>E1459*(SQRT($C$2/C1459))</f>
        <v>191.79996305164894</v>
      </c>
      <c r="E1459">
        <v>140</v>
      </c>
      <c r="F1459">
        <v>1150</v>
      </c>
      <c r="G1459">
        <v>1000</v>
      </c>
      <c r="H1459">
        <f>CONVERT(G1459,"HP","kW")</f>
        <v>745.69987158227025</v>
      </c>
      <c r="I1459">
        <v>0.879</v>
      </c>
      <c r="J1459">
        <v>1.2991999999999999</v>
      </c>
      <c r="K1459">
        <v>0.61329999999999996</v>
      </c>
      <c r="L1459">
        <v>0.1661</v>
      </c>
      <c r="M1459">
        <v>0.1124</v>
      </c>
      <c r="N1459">
        <f>CONVERT(O1459,"lbf","N")</f>
        <v>6642.974160230031</v>
      </c>
      <c r="O1459">
        <v>1493.4</v>
      </c>
      <c r="P1459">
        <f t="shared" si="22"/>
        <v>0.67670078266104761</v>
      </c>
    </row>
    <row r="1460" spans="1:16" hidden="1" x14ac:dyDescent="0.25">
      <c r="A1460">
        <v>0</v>
      </c>
      <c r="B1460">
        <v>20000</v>
      </c>
      <c r="C1460">
        <f>1.225 * (1 - 0.00000687559 * B1460) ^ 4.2561</f>
        <v>0.65267221054298263</v>
      </c>
      <c r="D1460">
        <f>E1460*(SQRT($C$2/C1460))</f>
        <v>219.19995777331309</v>
      </c>
      <c r="E1460">
        <v>160</v>
      </c>
      <c r="F1460">
        <v>1150</v>
      </c>
      <c r="G1460">
        <v>1000</v>
      </c>
      <c r="H1460">
        <f>CONVERT(G1460,"HP","kW")</f>
        <v>745.69987158227025</v>
      </c>
      <c r="I1460">
        <v>0.88880000000000003</v>
      </c>
      <c r="J1460">
        <v>1.4847999999999999</v>
      </c>
      <c r="K1460">
        <v>0.63729999999999998</v>
      </c>
      <c r="L1460">
        <v>0.1661</v>
      </c>
      <c r="M1460">
        <v>9.9400000000000002E-2</v>
      </c>
      <c r="N1460">
        <f>CONVERT(O1460,"lbf","N")</f>
        <v>5877.8800424052251</v>
      </c>
      <c r="O1460">
        <v>1321.4</v>
      </c>
      <c r="P1460">
        <f t="shared" si="22"/>
        <v>0.59843467790487659</v>
      </c>
    </row>
    <row r="1461" spans="1:16" hidden="1" x14ac:dyDescent="0.25">
      <c r="A1461">
        <v>0</v>
      </c>
      <c r="B1461">
        <v>20000</v>
      </c>
      <c r="C1461">
        <f>1.225 * (1 - 0.00000687559 * B1461) ^ 4.2561</f>
        <v>0.65267221054298263</v>
      </c>
      <c r="D1461">
        <f>E1461*(SQRT($C$2/C1461))</f>
        <v>301.39994193830552</v>
      </c>
      <c r="E1461">
        <v>220</v>
      </c>
      <c r="F1461">
        <v>1150</v>
      </c>
      <c r="G1461">
        <v>1000</v>
      </c>
      <c r="H1461">
        <f>CONVERT(G1461,"HP","kW")</f>
        <v>745.69987158227025</v>
      </c>
      <c r="I1461">
        <v>0.83789999999999998</v>
      </c>
      <c r="J1461">
        <v>2.0415999999999999</v>
      </c>
      <c r="K1461">
        <v>0.72099999999999997</v>
      </c>
      <c r="L1461">
        <v>0.1661</v>
      </c>
      <c r="M1461">
        <v>6.8199999999999997E-2</v>
      </c>
      <c r="N1461">
        <f>CONVERT(O1461,"lbf","N")</f>
        <v>4029.6439612644867</v>
      </c>
      <c r="O1461">
        <v>905.9</v>
      </c>
      <c r="P1461">
        <f t="shared" si="22"/>
        <v>0.41059602649006621</v>
      </c>
    </row>
    <row r="1462" spans="1:16" hidden="1" x14ac:dyDescent="0.25">
      <c r="A1462">
        <v>0</v>
      </c>
      <c r="B1462">
        <v>20000</v>
      </c>
      <c r="C1462">
        <f>1.225 * (1 - 0.00000687559 * B1462) ^ 4.2561</f>
        <v>0.65267221054298263</v>
      </c>
      <c r="D1462">
        <f>E1462*(SQRT($C$2/C1462))</f>
        <v>328.7999366599696</v>
      </c>
      <c r="E1462">
        <v>240</v>
      </c>
      <c r="F1462">
        <v>1150</v>
      </c>
      <c r="G1462">
        <v>1000</v>
      </c>
      <c r="H1462">
        <f>CONVERT(G1462,"HP","kW")</f>
        <v>745.69987158227025</v>
      </c>
      <c r="I1462">
        <v>0.76849999999999996</v>
      </c>
      <c r="J1462">
        <v>2.2271999999999998</v>
      </c>
      <c r="K1462">
        <v>0.75209999999999999</v>
      </c>
      <c r="L1462">
        <v>0.1661</v>
      </c>
      <c r="M1462">
        <v>5.7299999999999997E-2</v>
      </c>
      <c r="N1462">
        <f>CONVERT(O1462,"lbf","N")</f>
        <v>3387.7655821823973</v>
      </c>
      <c r="O1462">
        <v>761.6</v>
      </c>
      <c r="P1462">
        <f t="shared" si="22"/>
        <v>0.34497290788681517</v>
      </c>
    </row>
    <row r="1463" spans="1:16" hidden="1" x14ac:dyDescent="0.25">
      <c r="A1463">
        <v>0</v>
      </c>
      <c r="B1463">
        <v>20000</v>
      </c>
      <c r="C1463">
        <f>1.225 * (1 - 0.00000687559 * B1463) ^ 4.2561</f>
        <v>0.65267221054298263</v>
      </c>
      <c r="D1463">
        <f>E1463*(SQRT($C$2/C1463))</f>
        <v>356.19993138163375</v>
      </c>
      <c r="E1463">
        <v>260</v>
      </c>
      <c r="F1463">
        <v>1150</v>
      </c>
      <c r="G1463">
        <v>1000</v>
      </c>
      <c r="H1463">
        <f>CONVERT(G1463,"HP","kW")</f>
        <v>745.69987158227025</v>
      </c>
      <c r="I1463">
        <v>0.64490000000000003</v>
      </c>
      <c r="J1463">
        <v>2.4127999999999998</v>
      </c>
      <c r="K1463">
        <v>0.78449999999999998</v>
      </c>
      <c r="L1463">
        <v>0.1661</v>
      </c>
      <c r="M1463">
        <v>4.4400000000000002E-2</v>
      </c>
      <c r="N1463">
        <f>CONVERT(O1463,"lbf","N")</f>
        <v>2624.4507530036949</v>
      </c>
      <c r="O1463">
        <v>590</v>
      </c>
      <c r="P1463">
        <f t="shared" si="22"/>
        <v>0.26730885009030708</v>
      </c>
    </row>
    <row r="1464" spans="1:16" hidden="1" x14ac:dyDescent="0.25">
      <c r="A1464">
        <v>0</v>
      </c>
      <c r="B1464">
        <v>20000</v>
      </c>
      <c r="C1464">
        <f>1.225 * (1 - 0.00000687559 * B1464) ^ 4.2561</f>
        <v>0.65267221054298263</v>
      </c>
      <c r="D1464">
        <f>E1464*(SQRT($C$2/C1464))</f>
        <v>0</v>
      </c>
      <c r="E1464">
        <v>0</v>
      </c>
      <c r="F1464">
        <v>1150</v>
      </c>
      <c r="G1464">
        <v>1000</v>
      </c>
      <c r="H1464">
        <f>CONVERT(G1464,"HP","kW")</f>
        <v>745.69987158227025</v>
      </c>
      <c r="I1464">
        <v>0</v>
      </c>
      <c r="J1464">
        <v>0</v>
      </c>
      <c r="K1464">
        <v>0.51300000000000001</v>
      </c>
      <c r="L1464">
        <v>0.16619999999999999</v>
      </c>
      <c r="M1464">
        <v>0.2707</v>
      </c>
      <c r="N1464">
        <f>CONVERT(O1464,"lbf","N")</f>
        <v>15992.691173346077</v>
      </c>
      <c r="O1464">
        <v>3595.3</v>
      </c>
      <c r="P1464">
        <f t="shared" si="22"/>
        <v>1.6287605294825513</v>
      </c>
    </row>
    <row r="1465" spans="1:16" hidden="1" x14ac:dyDescent="0.25">
      <c r="A1465">
        <v>0</v>
      </c>
      <c r="B1465">
        <v>20000</v>
      </c>
      <c r="C1465">
        <f>1.225 * (1 - 0.00000687559 * B1465) ^ 4.2561</f>
        <v>0.65267221054298263</v>
      </c>
      <c r="D1465">
        <f>E1465*(SQRT($C$2/C1465))</f>
        <v>109.59997888665654</v>
      </c>
      <c r="E1465">
        <v>80</v>
      </c>
      <c r="F1465">
        <v>1150</v>
      </c>
      <c r="G1465">
        <v>1000</v>
      </c>
      <c r="H1465">
        <f>CONVERT(G1465,"HP","kW")</f>
        <v>745.69987158227025</v>
      </c>
      <c r="I1465">
        <v>0.76370000000000005</v>
      </c>
      <c r="J1465">
        <v>0.74239999999999995</v>
      </c>
      <c r="K1465">
        <v>0.55589999999999995</v>
      </c>
      <c r="L1465">
        <v>0.16619999999999999</v>
      </c>
      <c r="M1465">
        <v>0.17100000000000001</v>
      </c>
      <c r="N1465">
        <f>CONVERT(O1465,"lbf","N")</f>
        <v>10100.576821772016</v>
      </c>
      <c r="O1465">
        <v>2270.6999999999998</v>
      </c>
      <c r="P1465">
        <f t="shared" si="22"/>
        <v>1.028880866425993</v>
      </c>
    </row>
    <row r="1466" spans="1:16" hidden="1" x14ac:dyDescent="0.25">
      <c r="A1466">
        <v>0</v>
      </c>
      <c r="B1466">
        <v>15000</v>
      </c>
      <c r="C1466">
        <f>1.225 * (1 - 0.00000687559 * B1466) ^ 4.2561</f>
        <v>0.77079726910167001</v>
      </c>
      <c r="D1466">
        <f>E1466*(SQRT($C$2/C1466))</f>
        <v>100.85279711013223</v>
      </c>
      <c r="E1466">
        <v>80</v>
      </c>
      <c r="F1466">
        <v>987</v>
      </c>
      <c r="G1466">
        <v>750</v>
      </c>
      <c r="H1466">
        <f>CONVERT(G1466,"HP","kW")</f>
        <v>559.27490368670271</v>
      </c>
      <c r="I1466">
        <v>0.78439999999999999</v>
      </c>
      <c r="J1466">
        <v>0.79600000000000004</v>
      </c>
      <c r="K1466">
        <v>0.47170000000000001</v>
      </c>
      <c r="L1466">
        <v>0.16669999999999999</v>
      </c>
      <c r="M1466">
        <v>0.1643</v>
      </c>
      <c r="N1466">
        <f>CONVERT(O1466,"lbf","N")</f>
        <v>8456.0692906102104</v>
      </c>
      <c r="O1466">
        <v>1901</v>
      </c>
      <c r="P1466">
        <f t="shared" si="22"/>
        <v>0.98560287942411529</v>
      </c>
    </row>
    <row r="1467" spans="1:16" hidden="1" x14ac:dyDescent="0.25">
      <c r="A1467">
        <v>0</v>
      </c>
      <c r="B1467">
        <v>15000</v>
      </c>
      <c r="C1467">
        <f>1.225 * (1 - 0.00000687559 * B1467) ^ 4.2561</f>
        <v>0.77079726910167001</v>
      </c>
      <c r="D1467">
        <f>E1467*(SQRT($C$2/C1467))</f>
        <v>126.06599638766529</v>
      </c>
      <c r="E1467">
        <v>100</v>
      </c>
      <c r="F1467">
        <v>987</v>
      </c>
      <c r="G1467">
        <v>750</v>
      </c>
      <c r="H1467">
        <f>CONVERT(G1467,"HP","kW")</f>
        <v>559.27490368670271</v>
      </c>
      <c r="I1467">
        <v>0.83840000000000003</v>
      </c>
      <c r="J1467">
        <v>0.995</v>
      </c>
      <c r="K1467">
        <v>0.4874</v>
      </c>
      <c r="L1467">
        <v>0.16669999999999999</v>
      </c>
      <c r="M1467">
        <v>0.14050000000000001</v>
      </c>
      <c r="N1467">
        <f>CONVERT(O1467,"lbf","N")</f>
        <v>7230.1394134444181</v>
      </c>
      <c r="O1467">
        <v>1625.4</v>
      </c>
      <c r="P1467">
        <f t="shared" si="22"/>
        <v>0.84283143371325753</v>
      </c>
    </row>
    <row r="1468" spans="1:16" hidden="1" x14ac:dyDescent="0.25">
      <c r="A1468">
        <v>0</v>
      </c>
      <c r="B1468">
        <v>15000</v>
      </c>
      <c r="C1468">
        <f>1.225 * (1 - 0.00000687559 * B1468) ^ 4.2561</f>
        <v>0.77079726910167001</v>
      </c>
      <c r="D1468">
        <f>E1468*(SQRT($C$2/C1468))</f>
        <v>151.27919566519836</v>
      </c>
      <c r="E1468">
        <v>120</v>
      </c>
      <c r="F1468">
        <v>987</v>
      </c>
      <c r="G1468">
        <v>750</v>
      </c>
      <c r="H1468">
        <f>CONVERT(G1468,"HP","kW")</f>
        <v>559.27490368670271</v>
      </c>
      <c r="I1468">
        <v>0.86899999999999999</v>
      </c>
      <c r="J1468">
        <v>1.1939</v>
      </c>
      <c r="K1468">
        <v>0.50560000000000005</v>
      </c>
      <c r="L1468">
        <v>0.16669999999999999</v>
      </c>
      <c r="M1468">
        <v>0.12139999999999999</v>
      </c>
      <c r="N1468">
        <f>CONVERT(O1468,"lbf","N")</f>
        <v>6244.858325664216</v>
      </c>
      <c r="O1468">
        <v>1403.9</v>
      </c>
      <c r="P1468">
        <f t="shared" si="22"/>
        <v>0.72825434913017395</v>
      </c>
    </row>
    <row r="1469" spans="1:16" hidden="1" x14ac:dyDescent="0.25">
      <c r="A1469">
        <v>0</v>
      </c>
      <c r="B1469">
        <v>15000</v>
      </c>
      <c r="C1469">
        <f>1.225 * (1 - 0.00000687559 * B1469) ^ 4.2561</f>
        <v>0.77079726910167001</v>
      </c>
      <c r="D1469">
        <f>E1469*(SQRT($C$2/C1469))</f>
        <v>277.34519205286364</v>
      </c>
      <c r="E1469">
        <v>220</v>
      </c>
      <c r="F1469">
        <v>987</v>
      </c>
      <c r="G1469">
        <v>750</v>
      </c>
      <c r="H1469">
        <f>CONVERT(G1469,"HP","kW")</f>
        <v>559.27490368670271</v>
      </c>
      <c r="I1469">
        <v>0.85780000000000001</v>
      </c>
      <c r="J1469">
        <v>2.1888999999999998</v>
      </c>
      <c r="K1469">
        <v>0.62749999999999995</v>
      </c>
      <c r="L1469">
        <v>0.16669999999999999</v>
      </c>
      <c r="M1469">
        <v>6.5299999999999997E-2</v>
      </c>
      <c r="N1469">
        <f>CONVERT(O1469,"lbf","N")</f>
        <v>3362.4107189754118</v>
      </c>
      <c r="O1469">
        <v>755.9</v>
      </c>
      <c r="P1469">
        <f t="shared" si="22"/>
        <v>0.39172165566886624</v>
      </c>
    </row>
    <row r="1470" spans="1:16" hidden="1" x14ac:dyDescent="0.25">
      <c r="A1470">
        <v>0</v>
      </c>
      <c r="B1470">
        <v>15000</v>
      </c>
      <c r="C1470">
        <f>1.225 * (1 - 0.00000687559 * B1470) ^ 4.2561</f>
        <v>0.77079726910167001</v>
      </c>
      <c r="D1470">
        <f>E1470*(SQRT($C$2/C1470))</f>
        <v>0</v>
      </c>
      <c r="E1470">
        <v>0</v>
      </c>
      <c r="F1470">
        <v>987</v>
      </c>
      <c r="G1470">
        <v>750</v>
      </c>
      <c r="H1470">
        <f>CONVERT(G1470,"HP","kW")</f>
        <v>559.27490368670271</v>
      </c>
      <c r="I1470">
        <v>0</v>
      </c>
      <c r="J1470">
        <v>0</v>
      </c>
      <c r="K1470">
        <v>0.43169999999999997</v>
      </c>
      <c r="L1470">
        <v>0.1668</v>
      </c>
      <c r="M1470">
        <v>0.27360000000000001</v>
      </c>
      <c r="N1470">
        <f>CONVERT(O1470,"lbf","N")</f>
        <v>14068.835324745911</v>
      </c>
      <c r="O1470">
        <v>3162.8</v>
      </c>
      <c r="P1470">
        <f t="shared" si="22"/>
        <v>1.6402877697841727</v>
      </c>
    </row>
    <row r="1471" spans="1:16" hidden="1" x14ac:dyDescent="0.25">
      <c r="A1471">
        <v>0</v>
      </c>
      <c r="B1471">
        <v>15000</v>
      </c>
      <c r="C1471">
        <f>1.225 * (1 - 0.00000687559 * B1471) ^ 4.2561</f>
        <v>0.77079726910167001</v>
      </c>
      <c r="D1471">
        <f>E1471*(SQRT($C$2/C1471))</f>
        <v>176.49239494273141</v>
      </c>
      <c r="E1471">
        <v>140</v>
      </c>
      <c r="F1471">
        <v>987</v>
      </c>
      <c r="G1471">
        <v>750</v>
      </c>
      <c r="H1471">
        <f>CONVERT(G1471,"HP","kW")</f>
        <v>559.27490368670271</v>
      </c>
      <c r="I1471">
        <v>0.88500000000000001</v>
      </c>
      <c r="J1471">
        <v>1.3929</v>
      </c>
      <c r="K1471">
        <v>0.5262</v>
      </c>
      <c r="L1471">
        <v>0.1668</v>
      </c>
      <c r="M1471">
        <v>0.106</v>
      </c>
      <c r="N1471">
        <f>CONVERT(O1471,"lbf","N")</f>
        <v>5451.2955895017431</v>
      </c>
      <c r="O1471">
        <v>1225.5</v>
      </c>
      <c r="P1471">
        <f t="shared" si="22"/>
        <v>0.63549160671462823</v>
      </c>
    </row>
    <row r="1472" spans="1:16" hidden="1" x14ac:dyDescent="0.25">
      <c r="A1472">
        <v>0</v>
      </c>
      <c r="B1472">
        <v>15000</v>
      </c>
      <c r="C1472">
        <f>1.225 * (1 - 0.00000687559 * B1472) ^ 4.2561</f>
        <v>0.77079726910167001</v>
      </c>
      <c r="D1472">
        <f>E1472*(SQRT($C$2/C1472))</f>
        <v>201.70559422026446</v>
      </c>
      <c r="E1472">
        <v>160</v>
      </c>
      <c r="F1472">
        <v>987</v>
      </c>
      <c r="G1472">
        <v>750</v>
      </c>
      <c r="H1472">
        <f>CONVERT(G1472,"HP","kW")</f>
        <v>559.27490368670271</v>
      </c>
      <c r="I1472">
        <v>0.89129999999999998</v>
      </c>
      <c r="J1472">
        <v>1.5919000000000001</v>
      </c>
      <c r="K1472">
        <v>0.54890000000000005</v>
      </c>
      <c r="L1472">
        <v>0.1668</v>
      </c>
      <c r="M1472">
        <v>9.3399999999999997E-2</v>
      </c>
      <c r="N1472">
        <f>CONVERT(O1472,"lbf","N")</f>
        <v>4804.0793444813398</v>
      </c>
      <c r="O1472">
        <v>1080</v>
      </c>
      <c r="P1472">
        <f t="shared" si="22"/>
        <v>0.55995203836930452</v>
      </c>
    </row>
    <row r="1473" spans="1:16" hidden="1" x14ac:dyDescent="0.25">
      <c r="A1473">
        <v>0</v>
      </c>
      <c r="B1473">
        <v>15000</v>
      </c>
      <c r="C1473">
        <f>1.225 * (1 - 0.00000687559 * B1473) ^ 4.2561</f>
        <v>0.77079726910167001</v>
      </c>
      <c r="D1473">
        <f>E1473*(SQRT($C$2/C1473))</f>
        <v>226.91879349779754</v>
      </c>
      <c r="E1473">
        <v>180</v>
      </c>
      <c r="F1473">
        <v>987</v>
      </c>
      <c r="G1473">
        <v>750</v>
      </c>
      <c r="H1473">
        <f>CONVERT(G1473,"HP","kW")</f>
        <v>559.27490368670271</v>
      </c>
      <c r="I1473">
        <v>0.88949999999999996</v>
      </c>
      <c r="J1473">
        <v>1.7908999999999999</v>
      </c>
      <c r="K1473">
        <v>0.57350000000000001</v>
      </c>
      <c r="L1473">
        <v>0.1668</v>
      </c>
      <c r="M1473">
        <v>8.2799999999999999E-2</v>
      </c>
      <c r="N1473">
        <f>CONVERT(O1473,"lbf","N")</f>
        <v>4261.8411295810856</v>
      </c>
      <c r="O1473">
        <v>958.1</v>
      </c>
      <c r="P1473">
        <f t="shared" si="22"/>
        <v>0.49640287769784169</v>
      </c>
    </row>
    <row r="1474" spans="1:16" hidden="1" x14ac:dyDescent="0.25">
      <c r="A1474" s="4">
        <v>0</v>
      </c>
      <c r="B1474" s="4">
        <v>15000</v>
      </c>
      <c r="C1474" s="4">
        <f>1.225 * (1 - 0.00000687559 * B1474) ^ 4.2561</f>
        <v>0.77079726910167001</v>
      </c>
      <c r="D1474" s="4">
        <f>E1474*(SQRT($C$2/C1474))</f>
        <v>252.13199277533059</v>
      </c>
      <c r="E1474" s="4">
        <v>200</v>
      </c>
      <c r="F1474" s="4">
        <v>987</v>
      </c>
      <c r="G1474" s="4">
        <v>750</v>
      </c>
      <c r="H1474" s="4">
        <f>CONVERT(G1474,"HP","kW")</f>
        <v>559.27490368670271</v>
      </c>
      <c r="I1474" s="4">
        <v>0.87890000000000001</v>
      </c>
      <c r="J1474" s="4">
        <v>1.9899</v>
      </c>
      <c r="K1474" s="4">
        <v>0.5998</v>
      </c>
      <c r="L1474" s="4">
        <v>0.1668</v>
      </c>
      <c r="M1474" s="4">
        <v>7.3700000000000002E-2</v>
      </c>
      <c r="N1474" s="4">
        <f>CONVERT(O1474,"lbf","N")</f>
        <v>3789.4399940404201</v>
      </c>
      <c r="O1474" s="4">
        <v>851.9</v>
      </c>
      <c r="P1474">
        <f t="shared" si="22"/>
        <v>0.44184652278177455</v>
      </c>
    </row>
    <row r="1475" spans="1:16" hidden="1" x14ac:dyDescent="0.25">
      <c r="A1475">
        <v>0</v>
      </c>
      <c r="B1475">
        <v>15000</v>
      </c>
      <c r="C1475">
        <f>1.225 * (1 - 0.00000687559 * B1475) ^ 4.2561</f>
        <v>0.77079726910167001</v>
      </c>
      <c r="D1475">
        <f>E1475*(SQRT($C$2/C1475))</f>
        <v>302.55839133039672</v>
      </c>
      <c r="E1475">
        <v>240</v>
      </c>
      <c r="F1475">
        <v>987</v>
      </c>
      <c r="G1475">
        <v>750</v>
      </c>
      <c r="H1475">
        <f>CONVERT(G1475,"HP","kW")</f>
        <v>559.27490368670271</v>
      </c>
      <c r="I1475">
        <v>0.82330000000000003</v>
      </c>
      <c r="J1475">
        <v>2.3879000000000001</v>
      </c>
      <c r="K1475">
        <v>0.65649999999999997</v>
      </c>
      <c r="L1475">
        <v>0.1668</v>
      </c>
      <c r="M1475">
        <v>5.7500000000000002E-2</v>
      </c>
      <c r="N1475">
        <f>CONVERT(O1475,"lbf","N")</f>
        <v>2958.0673741482324</v>
      </c>
      <c r="O1475">
        <v>665</v>
      </c>
      <c r="P1475">
        <f t="shared" ref="P1475:P1538" si="23">M1475/L1475</f>
        <v>0.34472422062350122</v>
      </c>
    </row>
    <row r="1476" spans="1:16" hidden="1" x14ac:dyDescent="0.25">
      <c r="A1476">
        <v>0</v>
      </c>
      <c r="B1476">
        <v>15000</v>
      </c>
      <c r="C1476">
        <f>1.225 * (1 - 0.00000687559 * B1476) ^ 4.2561</f>
        <v>0.77079726910167001</v>
      </c>
      <c r="D1476">
        <f>E1476*(SQRT($C$2/C1476))</f>
        <v>25.213199277533057</v>
      </c>
      <c r="E1476">
        <v>20</v>
      </c>
      <c r="F1476">
        <v>987</v>
      </c>
      <c r="G1476">
        <v>750</v>
      </c>
      <c r="H1476">
        <f>CONVERT(G1476,"HP","kW")</f>
        <v>559.27490368670271</v>
      </c>
      <c r="I1476">
        <v>0.30659999999999998</v>
      </c>
      <c r="J1476">
        <v>0.19900000000000001</v>
      </c>
      <c r="K1476">
        <v>0.43859999999999999</v>
      </c>
      <c r="L1476">
        <v>0.16689999999999999</v>
      </c>
      <c r="M1476">
        <v>0.2571</v>
      </c>
      <c r="N1476">
        <f>CONVERT(O1476,"lbf","N")</f>
        <v>13220.559462715733</v>
      </c>
      <c r="O1476">
        <v>2972.1</v>
      </c>
      <c r="P1476">
        <f t="shared" si="23"/>
        <v>1.5404433792690233</v>
      </c>
    </row>
    <row r="1477" spans="1:16" hidden="1" x14ac:dyDescent="0.25">
      <c r="A1477">
        <v>0</v>
      </c>
      <c r="B1477">
        <v>15000</v>
      </c>
      <c r="C1477">
        <f>1.225 * (1 - 0.00000687559 * B1477) ^ 4.2561</f>
        <v>0.77079726910167001</v>
      </c>
      <c r="D1477">
        <f>E1477*(SQRT($C$2/C1477))</f>
        <v>50.426398555066115</v>
      </c>
      <c r="E1477">
        <v>40</v>
      </c>
      <c r="F1477">
        <v>987</v>
      </c>
      <c r="G1477">
        <v>750</v>
      </c>
      <c r="H1477">
        <f>CONVERT(G1477,"HP","kW")</f>
        <v>559.27490368670271</v>
      </c>
      <c r="I1477">
        <v>0.53920000000000001</v>
      </c>
      <c r="J1477">
        <v>0.39800000000000002</v>
      </c>
      <c r="K1477">
        <v>0.4476</v>
      </c>
      <c r="L1477">
        <v>0.16689999999999999</v>
      </c>
      <c r="M1477">
        <v>0.2261</v>
      </c>
      <c r="N1477">
        <f>CONVERT(O1477,"lbf","N")</f>
        <v>11625.872013644843</v>
      </c>
      <c r="O1477">
        <v>2613.6</v>
      </c>
      <c r="P1477">
        <f t="shared" si="23"/>
        <v>1.3547034152186939</v>
      </c>
    </row>
    <row r="1478" spans="1:16" hidden="1" x14ac:dyDescent="0.25">
      <c r="A1478">
        <v>0</v>
      </c>
      <c r="B1478">
        <v>15000</v>
      </c>
      <c r="C1478">
        <f>1.225 * (1 - 0.00000687559 * B1478) ^ 4.2561</f>
        <v>0.77079726910167001</v>
      </c>
      <c r="D1478">
        <f>E1478*(SQRT($C$2/C1478))</f>
        <v>75.639597832599179</v>
      </c>
      <c r="E1478">
        <v>60</v>
      </c>
      <c r="F1478">
        <v>987</v>
      </c>
      <c r="G1478">
        <v>750</v>
      </c>
      <c r="H1478">
        <f>CONVERT(G1478,"HP","kW")</f>
        <v>559.27490368670271</v>
      </c>
      <c r="I1478">
        <v>0.69220000000000004</v>
      </c>
      <c r="J1478">
        <v>0.59699999999999998</v>
      </c>
      <c r="K1478">
        <v>0.45850000000000002</v>
      </c>
      <c r="L1478">
        <v>0.16689999999999999</v>
      </c>
      <c r="M1478">
        <v>0.19350000000000001</v>
      </c>
      <c r="N1478">
        <f>CONVERT(O1478,"lbf","N")</f>
        <v>9948.8924646916348</v>
      </c>
      <c r="O1478">
        <v>2236.6</v>
      </c>
      <c r="P1478">
        <f t="shared" si="23"/>
        <v>1.1593768723786699</v>
      </c>
    </row>
    <row r="1479" spans="1:16" hidden="1" x14ac:dyDescent="0.25">
      <c r="A1479">
        <v>0</v>
      </c>
      <c r="B1479">
        <v>15000</v>
      </c>
      <c r="C1479">
        <f>1.225 * (1 - 0.00000687559 * B1479) ^ 4.2561</f>
        <v>0.77079726910167001</v>
      </c>
      <c r="D1479">
        <f>E1479*(SQRT($C$2/C1479))</f>
        <v>327.77159060792974</v>
      </c>
      <c r="E1479">
        <v>260</v>
      </c>
      <c r="F1479">
        <v>987</v>
      </c>
      <c r="G1479">
        <v>750</v>
      </c>
      <c r="H1479">
        <f>CONVERT(G1479,"HP","kW")</f>
        <v>559.27490368670271</v>
      </c>
      <c r="I1479">
        <v>0.7671</v>
      </c>
      <c r="J1479">
        <v>2.5869</v>
      </c>
      <c r="K1479">
        <v>0.68669999999999998</v>
      </c>
      <c r="L1479">
        <v>0.16689999999999999</v>
      </c>
      <c r="M1479">
        <v>4.9500000000000002E-2</v>
      </c>
      <c r="N1479">
        <f>CONVERT(O1479,"lbf","N")</f>
        <v>2544.3827639290062</v>
      </c>
      <c r="O1479">
        <v>572</v>
      </c>
      <c r="P1479">
        <f t="shared" si="23"/>
        <v>0.29658478130617139</v>
      </c>
    </row>
    <row r="1480" spans="1:16" hidden="1" x14ac:dyDescent="0.25">
      <c r="A1480">
        <v>0</v>
      </c>
      <c r="B1480">
        <v>25000</v>
      </c>
      <c r="C1480">
        <f>1.225 * (1 - 0.00000687559 * B1480) ^ 4.2561</f>
        <v>0.54892259437885793</v>
      </c>
      <c r="D1480">
        <f>E1480*(SQRT($C$2/C1480))</f>
        <v>209.14164825274472</v>
      </c>
      <c r="E1480">
        <v>140</v>
      </c>
      <c r="F1480">
        <v>1215</v>
      </c>
      <c r="G1480">
        <v>1000</v>
      </c>
      <c r="H1480">
        <f>CONVERT(G1480,"HP","kW")</f>
        <v>745.69987158227025</v>
      </c>
      <c r="I1480">
        <v>0.87839999999999996</v>
      </c>
      <c r="J1480">
        <v>1.3409</v>
      </c>
      <c r="K1480">
        <v>0.66690000000000005</v>
      </c>
      <c r="L1480">
        <v>0.16739999999999999</v>
      </c>
      <c r="M1480">
        <v>0.10970000000000001</v>
      </c>
      <c r="N1480">
        <f>CONVERT(O1480,"lbf","N")</f>
        <v>6088.2809248070471</v>
      </c>
      <c r="O1480">
        <v>1368.7</v>
      </c>
      <c r="P1480">
        <f t="shared" si="23"/>
        <v>0.65531660692951021</v>
      </c>
    </row>
    <row r="1481" spans="1:16" hidden="1" x14ac:dyDescent="0.25">
      <c r="A1481">
        <v>0</v>
      </c>
      <c r="B1481">
        <v>25000</v>
      </c>
      <c r="C1481">
        <f>1.225 * (1 - 0.00000687559 * B1481) ^ 4.2561</f>
        <v>0.54892259437885793</v>
      </c>
      <c r="D1481">
        <f>E1481*(SQRT($C$2/C1481))</f>
        <v>298.77378321820675</v>
      </c>
      <c r="E1481">
        <v>200</v>
      </c>
      <c r="F1481">
        <v>1215</v>
      </c>
      <c r="G1481">
        <v>1000</v>
      </c>
      <c r="H1481">
        <f>CONVERT(G1481,"HP","kW")</f>
        <v>745.69987158227025</v>
      </c>
      <c r="I1481">
        <v>0.80869999999999997</v>
      </c>
      <c r="J1481">
        <v>1.9155</v>
      </c>
      <c r="K1481">
        <v>0.75549999999999995</v>
      </c>
      <c r="L1481">
        <v>0.16739999999999999</v>
      </c>
      <c r="M1481">
        <v>7.0699999999999999E-2</v>
      </c>
      <c r="N1481">
        <f>CONVERT(O1481,"lbf","N")</f>
        <v>3923.7762868212872</v>
      </c>
      <c r="O1481">
        <v>882.1</v>
      </c>
      <c r="P1481">
        <f t="shared" si="23"/>
        <v>0.42234169653524495</v>
      </c>
    </row>
    <row r="1482" spans="1:16" hidden="1" x14ac:dyDescent="0.25">
      <c r="A1482">
        <v>0</v>
      </c>
      <c r="B1482">
        <v>25000</v>
      </c>
      <c r="C1482">
        <f>1.225 * (1 - 0.00000687559 * B1482) ^ 4.2561</f>
        <v>0.54892259437885793</v>
      </c>
      <c r="D1482">
        <f>E1482*(SQRT($C$2/C1482))</f>
        <v>0</v>
      </c>
      <c r="E1482">
        <v>0</v>
      </c>
      <c r="F1482">
        <v>1215</v>
      </c>
      <c r="G1482">
        <v>1000</v>
      </c>
      <c r="H1482">
        <f>CONVERT(G1482,"HP","kW")</f>
        <v>745.69987158227025</v>
      </c>
      <c r="I1482">
        <v>0</v>
      </c>
      <c r="J1482">
        <v>0</v>
      </c>
      <c r="K1482">
        <v>0.55310000000000004</v>
      </c>
      <c r="L1482">
        <v>0.16750000000000001</v>
      </c>
      <c r="M1482">
        <v>0.26850000000000002</v>
      </c>
      <c r="N1482">
        <f>CONVERT(O1482,"lbf","N")</f>
        <v>14898.428655991993</v>
      </c>
      <c r="O1482">
        <v>3349.3</v>
      </c>
      <c r="P1482">
        <f t="shared" si="23"/>
        <v>1.6029850746268657</v>
      </c>
    </row>
    <row r="1483" spans="1:16" hidden="1" x14ac:dyDescent="0.25">
      <c r="A1483">
        <v>0</v>
      </c>
      <c r="B1483">
        <v>25000</v>
      </c>
      <c r="C1483">
        <f>1.225 * (1 - 0.00000687559 * B1483) ^ 4.2561</f>
        <v>0.54892259437885793</v>
      </c>
      <c r="D1483">
        <f>E1483*(SQRT($C$2/C1483))</f>
        <v>29.877378321820672</v>
      </c>
      <c r="E1483">
        <v>20</v>
      </c>
      <c r="F1483">
        <v>1215</v>
      </c>
      <c r="G1483">
        <v>1000</v>
      </c>
      <c r="H1483">
        <f>CONVERT(G1483,"HP","kW")</f>
        <v>745.69987158227025</v>
      </c>
      <c r="I1483">
        <v>0.29299999999999998</v>
      </c>
      <c r="J1483">
        <v>0.19159999999999999</v>
      </c>
      <c r="K1483">
        <v>0.56140000000000001</v>
      </c>
      <c r="L1483">
        <v>0.16750000000000001</v>
      </c>
      <c r="M1483">
        <v>0.25619999999999998</v>
      </c>
      <c r="N1483">
        <f>CONVERT(O1483,"lbf","N")</f>
        <v>14217.850748857138</v>
      </c>
      <c r="O1483">
        <v>3196.3</v>
      </c>
      <c r="P1483">
        <f t="shared" si="23"/>
        <v>1.5295522388059699</v>
      </c>
    </row>
    <row r="1484" spans="1:16" hidden="1" x14ac:dyDescent="0.25">
      <c r="A1484">
        <v>0</v>
      </c>
      <c r="B1484">
        <v>25000</v>
      </c>
      <c r="C1484">
        <f>1.225 * (1 - 0.00000687559 * B1484) ^ 4.2561</f>
        <v>0.54892259437885793</v>
      </c>
      <c r="D1484">
        <f>E1484*(SQRT($C$2/C1484))</f>
        <v>59.754756643641343</v>
      </c>
      <c r="E1484">
        <v>40</v>
      </c>
      <c r="F1484">
        <v>1215</v>
      </c>
      <c r="G1484">
        <v>1000</v>
      </c>
      <c r="H1484">
        <f>CONVERT(G1484,"HP","kW")</f>
        <v>745.69987158227025</v>
      </c>
      <c r="I1484">
        <v>0.52190000000000003</v>
      </c>
      <c r="J1484">
        <v>0.3831</v>
      </c>
      <c r="K1484">
        <v>0.57230000000000003</v>
      </c>
      <c r="L1484">
        <v>0.16750000000000001</v>
      </c>
      <c r="M1484">
        <v>0.22819999999999999</v>
      </c>
      <c r="N1484">
        <f>CONVERT(O1484,"lbf","N")</f>
        <v>12660.528361354434</v>
      </c>
      <c r="O1484">
        <v>2846.2</v>
      </c>
      <c r="P1484">
        <f t="shared" si="23"/>
        <v>1.3623880597014923</v>
      </c>
    </row>
    <row r="1485" spans="1:16" hidden="1" x14ac:dyDescent="0.25">
      <c r="A1485">
        <v>0</v>
      </c>
      <c r="B1485">
        <v>25000</v>
      </c>
      <c r="C1485">
        <f>1.225 * (1 - 0.00000687559 * B1485) ^ 4.2561</f>
        <v>0.54892259437885793</v>
      </c>
      <c r="D1485">
        <f>E1485*(SQRT($C$2/C1485))</f>
        <v>89.632134965462015</v>
      </c>
      <c r="E1485">
        <v>60</v>
      </c>
      <c r="F1485">
        <v>1215</v>
      </c>
      <c r="G1485">
        <v>1000</v>
      </c>
      <c r="H1485">
        <f>CONVERT(G1485,"HP","kW")</f>
        <v>745.69987158227025</v>
      </c>
      <c r="I1485">
        <v>0.67549999999999999</v>
      </c>
      <c r="J1485">
        <v>0.57469999999999999</v>
      </c>
      <c r="K1485">
        <v>0.58550000000000002</v>
      </c>
      <c r="L1485">
        <v>0.16750000000000001</v>
      </c>
      <c r="M1485">
        <v>0.19689999999999999</v>
      </c>
      <c r="N1485">
        <f>CONVERT(O1485,"lbf","N")</f>
        <v>10924.832287079787</v>
      </c>
      <c r="O1485">
        <v>2456</v>
      </c>
      <c r="P1485">
        <f t="shared" si="23"/>
        <v>1.1755223880597014</v>
      </c>
    </row>
    <row r="1486" spans="1:16" hidden="1" x14ac:dyDescent="0.25">
      <c r="A1486">
        <v>0</v>
      </c>
      <c r="B1486">
        <v>25000</v>
      </c>
      <c r="C1486">
        <f>1.225 * (1 - 0.00000687559 * B1486) ^ 4.2561</f>
        <v>0.54892259437885793</v>
      </c>
      <c r="D1486">
        <f>E1486*(SQRT($C$2/C1486))</f>
        <v>119.50951328728269</v>
      </c>
      <c r="E1486">
        <v>80</v>
      </c>
      <c r="F1486">
        <v>1215</v>
      </c>
      <c r="G1486">
        <v>1000</v>
      </c>
      <c r="H1486">
        <f>CONVERT(G1486,"HP","kW")</f>
        <v>745.69987158227025</v>
      </c>
      <c r="I1486">
        <v>0.7712</v>
      </c>
      <c r="J1486">
        <v>0.76619999999999999</v>
      </c>
      <c r="K1486">
        <v>0.60150000000000003</v>
      </c>
      <c r="L1486">
        <v>0.16750000000000001</v>
      </c>
      <c r="M1486">
        <v>0.1686</v>
      </c>
      <c r="N1486">
        <f>CONVERT(O1486,"lbf","N")</f>
        <v>9354.6100568928305</v>
      </c>
      <c r="O1486">
        <v>2103</v>
      </c>
      <c r="P1486">
        <f t="shared" si="23"/>
        <v>1.0065671641791045</v>
      </c>
    </row>
    <row r="1487" spans="1:16" hidden="1" x14ac:dyDescent="0.25">
      <c r="A1487">
        <v>0</v>
      </c>
      <c r="B1487">
        <v>25000</v>
      </c>
      <c r="C1487">
        <f>1.225 * (1 - 0.00000687559 * B1487) ^ 4.2561</f>
        <v>0.54892259437885793</v>
      </c>
      <c r="D1487">
        <f>E1487*(SQRT($C$2/C1487))</f>
        <v>149.38689160910337</v>
      </c>
      <c r="E1487">
        <v>100</v>
      </c>
      <c r="F1487">
        <v>1215</v>
      </c>
      <c r="G1487">
        <v>1000</v>
      </c>
      <c r="H1487">
        <f>CONVERT(G1487,"HP","kW")</f>
        <v>745.69987158227025</v>
      </c>
      <c r="I1487">
        <v>0.82899999999999996</v>
      </c>
      <c r="J1487">
        <v>0.95779999999999998</v>
      </c>
      <c r="K1487">
        <v>0.62029999999999996</v>
      </c>
      <c r="L1487">
        <v>0.16750000000000001</v>
      </c>
      <c r="M1487">
        <v>0.14499999999999999</v>
      </c>
      <c r="N1487">
        <f>CONVERT(O1487,"lbf","N")</f>
        <v>8044.1639690370894</v>
      </c>
      <c r="O1487">
        <v>1808.4</v>
      </c>
      <c r="P1487">
        <f t="shared" si="23"/>
        <v>0.86567164179104461</v>
      </c>
    </row>
    <row r="1488" spans="1:16" hidden="1" x14ac:dyDescent="0.25">
      <c r="A1488">
        <v>0</v>
      </c>
      <c r="B1488">
        <v>25000</v>
      </c>
      <c r="C1488">
        <f>1.225 * (1 - 0.00000687559 * B1488) ^ 4.2561</f>
        <v>0.54892259437885793</v>
      </c>
      <c r="D1488">
        <f>E1488*(SQRT($C$2/C1488))</f>
        <v>179.26426993092403</v>
      </c>
      <c r="E1488">
        <v>120</v>
      </c>
      <c r="F1488">
        <v>1215</v>
      </c>
      <c r="G1488">
        <v>1000</v>
      </c>
      <c r="H1488">
        <f>CONVERT(G1488,"HP","kW")</f>
        <v>745.69987158227025</v>
      </c>
      <c r="I1488">
        <v>0.86280000000000001</v>
      </c>
      <c r="J1488">
        <v>1.1493</v>
      </c>
      <c r="K1488">
        <v>0.64219999999999999</v>
      </c>
      <c r="L1488">
        <v>0.16750000000000001</v>
      </c>
      <c r="M1488">
        <v>0.12570000000000001</v>
      </c>
      <c r="N1488">
        <f>CONVERT(O1488,"lbf","N")</f>
        <v>6977.0356035360946</v>
      </c>
      <c r="O1488">
        <v>1568.5</v>
      </c>
      <c r="P1488">
        <f t="shared" si="23"/>
        <v>0.75044776119402989</v>
      </c>
    </row>
    <row r="1489" spans="1:16" hidden="1" x14ac:dyDescent="0.25">
      <c r="A1489">
        <v>0</v>
      </c>
      <c r="B1489">
        <v>25000</v>
      </c>
      <c r="C1489">
        <f>1.225 * (1 - 0.00000687559 * B1489) ^ 4.2561</f>
        <v>0.54892259437885793</v>
      </c>
      <c r="D1489">
        <f>E1489*(SQRT($C$2/C1489))</f>
        <v>239.01902657456537</v>
      </c>
      <c r="E1489">
        <v>160</v>
      </c>
      <c r="F1489">
        <v>1215</v>
      </c>
      <c r="G1489">
        <v>1000</v>
      </c>
      <c r="H1489">
        <f>CONVERT(G1489,"HP","kW")</f>
        <v>745.69987158227025</v>
      </c>
      <c r="I1489">
        <v>0.87690000000000001</v>
      </c>
      <c r="J1489">
        <v>1.5324</v>
      </c>
      <c r="K1489">
        <v>0.69420000000000004</v>
      </c>
      <c r="L1489">
        <v>0.16750000000000001</v>
      </c>
      <c r="M1489">
        <v>9.5799999999999996E-2</v>
      </c>
      <c r="N1489">
        <f>CONVERT(O1489,"lbf","N")</f>
        <v>5318.2937632054536</v>
      </c>
      <c r="O1489">
        <v>1195.5999999999999</v>
      </c>
      <c r="P1489">
        <f t="shared" si="23"/>
        <v>0.57194029850746264</v>
      </c>
    </row>
    <row r="1490" spans="1:16" hidden="1" x14ac:dyDescent="0.25">
      <c r="A1490">
        <v>0</v>
      </c>
      <c r="B1490">
        <v>25000</v>
      </c>
      <c r="C1490">
        <f>1.225 * (1 - 0.00000687559 * B1490) ^ 4.2561</f>
        <v>0.54892259437885793</v>
      </c>
      <c r="D1490">
        <f>E1490*(SQRT($C$2/C1490))</f>
        <v>268.89640489638606</v>
      </c>
      <c r="E1490">
        <v>180</v>
      </c>
      <c r="F1490">
        <v>1215</v>
      </c>
      <c r="G1490">
        <v>1000</v>
      </c>
      <c r="H1490">
        <f>CONVERT(G1490,"HP","kW")</f>
        <v>745.69987158227025</v>
      </c>
      <c r="I1490">
        <v>0.85119999999999996</v>
      </c>
      <c r="J1490">
        <v>1.724</v>
      </c>
      <c r="K1490">
        <v>0.7238</v>
      </c>
      <c r="L1490">
        <v>0.16750000000000001</v>
      </c>
      <c r="M1490">
        <v>8.2699999999999996E-2</v>
      </c>
      <c r="N1490">
        <f>CONVERT(O1490,"lbf","N")</f>
        <v>4588.7854183027312</v>
      </c>
      <c r="O1490">
        <v>1031.5999999999999</v>
      </c>
      <c r="P1490">
        <f t="shared" si="23"/>
        <v>0.49373134328358204</v>
      </c>
    </row>
    <row r="1491" spans="1:16" hidden="1" x14ac:dyDescent="0.25">
      <c r="A1491">
        <v>0</v>
      </c>
      <c r="B1491">
        <v>25000</v>
      </c>
      <c r="C1491">
        <f>1.225 * (1 - 0.00000687559 * B1491) ^ 4.2561</f>
        <v>0.54892259437885793</v>
      </c>
      <c r="D1491">
        <f>E1491*(SQRT($C$2/C1491))</f>
        <v>328.65116154002743</v>
      </c>
      <c r="E1491">
        <v>220</v>
      </c>
      <c r="F1491">
        <v>1215</v>
      </c>
      <c r="G1491">
        <v>1000</v>
      </c>
      <c r="H1491">
        <f>CONVERT(G1491,"HP","kW")</f>
        <v>745.69987158227025</v>
      </c>
      <c r="I1491">
        <v>0.72650000000000003</v>
      </c>
      <c r="J1491">
        <v>2.1071</v>
      </c>
      <c r="K1491">
        <v>0.78910000000000002</v>
      </c>
      <c r="L1491">
        <v>0.16750000000000001</v>
      </c>
      <c r="M1491">
        <v>5.7700000000000001E-2</v>
      </c>
      <c r="N1491">
        <f>CONVERT(O1491,"lbf","N")</f>
        <v>3204.4988516336643</v>
      </c>
      <c r="O1491">
        <v>720.4</v>
      </c>
      <c r="P1491">
        <f t="shared" si="23"/>
        <v>0.34447761194029847</v>
      </c>
    </row>
    <row r="1492" spans="1:16" hidden="1" x14ac:dyDescent="0.25">
      <c r="A1492">
        <v>0</v>
      </c>
      <c r="B1492">
        <v>25000</v>
      </c>
      <c r="C1492">
        <f>1.225 * (1 - 0.00000687559 * B1492) ^ 4.2561</f>
        <v>0.54892259437885793</v>
      </c>
      <c r="D1492">
        <f>E1492*(SQRT($C$2/C1492))</f>
        <v>358.52853986184806</v>
      </c>
      <c r="E1492">
        <v>240</v>
      </c>
      <c r="F1492">
        <v>1215</v>
      </c>
      <c r="G1492">
        <v>1000</v>
      </c>
      <c r="H1492">
        <f>CONVERT(G1492,"HP","kW")</f>
        <v>745.69987158227025</v>
      </c>
      <c r="I1492">
        <v>0.59789999999999999</v>
      </c>
      <c r="J1492">
        <v>2.2986</v>
      </c>
      <c r="K1492">
        <v>0.82420000000000004</v>
      </c>
      <c r="L1492">
        <v>0.16750000000000001</v>
      </c>
      <c r="M1492">
        <v>4.36E-2</v>
      </c>
      <c r="N1492">
        <f>CONVERT(O1492,"lbf","N")</f>
        <v>2417.6084478940816</v>
      </c>
      <c r="O1492">
        <v>543.5</v>
      </c>
      <c r="P1492">
        <f t="shared" si="23"/>
        <v>0.26029850746268657</v>
      </c>
    </row>
    <row r="1493" spans="1:16" hidden="1" x14ac:dyDescent="0.25">
      <c r="A1493">
        <v>0</v>
      </c>
      <c r="B1493">
        <v>25000</v>
      </c>
      <c r="C1493">
        <f>1.225 * (1 - 0.00000687559 * B1493) ^ 4.2561</f>
        <v>0.54892259437885793</v>
      </c>
      <c r="D1493">
        <f>E1493*(SQRT($C$2/C1493))</f>
        <v>388.40591818366875</v>
      </c>
      <c r="E1493">
        <v>260</v>
      </c>
      <c r="F1493">
        <v>1215</v>
      </c>
      <c r="G1493">
        <v>1000</v>
      </c>
      <c r="H1493">
        <f>CONVERT(G1493,"HP","kW")</f>
        <v>745.69987158227025</v>
      </c>
      <c r="I1493">
        <v>0.3644</v>
      </c>
      <c r="J1493">
        <v>2.4902000000000002</v>
      </c>
      <c r="K1493">
        <v>0.86080000000000001</v>
      </c>
      <c r="L1493">
        <v>0.16750000000000001</v>
      </c>
      <c r="M1493">
        <v>2.4500000000000001E-2</v>
      </c>
      <c r="N1493">
        <f>CONVERT(O1493,"lbf","N")</f>
        <v>1359.821347785135</v>
      </c>
      <c r="O1493">
        <v>305.7</v>
      </c>
      <c r="P1493">
        <f t="shared" si="23"/>
        <v>0.14626865671641789</v>
      </c>
    </row>
    <row r="1494" spans="1:16" hidden="1" x14ac:dyDescent="0.25">
      <c r="A1494">
        <v>0</v>
      </c>
      <c r="B1494">
        <v>0</v>
      </c>
      <c r="C1494">
        <f>1.225 * (1 - 0.00000687559 * B1494) ^ 4.2561</f>
        <v>1.2250000000000001</v>
      </c>
      <c r="D1494">
        <f>E1494*(SQRT($C$2/C1494))</f>
        <v>40</v>
      </c>
      <c r="E1494">
        <v>40</v>
      </c>
      <c r="F1494">
        <v>1215</v>
      </c>
      <c r="G1494">
        <v>2250</v>
      </c>
      <c r="H1494">
        <f>CONVERT(G1494,"HP","kW")</f>
        <v>1677.8247110601083</v>
      </c>
      <c r="I1494">
        <v>0.38030000000000003</v>
      </c>
      <c r="J1494">
        <v>0.25650000000000001</v>
      </c>
      <c r="K1494">
        <v>0.51400000000000001</v>
      </c>
      <c r="L1494">
        <v>0.16869999999999999</v>
      </c>
      <c r="M1494">
        <v>0.25009999999999999</v>
      </c>
      <c r="N1494">
        <f>CONVERT(O1494,"lbf","N")</f>
        <v>31008.552879980947</v>
      </c>
      <c r="O1494">
        <v>6971</v>
      </c>
      <c r="P1494">
        <f t="shared" si="23"/>
        <v>1.4825133372851216</v>
      </c>
    </row>
    <row r="1495" spans="1:16" hidden="1" x14ac:dyDescent="0.25">
      <c r="A1495">
        <v>0</v>
      </c>
      <c r="B1495">
        <v>0</v>
      </c>
      <c r="C1495">
        <f>1.225 * (1 - 0.00000687559 * B1495) ^ 4.2561</f>
        <v>1.2250000000000001</v>
      </c>
      <c r="D1495">
        <f>E1495*(SQRT($C$2/C1495))</f>
        <v>260</v>
      </c>
      <c r="E1495">
        <v>260</v>
      </c>
      <c r="F1495">
        <v>1215</v>
      </c>
      <c r="G1495">
        <v>2250</v>
      </c>
      <c r="H1495">
        <f>CONVERT(G1495,"HP","kW")</f>
        <v>1677.8247110601083</v>
      </c>
      <c r="I1495">
        <v>0.89119999999999999</v>
      </c>
      <c r="J1495">
        <v>1.667</v>
      </c>
      <c r="K1495">
        <v>0.65039999999999998</v>
      </c>
      <c r="L1495">
        <v>0.16869999999999999</v>
      </c>
      <c r="M1495">
        <v>9.0200000000000002E-2</v>
      </c>
      <c r="N1495">
        <f>CONVERT(O1495,"lbf","N")</f>
        <v>11179.270563472688</v>
      </c>
      <c r="O1495">
        <v>2513.1999999999998</v>
      </c>
      <c r="P1495">
        <f t="shared" si="23"/>
        <v>0.53467694131594556</v>
      </c>
    </row>
    <row r="1496" spans="1:16" hidden="1" x14ac:dyDescent="0.25">
      <c r="A1496">
        <v>0</v>
      </c>
      <c r="B1496">
        <v>0</v>
      </c>
      <c r="C1496">
        <f>1.225 * (1 - 0.00000687559 * B1496) ^ 4.2561</f>
        <v>1.2250000000000001</v>
      </c>
      <c r="D1496">
        <f>E1496*(SQRT($C$2/C1496))</f>
        <v>120</v>
      </c>
      <c r="E1496">
        <v>120</v>
      </c>
      <c r="F1496">
        <v>1215</v>
      </c>
      <c r="G1496">
        <v>2250</v>
      </c>
      <c r="H1496">
        <f>CONVERT(G1496,"HP","kW")</f>
        <v>1677.8247110601083</v>
      </c>
      <c r="I1496">
        <v>0.77290000000000003</v>
      </c>
      <c r="J1496">
        <v>0.76939999999999997</v>
      </c>
      <c r="K1496">
        <v>0.54759999999999998</v>
      </c>
      <c r="L1496">
        <v>0.16880000000000001</v>
      </c>
      <c r="M1496">
        <v>0.16950000000000001</v>
      </c>
      <c r="N1496">
        <f>CONVERT(O1496,"lbf","N")</f>
        <v>21005.83693374466</v>
      </c>
      <c r="O1496">
        <v>4722.3</v>
      </c>
      <c r="P1496">
        <f t="shared" si="23"/>
        <v>1.0041469194312798</v>
      </c>
    </row>
    <row r="1497" spans="1:16" hidden="1" x14ac:dyDescent="0.25">
      <c r="A1497">
        <v>0</v>
      </c>
      <c r="B1497">
        <v>0</v>
      </c>
      <c r="C1497">
        <f>1.225 * (1 - 0.00000687559 * B1497) ^ 4.2561</f>
        <v>1.2250000000000001</v>
      </c>
      <c r="D1497">
        <f>E1497*(SQRT($C$2/C1497))</f>
        <v>180</v>
      </c>
      <c r="E1497">
        <v>180</v>
      </c>
      <c r="F1497">
        <v>1215</v>
      </c>
      <c r="G1497">
        <v>2250</v>
      </c>
      <c r="H1497">
        <f>CONVERT(G1497,"HP","kW")</f>
        <v>1677.8247110601083</v>
      </c>
      <c r="I1497">
        <v>0.86360000000000003</v>
      </c>
      <c r="J1497">
        <v>1.1540999999999999</v>
      </c>
      <c r="K1497">
        <v>0.58489999999999998</v>
      </c>
      <c r="L1497">
        <v>0.16880000000000001</v>
      </c>
      <c r="M1497">
        <v>0.1263</v>
      </c>
      <c r="N1497">
        <f>CONVERT(O1497,"lbf","N")</f>
        <v>15647.50917600186</v>
      </c>
      <c r="O1497">
        <v>3517.7</v>
      </c>
      <c r="P1497">
        <f t="shared" si="23"/>
        <v>0.74822274881516582</v>
      </c>
    </row>
    <row r="1498" spans="1:16" hidden="1" x14ac:dyDescent="0.25">
      <c r="A1498">
        <v>0</v>
      </c>
      <c r="B1498">
        <v>0</v>
      </c>
      <c r="C1498">
        <f>1.225 * (1 - 0.00000687559 * B1498) ^ 4.2561</f>
        <v>1.2250000000000001</v>
      </c>
      <c r="D1498">
        <f>E1498*(SQRT($C$2/C1498))</f>
        <v>200</v>
      </c>
      <c r="E1498">
        <v>200</v>
      </c>
      <c r="F1498">
        <v>1215</v>
      </c>
      <c r="G1498">
        <v>2250</v>
      </c>
      <c r="H1498">
        <f>CONVERT(G1498,"HP","kW")</f>
        <v>1677.8247110601083</v>
      </c>
      <c r="I1498">
        <v>0.87719999999999998</v>
      </c>
      <c r="J1498">
        <v>1.2823</v>
      </c>
      <c r="K1498">
        <v>0.5998</v>
      </c>
      <c r="L1498">
        <v>0.16880000000000001</v>
      </c>
      <c r="M1498">
        <v>0.11550000000000001</v>
      </c>
      <c r="N1498">
        <f>CONVERT(O1498,"lbf","N")</f>
        <v>14304.591070354716</v>
      </c>
      <c r="O1498">
        <v>3215.8</v>
      </c>
      <c r="P1498">
        <f t="shared" si="23"/>
        <v>0.68424170616113744</v>
      </c>
    </row>
    <row r="1499" spans="1:16" hidden="1" x14ac:dyDescent="0.25">
      <c r="A1499">
        <v>0</v>
      </c>
      <c r="B1499">
        <v>0</v>
      </c>
      <c r="C1499">
        <f>1.225 * (1 - 0.00000687559 * B1499) ^ 4.2561</f>
        <v>1.2250000000000001</v>
      </c>
      <c r="D1499">
        <f>E1499*(SQRT($C$2/C1499))</f>
        <v>220</v>
      </c>
      <c r="E1499">
        <v>220</v>
      </c>
      <c r="F1499">
        <v>1215</v>
      </c>
      <c r="G1499">
        <v>2250</v>
      </c>
      <c r="H1499">
        <f>CONVERT(G1499,"HP","kW")</f>
        <v>1677.8247110601083</v>
      </c>
      <c r="I1499">
        <v>0.88580000000000003</v>
      </c>
      <c r="J1499">
        <v>1.4105000000000001</v>
      </c>
      <c r="K1499">
        <v>0.61570000000000003</v>
      </c>
      <c r="L1499">
        <v>0.16880000000000001</v>
      </c>
      <c r="M1499">
        <v>0.106</v>
      </c>
      <c r="N1499">
        <f>CONVERT(O1499,"lbf","N")</f>
        <v>13131.595030410521</v>
      </c>
      <c r="O1499">
        <v>2952.1</v>
      </c>
      <c r="P1499">
        <f t="shared" si="23"/>
        <v>0.62796208530805686</v>
      </c>
    </row>
    <row r="1500" spans="1:16" hidden="1" x14ac:dyDescent="0.25">
      <c r="A1500">
        <v>0</v>
      </c>
      <c r="B1500">
        <v>0</v>
      </c>
      <c r="C1500">
        <f>1.225 * (1 - 0.00000687559 * B1500) ^ 4.2561</f>
        <v>1.2250000000000001</v>
      </c>
      <c r="D1500">
        <f>E1500*(SQRT($C$2/C1500))</f>
        <v>240</v>
      </c>
      <c r="E1500">
        <v>240</v>
      </c>
      <c r="F1500">
        <v>1215</v>
      </c>
      <c r="G1500">
        <v>2250</v>
      </c>
      <c r="H1500">
        <f>CONVERT(G1500,"HP","kW")</f>
        <v>1677.8247110601083</v>
      </c>
      <c r="I1500">
        <v>0.89039999999999997</v>
      </c>
      <c r="J1500">
        <v>1.5387</v>
      </c>
      <c r="K1500">
        <v>0.63260000000000005</v>
      </c>
      <c r="L1500">
        <v>0.16880000000000001</v>
      </c>
      <c r="M1500">
        <v>9.7699999999999995E-2</v>
      </c>
      <c r="N1500">
        <f>CONVERT(O1500,"lbf","N")</f>
        <v>12100.052437831611</v>
      </c>
      <c r="O1500">
        <v>2720.2</v>
      </c>
      <c r="P1500">
        <f t="shared" si="23"/>
        <v>0.57879146919431279</v>
      </c>
    </row>
    <row r="1501" spans="1:16" hidden="1" x14ac:dyDescent="0.25">
      <c r="A1501">
        <v>0</v>
      </c>
      <c r="B1501">
        <v>0</v>
      </c>
      <c r="C1501">
        <f>1.225 * (1 - 0.00000687559 * B1501) ^ 4.2561</f>
        <v>1.2250000000000001</v>
      </c>
      <c r="D1501">
        <f>E1501*(SQRT($C$2/C1501))</f>
        <v>0</v>
      </c>
      <c r="E1501">
        <v>0</v>
      </c>
      <c r="F1501">
        <v>1215</v>
      </c>
      <c r="G1501">
        <v>2250</v>
      </c>
      <c r="H1501">
        <f>CONVERT(G1501,"HP","kW")</f>
        <v>1677.8247110601083</v>
      </c>
      <c r="I1501">
        <v>0</v>
      </c>
      <c r="J1501">
        <v>0</v>
      </c>
      <c r="K1501">
        <v>0.50329999999999997</v>
      </c>
      <c r="L1501">
        <v>0.16889999999999999</v>
      </c>
      <c r="M1501">
        <v>0.2722</v>
      </c>
      <c r="N1501">
        <f>CONVERT(O1501,"lbf","N")</f>
        <v>33701.506245859651</v>
      </c>
      <c r="O1501">
        <v>7576.4</v>
      </c>
      <c r="P1501">
        <f t="shared" si="23"/>
        <v>1.6116044997039669</v>
      </c>
    </row>
    <row r="1502" spans="1:16" hidden="1" x14ac:dyDescent="0.25">
      <c r="A1502">
        <v>0</v>
      </c>
      <c r="B1502">
        <v>0</v>
      </c>
      <c r="C1502">
        <f>1.225 * (1 - 0.00000687559 * B1502) ^ 4.2561</f>
        <v>1.2250000000000001</v>
      </c>
      <c r="D1502">
        <f>E1502*(SQRT($C$2/C1502))</f>
        <v>20</v>
      </c>
      <c r="E1502">
        <v>20</v>
      </c>
      <c r="F1502">
        <v>1215</v>
      </c>
      <c r="G1502">
        <v>2250</v>
      </c>
      <c r="H1502">
        <f>CONVERT(G1502,"HP","kW")</f>
        <v>1677.8247110601083</v>
      </c>
      <c r="I1502">
        <v>0.20119999999999999</v>
      </c>
      <c r="J1502">
        <v>0.12820000000000001</v>
      </c>
      <c r="K1502">
        <v>0.5081</v>
      </c>
      <c r="L1502">
        <v>0.16889999999999999</v>
      </c>
      <c r="M1502">
        <v>0.26500000000000001</v>
      </c>
      <c r="N1502">
        <f>CONVERT(O1502,"lbf","N")</f>
        <v>32814.530855776713</v>
      </c>
      <c r="O1502">
        <v>7377</v>
      </c>
      <c r="P1502">
        <f t="shared" si="23"/>
        <v>1.5689757252812315</v>
      </c>
    </row>
    <row r="1503" spans="1:16" hidden="1" x14ac:dyDescent="0.25">
      <c r="A1503">
        <v>0</v>
      </c>
      <c r="B1503">
        <v>0</v>
      </c>
      <c r="C1503">
        <f>1.225 * (1 - 0.00000687559 * B1503) ^ 4.2561</f>
        <v>1.2250000000000001</v>
      </c>
      <c r="D1503">
        <f>E1503*(SQRT($C$2/C1503))</f>
        <v>60</v>
      </c>
      <c r="E1503">
        <v>60</v>
      </c>
      <c r="F1503">
        <v>1215</v>
      </c>
      <c r="G1503">
        <v>2250</v>
      </c>
      <c r="H1503">
        <f>CONVERT(G1503,"HP","kW")</f>
        <v>1677.8247110601083</v>
      </c>
      <c r="I1503">
        <v>0.52359999999999995</v>
      </c>
      <c r="J1503">
        <v>0.38469999999999999</v>
      </c>
      <c r="K1503">
        <v>0.52090000000000003</v>
      </c>
      <c r="L1503">
        <v>0.16889999999999999</v>
      </c>
      <c r="M1503">
        <v>0.22989999999999999</v>
      </c>
      <c r="N1503">
        <f>CONVERT(O1503,"lbf","N")</f>
        <v>28463.725293890413</v>
      </c>
      <c r="O1503">
        <v>6398.9</v>
      </c>
      <c r="P1503">
        <f t="shared" si="23"/>
        <v>1.3611604499703966</v>
      </c>
    </row>
    <row r="1504" spans="1:16" hidden="1" x14ac:dyDescent="0.25">
      <c r="A1504">
        <v>0</v>
      </c>
      <c r="B1504">
        <v>0</v>
      </c>
      <c r="C1504">
        <f>1.225 * (1 - 0.00000687559 * B1504) ^ 4.2561</f>
        <v>1.2250000000000001</v>
      </c>
      <c r="D1504">
        <f>E1504*(SQRT($C$2/C1504))</f>
        <v>80</v>
      </c>
      <c r="E1504">
        <v>80</v>
      </c>
      <c r="F1504">
        <v>1215</v>
      </c>
      <c r="G1504">
        <v>2250</v>
      </c>
      <c r="H1504">
        <f>CONVERT(G1504,"HP","kW")</f>
        <v>1677.8247110601083</v>
      </c>
      <c r="I1504">
        <v>0.63439999999999996</v>
      </c>
      <c r="J1504">
        <v>0.51290000000000002</v>
      </c>
      <c r="K1504">
        <v>0.52880000000000005</v>
      </c>
      <c r="L1504">
        <v>0.16889999999999999</v>
      </c>
      <c r="M1504">
        <v>0.2089</v>
      </c>
      <c r="N1504">
        <f>CONVERT(O1504,"lbf","N")</f>
        <v>25861.960471124548</v>
      </c>
      <c r="O1504">
        <v>5814</v>
      </c>
      <c r="P1504">
        <f t="shared" si="23"/>
        <v>1.2368265245707519</v>
      </c>
    </row>
    <row r="1505" spans="1:16" hidden="1" x14ac:dyDescent="0.25">
      <c r="A1505">
        <v>0</v>
      </c>
      <c r="B1505">
        <v>0</v>
      </c>
      <c r="C1505">
        <f>1.225 * (1 - 0.00000687559 * B1505) ^ 4.2561</f>
        <v>1.2250000000000001</v>
      </c>
      <c r="D1505">
        <f>E1505*(SQRT($C$2/C1505))</f>
        <v>100</v>
      </c>
      <c r="E1505">
        <v>100</v>
      </c>
      <c r="F1505">
        <v>1215</v>
      </c>
      <c r="G1505">
        <v>2250</v>
      </c>
      <c r="H1505">
        <f>CONVERT(G1505,"HP","kW")</f>
        <v>1677.8247110601083</v>
      </c>
      <c r="I1505">
        <v>0.7147</v>
      </c>
      <c r="J1505">
        <v>0.6411</v>
      </c>
      <c r="K1505">
        <v>0.53759999999999997</v>
      </c>
      <c r="L1505">
        <v>0.16889999999999999</v>
      </c>
      <c r="M1505">
        <v>0.1883</v>
      </c>
      <c r="N1505">
        <f>CONVERT(O1505,"lbf","N")</f>
        <v>23310.460552611123</v>
      </c>
      <c r="O1505">
        <v>5240.3999999999996</v>
      </c>
      <c r="P1505">
        <f t="shared" si="23"/>
        <v>1.1148608644168148</v>
      </c>
    </row>
    <row r="1506" spans="1:16" hidden="1" x14ac:dyDescent="0.25">
      <c r="A1506">
        <v>0</v>
      </c>
      <c r="B1506">
        <v>0</v>
      </c>
      <c r="C1506">
        <f>1.225 * (1 - 0.00000687559 * B1506) ^ 4.2561</f>
        <v>1.2250000000000001</v>
      </c>
      <c r="D1506">
        <f>E1506*(SQRT($C$2/C1506))</f>
        <v>140</v>
      </c>
      <c r="E1506">
        <v>140</v>
      </c>
      <c r="F1506">
        <v>1215</v>
      </c>
      <c r="G1506">
        <v>2250</v>
      </c>
      <c r="H1506">
        <f>CONVERT(G1506,"HP","kW")</f>
        <v>1677.8247110601083</v>
      </c>
      <c r="I1506">
        <v>0.81420000000000003</v>
      </c>
      <c r="J1506">
        <v>0.89759999999999995</v>
      </c>
      <c r="K1506">
        <v>0.55879999999999996</v>
      </c>
      <c r="L1506">
        <v>0.16889999999999999</v>
      </c>
      <c r="M1506">
        <v>0.1532</v>
      </c>
      <c r="N1506">
        <f>CONVERT(O1506,"lbf","N")</f>
        <v>18967.6617896323</v>
      </c>
      <c r="O1506">
        <v>4264.1000000000004</v>
      </c>
      <c r="P1506">
        <f t="shared" si="23"/>
        <v>0.90704558910597988</v>
      </c>
    </row>
    <row r="1507" spans="1:16" hidden="1" x14ac:dyDescent="0.25">
      <c r="A1507">
        <v>0</v>
      </c>
      <c r="B1507">
        <v>0</v>
      </c>
      <c r="C1507">
        <f>1.225 * (1 - 0.00000687559 * B1507) ^ 4.2561</f>
        <v>1.2250000000000001</v>
      </c>
      <c r="D1507">
        <f>E1507*(SQRT($C$2/C1507))</f>
        <v>160</v>
      </c>
      <c r="E1507">
        <v>160</v>
      </c>
      <c r="F1507">
        <v>1215</v>
      </c>
      <c r="G1507">
        <v>2250</v>
      </c>
      <c r="H1507">
        <f>CONVERT(G1507,"HP","kW")</f>
        <v>1677.8247110601083</v>
      </c>
      <c r="I1507">
        <v>0.84330000000000005</v>
      </c>
      <c r="J1507">
        <v>1.0258</v>
      </c>
      <c r="K1507">
        <v>0.57130000000000003</v>
      </c>
      <c r="L1507">
        <v>0.16889999999999999</v>
      </c>
      <c r="M1507">
        <v>0.13880000000000001</v>
      </c>
      <c r="N1507">
        <f>CONVERT(O1507,"lbf","N")</f>
        <v>17190.152432174204</v>
      </c>
      <c r="O1507">
        <v>3864.5</v>
      </c>
      <c r="P1507">
        <f t="shared" si="23"/>
        <v>0.82178804026050922</v>
      </c>
    </row>
    <row r="1508" spans="1:16" hidden="1" x14ac:dyDescent="0.25">
      <c r="A1508">
        <v>0</v>
      </c>
      <c r="B1508">
        <v>5000</v>
      </c>
      <c r="C1508">
        <f>1.225 * (1 - 0.00000687559 * B1508) ^ 4.2561</f>
        <v>1.0555380742846066</v>
      </c>
      <c r="D1508">
        <f>E1508*(SQRT($C$2/C1508))</f>
        <v>21.545723806091175</v>
      </c>
      <c r="E1508">
        <v>20</v>
      </c>
      <c r="F1508">
        <v>1215</v>
      </c>
      <c r="G1508">
        <v>2000</v>
      </c>
      <c r="H1508">
        <f>CONVERT(G1508,"HP","kW")</f>
        <v>1491.3997431645405</v>
      </c>
      <c r="I1508">
        <v>0.21199999999999999</v>
      </c>
      <c r="J1508">
        <v>0.1381</v>
      </c>
      <c r="K1508">
        <v>0.51729999999999998</v>
      </c>
      <c r="L1508">
        <v>0.17399999999999999</v>
      </c>
      <c r="M1508">
        <v>0.2671</v>
      </c>
      <c r="N1508">
        <f>CONVERT(O1508,"lbf","N")</f>
        <v>28524.665930019484</v>
      </c>
      <c r="O1508">
        <v>6412.6</v>
      </c>
      <c r="P1508">
        <f t="shared" si="23"/>
        <v>1.5350574712643679</v>
      </c>
    </row>
    <row r="1509" spans="1:16" hidden="1" x14ac:dyDescent="0.25">
      <c r="A1509">
        <v>0</v>
      </c>
      <c r="B1509">
        <v>5000</v>
      </c>
      <c r="C1509">
        <f>1.225 * (1 - 0.00000687559 * B1509) ^ 4.2561</f>
        <v>1.0555380742846066</v>
      </c>
      <c r="D1509">
        <f>E1509*(SQRT($C$2/C1509))</f>
        <v>43.09144761218235</v>
      </c>
      <c r="E1509">
        <v>40</v>
      </c>
      <c r="F1509">
        <v>1215</v>
      </c>
      <c r="G1509">
        <v>2000</v>
      </c>
      <c r="H1509">
        <f>CONVERT(G1509,"HP","kW")</f>
        <v>1491.3997431645405</v>
      </c>
      <c r="I1509">
        <v>0.39979999999999999</v>
      </c>
      <c r="J1509">
        <v>0.27629999999999999</v>
      </c>
      <c r="K1509">
        <v>0.52380000000000004</v>
      </c>
      <c r="L1509">
        <v>0.1741</v>
      </c>
      <c r="M1509">
        <v>0.25190000000000001</v>
      </c>
      <c r="N1509">
        <f>CONVERT(O1509,"lbf","N")</f>
        <v>26900.620218287873</v>
      </c>
      <c r="O1509">
        <v>6047.5</v>
      </c>
      <c r="P1509">
        <f t="shared" si="23"/>
        <v>1.4468696151636991</v>
      </c>
    </row>
    <row r="1510" spans="1:16" hidden="1" x14ac:dyDescent="0.25">
      <c r="A1510">
        <v>0</v>
      </c>
      <c r="B1510">
        <v>5000</v>
      </c>
      <c r="C1510">
        <f>1.225 * (1 - 0.00000687559 * B1510) ^ 4.2561</f>
        <v>1.0555380742846066</v>
      </c>
      <c r="D1510">
        <f>E1510*(SQRT($C$2/C1510))</f>
        <v>172.3657904487294</v>
      </c>
      <c r="E1510">
        <v>160</v>
      </c>
      <c r="F1510">
        <v>1215</v>
      </c>
      <c r="G1510">
        <v>2000</v>
      </c>
      <c r="H1510">
        <f>CONVERT(G1510,"HP","kW")</f>
        <v>1491.3997431645405</v>
      </c>
      <c r="I1510">
        <v>0.85489999999999999</v>
      </c>
      <c r="J1510">
        <v>1.1051</v>
      </c>
      <c r="K1510">
        <v>0.58979999999999999</v>
      </c>
      <c r="L1510">
        <v>0.1741</v>
      </c>
      <c r="M1510">
        <v>0.13469999999999999</v>
      </c>
      <c r="N1510">
        <f>CONVERT(O1510,"lbf","N")</f>
        <v>14379.321193491092</v>
      </c>
      <c r="O1510">
        <v>3232.6</v>
      </c>
      <c r="P1510">
        <f t="shared" si="23"/>
        <v>0.77369327972429625</v>
      </c>
    </row>
    <row r="1511" spans="1:16" hidden="1" x14ac:dyDescent="0.25">
      <c r="A1511">
        <v>0</v>
      </c>
      <c r="B1511">
        <v>5000</v>
      </c>
      <c r="C1511">
        <f>1.225 * (1 - 0.00000687559 * B1511) ^ 4.2561</f>
        <v>1.0555380742846066</v>
      </c>
      <c r="D1511">
        <f>E1511*(SQRT($C$2/C1511))</f>
        <v>237.00296186700291</v>
      </c>
      <c r="E1511">
        <v>220</v>
      </c>
      <c r="F1511">
        <v>1215</v>
      </c>
      <c r="G1511">
        <v>2000</v>
      </c>
      <c r="H1511">
        <f>CONVERT(G1511,"HP","kW")</f>
        <v>1491.3997431645405</v>
      </c>
      <c r="I1511">
        <v>0.8901</v>
      </c>
      <c r="J1511">
        <v>1.5195000000000001</v>
      </c>
      <c r="K1511">
        <v>0.6411</v>
      </c>
      <c r="L1511">
        <v>0.1741</v>
      </c>
      <c r="M1511">
        <v>0.10199999999999999</v>
      </c>
      <c r="N1511">
        <f>CONVERT(O1511,"lbf","N")</f>
        <v>10888.356869834652</v>
      </c>
      <c r="O1511">
        <v>2447.8000000000002</v>
      </c>
      <c r="P1511">
        <f t="shared" si="23"/>
        <v>0.58587018954623771</v>
      </c>
    </row>
    <row r="1512" spans="1:16" hidden="1" x14ac:dyDescent="0.25">
      <c r="A1512">
        <v>0</v>
      </c>
      <c r="B1512">
        <v>5000</v>
      </c>
      <c r="C1512">
        <f>1.225 * (1 - 0.00000687559 * B1512) ^ 4.2561</f>
        <v>1.0555380742846066</v>
      </c>
      <c r="D1512">
        <f>E1512*(SQRT($C$2/C1512))</f>
        <v>258.5486856730941</v>
      </c>
      <c r="E1512">
        <v>240</v>
      </c>
      <c r="F1512">
        <v>1215</v>
      </c>
      <c r="G1512">
        <v>2000</v>
      </c>
      <c r="H1512">
        <f>CONVERT(G1512,"HP","kW")</f>
        <v>1491.3997431645405</v>
      </c>
      <c r="I1512">
        <v>0.89200000000000002</v>
      </c>
      <c r="J1512">
        <v>1.6577</v>
      </c>
      <c r="K1512">
        <v>0.66059999999999997</v>
      </c>
      <c r="L1512">
        <v>0.1741</v>
      </c>
      <c r="M1512">
        <v>9.3700000000000006E-2</v>
      </c>
      <c r="N1512">
        <f>CONVERT(O1512,"lbf","N")</f>
        <v>10001.826301913234</v>
      </c>
      <c r="O1512">
        <v>2248.5</v>
      </c>
      <c r="P1512">
        <f t="shared" si="23"/>
        <v>0.53819643882825963</v>
      </c>
    </row>
    <row r="1513" spans="1:16" hidden="1" x14ac:dyDescent="0.25">
      <c r="A1513">
        <v>0</v>
      </c>
      <c r="B1513">
        <v>5000</v>
      </c>
      <c r="C1513">
        <f>1.225 * (1 - 0.00000687559 * B1513) ^ 4.2561</f>
        <v>1.0555380742846066</v>
      </c>
      <c r="D1513">
        <f>E1513*(SQRT($C$2/C1513))</f>
        <v>280.09440947918529</v>
      </c>
      <c r="E1513">
        <v>260</v>
      </c>
      <c r="F1513">
        <v>1215</v>
      </c>
      <c r="G1513">
        <v>2000</v>
      </c>
      <c r="H1513">
        <f>CONVERT(G1513,"HP","kW")</f>
        <v>1491.3997431645405</v>
      </c>
      <c r="I1513">
        <v>0.88690000000000002</v>
      </c>
      <c r="J1513">
        <v>1.7958000000000001</v>
      </c>
      <c r="K1513">
        <v>0.68110000000000004</v>
      </c>
      <c r="L1513">
        <v>0.1741</v>
      </c>
      <c r="M1513">
        <v>8.5999999999999993E-2</v>
      </c>
      <c r="N1513">
        <f>CONVERT(O1513,"lbf","N")</f>
        <v>9179.7949474130928</v>
      </c>
      <c r="O1513">
        <v>2063.6999999999998</v>
      </c>
      <c r="P1513">
        <f t="shared" si="23"/>
        <v>0.49396898334290634</v>
      </c>
    </row>
    <row r="1514" spans="1:16" hidden="1" x14ac:dyDescent="0.25">
      <c r="A1514">
        <v>0</v>
      </c>
      <c r="B1514">
        <v>5000</v>
      </c>
      <c r="C1514">
        <f>1.225 * (1 - 0.00000687559 * B1514) ^ 4.2561</f>
        <v>1.0555380742846066</v>
      </c>
      <c r="D1514">
        <f>E1514*(SQRT($C$2/C1514))</f>
        <v>0</v>
      </c>
      <c r="E1514">
        <v>0</v>
      </c>
      <c r="F1514">
        <v>1215</v>
      </c>
      <c r="G1514">
        <v>2000</v>
      </c>
      <c r="H1514">
        <f>CONVERT(G1514,"HP","kW")</f>
        <v>1491.3997431645405</v>
      </c>
      <c r="I1514">
        <v>0</v>
      </c>
      <c r="J1514">
        <v>0</v>
      </c>
      <c r="K1514">
        <v>0.5121</v>
      </c>
      <c r="L1514">
        <v>0.17419999999999999</v>
      </c>
      <c r="M1514">
        <v>0.27339999999999998</v>
      </c>
      <c r="N1514">
        <f>CONVERT(O1514,"lbf","N")</f>
        <v>29170.102886393779</v>
      </c>
      <c r="O1514">
        <v>6557.7</v>
      </c>
      <c r="P1514">
        <f t="shared" si="23"/>
        <v>1.5694603903559126</v>
      </c>
    </row>
    <row r="1515" spans="1:16" hidden="1" x14ac:dyDescent="0.25">
      <c r="A1515">
        <v>0</v>
      </c>
      <c r="B1515">
        <v>5000</v>
      </c>
      <c r="C1515">
        <f>1.225 * (1 - 0.00000687559 * B1515) ^ 4.2561</f>
        <v>1.0555380742846066</v>
      </c>
      <c r="D1515">
        <f>E1515*(SQRT($C$2/C1515))</f>
        <v>107.72861903045587</v>
      </c>
      <c r="E1515">
        <v>100</v>
      </c>
      <c r="F1515">
        <v>1215</v>
      </c>
      <c r="G1515">
        <v>2000</v>
      </c>
      <c r="H1515">
        <f>CONVERT(G1515,"HP","kW")</f>
        <v>1491.3997431645405</v>
      </c>
      <c r="I1515">
        <v>0.73550000000000004</v>
      </c>
      <c r="J1515">
        <v>0.69069999999999998</v>
      </c>
      <c r="K1515">
        <v>0.55079999999999996</v>
      </c>
      <c r="L1515">
        <v>0.17419999999999999</v>
      </c>
      <c r="M1515">
        <v>0.1855</v>
      </c>
      <c r="N1515">
        <f>CONVERT(O1515,"lbf","N")</f>
        <v>19791.917254940068</v>
      </c>
      <c r="O1515">
        <v>4449.3999999999996</v>
      </c>
      <c r="P1515">
        <f t="shared" si="23"/>
        <v>1.0648679678530426</v>
      </c>
    </row>
    <row r="1516" spans="1:16" hidden="1" x14ac:dyDescent="0.25">
      <c r="A1516">
        <v>0</v>
      </c>
      <c r="B1516">
        <v>5000</v>
      </c>
      <c r="C1516">
        <f>1.225 * (1 - 0.00000687559 * B1516) ^ 4.2561</f>
        <v>1.0555380742846066</v>
      </c>
      <c r="D1516">
        <f>E1516*(SQRT($C$2/C1516))</f>
        <v>129.27434283654705</v>
      </c>
      <c r="E1516">
        <v>120</v>
      </c>
      <c r="F1516">
        <v>1215</v>
      </c>
      <c r="G1516">
        <v>2000</v>
      </c>
      <c r="H1516">
        <f>CONVERT(G1516,"HP","kW")</f>
        <v>1491.3997431645405</v>
      </c>
      <c r="I1516">
        <v>0.79049999999999998</v>
      </c>
      <c r="J1516">
        <v>0.82879999999999998</v>
      </c>
      <c r="K1516">
        <v>0.56230000000000002</v>
      </c>
      <c r="L1516">
        <v>0.17419999999999999</v>
      </c>
      <c r="M1516">
        <v>0.1661</v>
      </c>
      <c r="N1516">
        <f>CONVERT(O1516,"lbf","N")</f>
        <v>17727.497603297674</v>
      </c>
      <c r="O1516">
        <v>3985.3</v>
      </c>
      <c r="P1516">
        <f t="shared" si="23"/>
        <v>0.95350172215843865</v>
      </c>
    </row>
    <row r="1517" spans="1:16" hidden="1" x14ac:dyDescent="0.25">
      <c r="A1517">
        <v>0</v>
      </c>
      <c r="B1517">
        <v>5000</v>
      </c>
      <c r="C1517">
        <f>1.225 * (1 - 0.00000687559 * B1517) ^ 4.2561</f>
        <v>1.0555380742846066</v>
      </c>
      <c r="D1517">
        <f>E1517*(SQRT($C$2/C1517))</f>
        <v>150.82006664263821</v>
      </c>
      <c r="E1517">
        <v>140</v>
      </c>
      <c r="F1517">
        <v>1215</v>
      </c>
      <c r="G1517">
        <v>2000</v>
      </c>
      <c r="H1517">
        <f>CONVERT(G1517,"HP","kW")</f>
        <v>1491.3997431645405</v>
      </c>
      <c r="I1517">
        <v>0.82869999999999999</v>
      </c>
      <c r="J1517">
        <v>0.96699999999999997</v>
      </c>
      <c r="K1517">
        <v>0.57530000000000003</v>
      </c>
      <c r="L1517">
        <v>0.17419999999999999</v>
      </c>
      <c r="M1517">
        <v>0.14929999999999999</v>
      </c>
      <c r="N1517">
        <f>CONVERT(O1517,"lbf","N")</f>
        <v>15929.081604247851</v>
      </c>
      <c r="O1517">
        <v>3581</v>
      </c>
      <c r="P1517">
        <f t="shared" si="23"/>
        <v>0.85706084959816298</v>
      </c>
    </row>
    <row r="1518" spans="1:16" hidden="1" x14ac:dyDescent="0.25">
      <c r="A1518">
        <v>0</v>
      </c>
      <c r="B1518">
        <v>5000</v>
      </c>
      <c r="C1518">
        <f>1.225 * (1 - 0.00000687559 * B1518) ^ 4.2561</f>
        <v>1.0555380742846066</v>
      </c>
      <c r="D1518">
        <f>E1518*(SQRT($C$2/C1518))</f>
        <v>193.91151425482059</v>
      </c>
      <c r="E1518">
        <v>180</v>
      </c>
      <c r="F1518">
        <v>1215</v>
      </c>
      <c r="G1518">
        <v>2000</v>
      </c>
      <c r="H1518">
        <f>CONVERT(G1518,"HP","kW")</f>
        <v>1491.3997431645405</v>
      </c>
      <c r="I1518">
        <v>0.87250000000000005</v>
      </c>
      <c r="J1518">
        <v>1.2432000000000001</v>
      </c>
      <c r="K1518">
        <v>0.60560000000000003</v>
      </c>
      <c r="L1518">
        <v>0.17419999999999999</v>
      </c>
      <c r="M1518">
        <v>0.1222</v>
      </c>
      <c r="N1518">
        <f>CONVERT(O1518,"lbf","N")</f>
        <v>13044.409886751415</v>
      </c>
      <c r="O1518">
        <v>2932.5</v>
      </c>
      <c r="P1518">
        <f t="shared" si="23"/>
        <v>0.70149253731343286</v>
      </c>
    </row>
    <row r="1519" spans="1:16" hidden="1" x14ac:dyDescent="0.25">
      <c r="A1519">
        <v>0</v>
      </c>
      <c r="B1519">
        <v>5000</v>
      </c>
      <c r="C1519">
        <f>1.225 * (1 - 0.00000687559 * B1519) ^ 4.2561</f>
        <v>1.0555380742846066</v>
      </c>
      <c r="D1519">
        <f>E1519*(SQRT($C$2/C1519))</f>
        <v>215.45723806091175</v>
      </c>
      <c r="E1519">
        <v>200</v>
      </c>
      <c r="F1519">
        <v>1215</v>
      </c>
      <c r="G1519">
        <v>2000</v>
      </c>
      <c r="H1519">
        <f>CONVERT(G1519,"HP","kW")</f>
        <v>1491.3997431645405</v>
      </c>
      <c r="I1519">
        <v>0.88380000000000003</v>
      </c>
      <c r="J1519">
        <v>1.3814</v>
      </c>
      <c r="K1519">
        <v>0.62270000000000003</v>
      </c>
      <c r="L1519">
        <v>0.17419999999999999</v>
      </c>
      <c r="M1519">
        <v>0.1114</v>
      </c>
      <c r="N1519">
        <f>CONVERT(O1519,"lbf","N")</f>
        <v>11891.430844075896</v>
      </c>
      <c r="O1519">
        <v>2673.3</v>
      </c>
      <c r="P1519">
        <f t="shared" si="23"/>
        <v>0.63949483352468428</v>
      </c>
    </row>
    <row r="1520" spans="1:16" hidden="1" x14ac:dyDescent="0.25">
      <c r="A1520">
        <v>0</v>
      </c>
      <c r="B1520">
        <v>5000</v>
      </c>
      <c r="C1520">
        <f>1.225 * (1 - 0.00000687559 * B1520) ^ 4.2561</f>
        <v>1.0555380742846066</v>
      </c>
      <c r="D1520">
        <f>E1520*(SQRT($C$2/C1520))</f>
        <v>64.637171418273525</v>
      </c>
      <c r="E1520">
        <v>60</v>
      </c>
      <c r="F1520">
        <v>1215</v>
      </c>
      <c r="G1520">
        <v>2000</v>
      </c>
      <c r="H1520">
        <f>CONVERT(G1520,"HP","kW")</f>
        <v>1491.3997431645405</v>
      </c>
      <c r="I1520">
        <v>0.54710000000000003</v>
      </c>
      <c r="J1520">
        <v>0.41439999999999999</v>
      </c>
      <c r="K1520">
        <v>0.53169999999999995</v>
      </c>
      <c r="L1520">
        <v>0.1744</v>
      </c>
      <c r="M1520">
        <v>0.23019999999999999</v>
      </c>
      <c r="N1520">
        <f>CONVERT(O1520,"lbf","N")</f>
        <v>24539.059362746077</v>
      </c>
      <c r="O1520">
        <v>5516.6</v>
      </c>
      <c r="P1520">
        <f t="shared" si="23"/>
        <v>1.3199541284403669</v>
      </c>
    </row>
    <row r="1521" spans="1:16" hidden="1" x14ac:dyDescent="0.25">
      <c r="A1521">
        <v>0</v>
      </c>
      <c r="B1521">
        <v>5000</v>
      </c>
      <c r="C1521">
        <f>1.225 * (1 - 0.00000687559 * B1521) ^ 4.2561</f>
        <v>1.0555380742846066</v>
      </c>
      <c r="D1521">
        <f>E1521*(SQRT($C$2/C1521))</f>
        <v>86.1828952243647</v>
      </c>
      <c r="E1521">
        <v>80</v>
      </c>
      <c r="F1521">
        <v>1215</v>
      </c>
      <c r="G1521">
        <v>2000</v>
      </c>
      <c r="H1521">
        <f>CONVERT(G1521,"HP","kW")</f>
        <v>1491.3997431645405</v>
      </c>
      <c r="I1521">
        <v>0.65720000000000001</v>
      </c>
      <c r="J1521">
        <v>0.55259999999999998</v>
      </c>
      <c r="K1521">
        <v>0.54059999999999997</v>
      </c>
      <c r="L1521">
        <v>0.1744</v>
      </c>
      <c r="M1521">
        <v>0.20749999999999999</v>
      </c>
      <c r="N1521">
        <f>CONVERT(O1521,"lbf","N")</f>
        <v>22108.106250006214</v>
      </c>
      <c r="O1521">
        <v>4970.1000000000004</v>
      </c>
      <c r="P1521">
        <f t="shared" si="23"/>
        <v>1.1897935779816513</v>
      </c>
    </row>
    <row r="1522" spans="1:16" hidden="1" x14ac:dyDescent="0.25">
      <c r="A1522">
        <v>0</v>
      </c>
      <c r="B1522">
        <v>0</v>
      </c>
      <c r="C1522">
        <f>1.225 * (1 - 0.00000687559 * B1522) ^ 4.2561</f>
        <v>1.2250000000000001</v>
      </c>
      <c r="D1522">
        <f>E1522*(SQRT($C$2/C1522))</f>
        <v>20</v>
      </c>
      <c r="E1522">
        <v>20</v>
      </c>
      <c r="F1522">
        <v>987</v>
      </c>
      <c r="G1522">
        <v>1250</v>
      </c>
      <c r="H1522">
        <f>CONVERT(G1522,"HP","kW")</f>
        <v>932.12483947783778</v>
      </c>
      <c r="I1522">
        <v>0.2419</v>
      </c>
      <c r="J1522">
        <v>0.1578</v>
      </c>
      <c r="K1522">
        <v>0.41349999999999998</v>
      </c>
      <c r="L1522">
        <v>0.17480000000000001</v>
      </c>
      <c r="M1522">
        <v>0.26800000000000002</v>
      </c>
      <c r="N1522">
        <f>CONVERT(O1522,"lbf","N")</f>
        <v>21916.832720550014</v>
      </c>
      <c r="O1522">
        <v>4927.1000000000004</v>
      </c>
      <c r="P1522">
        <f t="shared" si="23"/>
        <v>1.5331807780320366</v>
      </c>
    </row>
    <row r="1523" spans="1:16" hidden="1" x14ac:dyDescent="0.25">
      <c r="A1523">
        <v>0</v>
      </c>
      <c r="B1523">
        <v>0</v>
      </c>
      <c r="C1523">
        <f>1.225 * (1 - 0.00000687559 * B1523) ^ 4.2561</f>
        <v>1.2250000000000001</v>
      </c>
      <c r="D1523">
        <f>E1523*(SQRT($C$2/C1523))</f>
        <v>120</v>
      </c>
      <c r="E1523">
        <v>120</v>
      </c>
      <c r="F1523">
        <v>987</v>
      </c>
      <c r="G1523">
        <v>1250</v>
      </c>
      <c r="H1523">
        <f>CONVERT(G1523,"HP","kW")</f>
        <v>932.12483947783778</v>
      </c>
      <c r="I1523">
        <v>0.82410000000000005</v>
      </c>
      <c r="J1523">
        <v>0.94710000000000005</v>
      </c>
      <c r="K1523">
        <v>0.4577</v>
      </c>
      <c r="L1523">
        <v>0.17480000000000001</v>
      </c>
      <c r="M1523">
        <v>0.15210000000000001</v>
      </c>
      <c r="N1523">
        <f>CONVERT(O1523,"lbf","N")</f>
        <v>12443.899968691248</v>
      </c>
      <c r="O1523">
        <v>2797.5</v>
      </c>
      <c r="P1523">
        <f t="shared" si="23"/>
        <v>0.87013729977116705</v>
      </c>
    </row>
    <row r="1524" spans="1:16" hidden="1" x14ac:dyDescent="0.25">
      <c r="A1524">
        <v>0</v>
      </c>
      <c r="B1524">
        <v>0</v>
      </c>
      <c r="C1524">
        <f>1.225 * (1 - 0.00000687559 * B1524) ^ 4.2561</f>
        <v>1.2250000000000001</v>
      </c>
      <c r="D1524">
        <f>E1524*(SQRT($C$2/C1524))</f>
        <v>140</v>
      </c>
      <c r="E1524">
        <v>140</v>
      </c>
      <c r="F1524">
        <v>987</v>
      </c>
      <c r="G1524">
        <v>1250</v>
      </c>
      <c r="H1524">
        <f>CONVERT(G1524,"HP","kW")</f>
        <v>932.12483947783778</v>
      </c>
      <c r="I1524">
        <v>0.8548</v>
      </c>
      <c r="J1524">
        <v>1.1049</v>
      </c>
      <c r="K1524">
        <v>0.4708</v>
      </c>
      <c r="L1524">
        <v>0.1749</v>
      </c>
      <c r="M1524">
        <v>0.1353</v>
      </c>
      <c r="N1524">
        <f>CONVERT(O1524,"lbf","N")</f>
        <v>11062.727157152865</v>
      </c>
      <c r="O1524">
        <v>2487</v>
      </c>
      <c r="P1524">
        <f t="shared" si="23"/>
        <v>0.77358490566037741</v>
      </c>
    </row>
    <row r="1525" spans="1:16" hidden="1" x14ac:dyDescent="0.25">
      <c r="A1525">
        <v>0</v>
      </c>
      <c r="B1525">
        <v>0</v>
      </c>
      <c r="C1525">
        <f>1.225 * (1 - 0.00000687559 * B1525) ^ 4.2561</f>
        <v>1.2250000000000001</v>
      </c>
      <c r="D1525">
        <f>E1525*(SQRT($C$2/C1525))</f>
        <v>220</v>
      </c>
      <c r="E1525">
        <v>220</v>
      </c>
      <c r="F1525">
        <v>987</v>
      </c>
      <c r="G1525">
        <v>1250</v>
      </c>
      <c r="H1525">
        <f>CONVERT(G1525,"HP","kW")</f>
        <v>932.12483947783778</v>
      </c>
      <c r="I1525">
        <v>0.89280000000000004</v>
      </c>
      <c r="J1525">
        <v>1.7363</v>
      </c>
      <c r="K1525">
        <v>0.53649999999999998</v>
      </c>
      <c r="L1525">
        <v>0.1749</v>
      </c>
      <c r="M1525">
        <v>0.09</v>
      </c>
      <c r="N1525">
        <f>CONVERT(O1525,"lbf","N")</f>
        <v>7352.9103300256065</v>
      </c>
      <c r="O1525">
        <v>1653</v>
      </c>
      <c r="P1525">
        <f t="shared" si="23"/>
        <v>0.51457975986277871</v>
      </c>
    </row>
    <row r="1526" spans="1:16" hidden="1" x14ac:dyDescent="0.25">
      <c r="A1526">
        <v>0</v>
      </c>
      <c r="B1526">
        <v>0</v>
      </c>
      <c r="C1526">
        <f>1.225 * (1 - 0.00000687559 * B1526) ^ 4.2561</f>
        <v>1.2250000000000001</v>
      </c>
      <c r="D1526">
        <f>E1526*(SQRT($C$2/C1526))</f>
        <v>0</v>
      </c>
      <c r="E1526">
        <v>0</v>
      </c>
      <c r="F1526">
        <v>987</v>
      </c>
      <c r="G1526">
        <v>1250</v>
      </c>
      <c r="H1526">
        <f>CONVERT(G1526,"HP","kW")</f>
        <v>932.12483947783778</v>
      </c>
      <c r="I1526">
        <v>0</v>
      </c>
      <c r="J1526">
        <v>0</v>
      </c>
      <c r="K1526">
        <v>0.40870000000000001</v>
      </c>
      <c r="L1526">
        <v>0.17499999999999999</v>
      </c>
      <c r="M1526">
        <v>0.27679999999999999</v>
      </c>
      <c r="N1526">
        <f>CONVERT(O1526,"lbf","N")</f>
        <v>22624.989601699483</v>
      </c>
      <c r="O1526">
        <v>5086.3</v>
      </c>
      <c r="P1526">
        <f t="shared" si="23"/>
        <v>1.5817142857142859</v>
      </c>
    </row>
    <row r="1527" spans="1:16" hidden="1" x14ac:dyDescent="0.25">
      <c r="A1527">
        <v>0</v>
      </c>
      <c r="B1527">
        <v>0</v>
      </c>
      <c r="C1527">
        <f>1.225 * (1 - 0.00000687559 * B1527) ^ 4.2561</f>
        <v>1.2250000000000001</v>
      </c>
      <c r="D1527">
        <f>E1527*(SQRT($C$2/C1527))</f>
        <v>40</v>
      </c>
      <c r="E1527">
        <v>40</v>
      </c>
      <c r="F1527">
        <v>987</v>
      </c>
      <c r="G1527">
        <v>1250</v>
      </c>
      <c r="H1527">
        <f>CONVERT(G1527,"HP","kW")</f>
        <v>932.12483947783778</v>
      </c>
      <c r="I1527">
        <v>0.44629999999999997</v>
      </c>
      <c r="J1527">
        <v>0.31569999999999998</v>
      </c>
      <c r="K1527">
        <v>0.4199</v>
      </c>
      <c r="L1527">
        <v>0.17499999999999999</v>
      </c>
      <c r="M1527">
        <v>0.24740000000000001</v>
      </c>
      <c r="N1527">
        <f>CONVERT(O1527,"lbf","N")</f>
        <v>20216.277597035922</v>
      </c>
      <c r="O1527">
        <v>4544.8</v>
      </c>
      <c r="P1527">
        <f t="shared" si="23"/>
        <v>1.4137142857142859</v>
      </c>
    </row>
    <row r="1528" spans="1:16" hidden="1" x14ac:dyDescent="0.25">
      <c r="A1528">
        <v>0</v>
      </c>
      <c r="B1528">
        <v>0</v>
      </c>
      <c r="C1528">
        <f>1.225 * (1 - 0.00000687559 * B1528) ^ 4.2561</f>
        <v>1.2250000000000001</v>
      </c>
      <c r="D1528">
        <f>E1528*(SQRT($C$2/C1528))</f>
        <v>80</v>
      </c>
      <c r="E1528">
        <v>80</v>
      </c>
      <c r="F1528">
        <v>987</v>
      </c>
      <c r="G1528">
        <v>1250</v>
      </c>
      <c r="H1528">
        <f>CONVERT(G1528,"HP","kW")</f>
        <v>932.12483947783778</v>
      </c>
      <c r="I1528">
        <v>0.7056</v>
      </c>
      <c r="J1528">
        <v>0.63139999999999996</v>
      </c>
      <c r="K1528">
        <v>0.43609999999999999</v>
      </c>
      <c r="L1528">
        <v>0.17499999999999999</v>
      </c>
      <c r="M1528">
        <v>0.19550000000000001</v>
      </c>
      <c r="N1528">
        <f>CONVERT(O1528,"lbf","N")</f>
        <v>15981.570619307926</v>
      </c>
      <c r="O1528">
        <v>3592.8</v>
      </c>
      <c r="P1528">
        <f t="shared" si="23"/>
        <v>1.1171428571428572</v>
      </c>
    </row>
    <row r="1529" spans="1:16" hidden="1" x14ac:dyDescent="0.25">
      <c r="A1529">
        <v>0</v>
      </c>
      <c r="B1529">
        <v>0</v>
      </c>
      <c r="C1529">
        <f>1.225 * (1 - 0.00000687559 * B1529) ^ 4.2561</f>
        <v>1.2250000000000001</v>
      </c>
      <c r="D1529">
        <f>E1529*(SQRT($C$2/C1529))</f>
        <v>100</v>
      </c>
      <c r="E1529">
        <v>100</v>
      </c>
      <c r="F1529">
        <v>987</v>
      </c>
      <c r="G1529">
        <v>1250</v>
      </c>
      <c r="H1529">
        <f>CONVERT(G1529,"HP","kW")</f>
        <v>932.12483947783778</v>
      </c>
      <c r="I1529">
        <v>0.77690000000000003</v>
      </c>
      <c r="J1529">
        <v>0.78920000000000001</v>
      </c>
      <c r="K1529">
        <v>0.4461</v>
      </c>
      <c r="L1529">
        <v>0.17499999999999999</v>
      </c>
      <c r="M1529">
        <v>0.17230000000000001</v>
      </c>
      <c r="N1529">
        <f>CONVERT(O1529,"lbf","N")</f>
        <v>14076.397301491852</v>
      </c>
      <c r="O1529">
        <v>3164.5</v>
      </c>
      <c r="P1529">
        <f t="shared" si="23"/>
        <v>0.98457142857142865</v>
      </c>
    </row>
    <row r="1530" spans="1:16" hidden="1" x14ac:dyDescent="0.25">
      <c r="A1530">
        <v>0</v>
      </c>
      <c r="B1530">
        <v>0</v>
      </c>
      <c r="C1530">
        <f>1.225 * (1 - 0.00000687559 * B1530) ^ 4.2561</f>
        <v>1.2250000000000001</v>
      </c>
      <c r="D1530">
        <f>E1530*(SQRT($C$2/C1530))</f>
        <v>160</v>
      </c>
      <c r="E1530">
        <v>160</v>
      </c>
      <c r="F1530">
        <v>987</v>
      </c>
      <c r="G1530">
        <v>1250</v>
      </c>
      <c r="H1530">
        <f>CONVERT(G1530,"HP","kW")</f>
        <v>932.12483947783778</v>
      </c>
      <c r="I1530">
        <v>0.87419999999999998</v>
      </c>
      <c r="J1530">
        <v>1.2627999999999999</v>
      </c>
      <c r="K1530">
        <v>0.48530000000000001</v>
      </c>
      <c r="L1530">
        <v>0.17499999999999999</v>
      </c>
      <c r="M1530">
        <v>0.1211</v>
      </c>
      <c r="N1530">
        <f>CONVERT(O1530,"lbf","N")</f>
        <v>9899.5172047622436</v>
      </c>
      <c r="O1530">
        <v>2225.5</v>
      </c>
      <c r="P1530">
        <f t="shared" si="23"/>
        <v>0.69200000000000006</v>
      </c>
    </row>
    <row r="1531" spans="1:16" hidden="1" x14ac:dyDescent="0.25">
      <c r="A1531">
        <v>0</v>
      </c>
      <c r="B1531">
        <v>0</v>
      </c>
      <c r="C1531">
        <f>1.225 * (1 - 0.00000687559 * B1531) ^ 4.2561</f>
        <v>1.2250000000000001</v>
      </c>
      <c r="D1531">
        <f>E1531*(SQRT($C$2/C1531))</f>
        <v>180</v>
      </c>
      <c r="E1531">
        <v>180</v>
      </c>
      <c r="F1531">
        <v>987</v>
      </c>
      <c r="G1531">
        <v>1250</v>
      </c>
      <c r="H1531">
        <f>CONVERT(G1531,"HP","kW")</f>
        <v>932.12483947783778</v>
      </c>
      <c r="I1531">
        <v>0.88580000000000003</v>
      </c>
      <c r="J1531">
        <v>1.4206000000000001</v>
      </c>
      <c r="K1531">
        <v>0.50119999999999998</v>
      </c>
      <c r="L1531">
        <v>0.17499999999999999</v>
      </c>
      <c r="M1531">
        <v>0.1091</v>
      </c>
      <c r="N1531">
        <f>CONVERT(O1531,"lbf","N")</f>
        <v>8916.0154056281463</v>
      </c>
      <c r="O1531">
        <v>2004.4</v>
      </c>
      <c r="P1531">
        <f t="shared" si="23"/>
        <v>0.62342857142857144</v>
      </c>
    </row>
    <row r="1532" spans="1:16" hidden="1" x14ac:dyDescent="0.25">
      <c r="A1532">
        <v>0</v>
      </c>
      <c r="B1532">
        <v>0</v>
      </c>
      <c r="C1532">
        <f>1.225 * (1 - 0.00000687559 * B1532) ^ 4.2561</f>
        <v>1.2250000000000001</v>
      </c>
      <c r="D1532">
        <f>E1532*(SQRT($C$2/C1532))</f>
        <v>200</v>
      </c>
      <c r="E1532">
        <v>200</v>
      </c>
      <c r="F1532">
        <v>987</v>
      </c>
      <c r="G1532">
        <v>1250</v>
      </c>
      <c r="H1532">
        <f>CONVERT(G1532,"HP","kW")</f>
        <v>932.12483947783778</v>
      </c>
      <c r="I1532">
        <v>0.89159999999999995</v>
      </c>
      <c r="J1532">
        <v>1.5785</v>
      </c>
      <c r="K1532">
        <v>0.51829999999999998</v>
      </c>
      <c r="L1532">
        <v>0.17499999999999999</v>
      </c>
      <c r="M1532">
        <v>9.8799999999999999E-2</v>
      </c>
      <c r="N1532">
        <f>CONVERT(O1532,"lbf","N")</f>
        <v>8077.970453313068</v>
      </c>
      <c r="O1532">
        <v>1816</v>
      </c>
      <c r="P1532">
        <f t="shared" si="23"/>
        <v>0.56457142857142861</v>
      </c>
    </row>
    <row r="1533" spans="1:16" hidden="1" x14ac:dyDescent="0.25">
      <c r="A1533">
        <v>0</v>
      </c>
      <c r="B1533">
        <v>0</v>
      </c>
      <c r="C1533">
        <f>1.225 * (1 - 0.00000687559 * B1533) ^ 4.2561</f>
        <v>1.2250000000000001</v>
      </c>
      <c r="D1533">
        <f>E1533*(SQRT($C$2/C1533))</f>
        <v>240</v>
      </c>
      <c r="E1533">
        <v>240</v>
      </c>
      <c r="F1533">
        <v>987</v>
      </c>
      <c r="G1533">
        <v>1250</v>
      </c>
      <c r="H1533">
        <f>CONVERT(G1533,"HP","kW")</f>
        <v>932.12483947783778</v>
      </c>
      <c r="I1533">
        <v>0.8891</v>
      </c>
      <c r="J1533">
        <v>1.8942000000000001</v>
      </c>
      <c r="K1533">
        <v>0.55579999999999996</v>
      </c>
      <c r="L1533">
        <v>0.17499999999999999</v>
      </c>
      <c r="M1533">
        <v>8.2100000000000006E-2</v>
      </c>
      <c r="N1533">
        <f>CONVERT(O1533,"lbf","N")</f>
        <v>6712.3664174280939</v>
      </c>
      <c r="O1533">
        <v>1509</v>
      </c>
      <c r="P1533">
        <f t="shared" si="23"/>
        <v>0.46914285714285719</v>
      </c>
    </row>
    <row r="1534" spans="1:16" hidden="1" x14ac:dyDescent="0.25">
      <c r="A1534">
        <v>0</v>
      </c>
      <c r="B1534">
        <v>0</v>
      </c>
      <c r="C1534">
        <f>1.225 * (1 - 0.00000687559 * B1534) ^ 4.2561</f>
        <v>1.2250000000000001</v>
      </c>
      <c r="D1534">
        <f>E1534*(SQRT($C$2/C1534))</f>
        <v>260</v>
      </c>
      <c r="E1534">
        <v>260</v>
      </c>
      <c r="F1534">
        <v>987</v>
      </c>
      <c r="G1534">
        <v>1250</v>
      </c>
      <c r="H1534">
        <f>CONVERT(G1534,"HP","kW")</f>
        <v>932.12483947783778</v>
      </c>
      <c r="I1534">
        <v>0.88009999999999999</v>
      </c>
      <c r="J1534">
        <v>2.052</v>
      </c>
      <c r="K1534">
        <v>0.57599999999999996</v>
      </c>
      <c r="L1534">
        <v>0.17499999999999999</v>
      </c>
      <c r="M1534">
        <v>7.4999999999999997E-2</v>
      </c>
      <c r="N1534">
        <f>CONVERT(O1534,"lbf","N")</f>
        <v>6133.2079631211773</v>
      </c>
      <c r="O1534">
        <v>1378.8</v>
      </c>
      <c r="P1534">
        <f t="shared" si="23"/>
        <v>0.4285714285714286</v>
      </c>
    </row>
    <row r="1535" spans="1:16" hidden="1" x14ac:dyDescent="0.25">
      <c r="A1535">
        <v>0</v>
      </c>
      <c r="B1535">
        <v>0</v>
      </c>
      <c r="C1535">
        <f>1.225 * (1 - 0.00000687559 * B1535) ^ 4.2561</f>
        <v>1.2250000000000001</v>
      </c>
      <c r="D1535">
        <f>E1535*(SQRT($C$2/C1535))</f>
        <v>60</v>
      </c>
      <c r="E1535">
        <v>60</v>
      </c>
      <c r="F1535">
        <v>987</v>
      </c>
      <c r="G1535">
        <v>1250</v>
      </c>
      <c r="H1535">
        <f>CONVERT(G1535,"HP","kW")</f>
        <v>932.12483947783778</v>
      </c>
      <c r="I1535">
        <v>0.59950000000000003</v>
      </c>
      <c r="J1535">
        <v>0.47349999999999998</v>
      </c>
      <c r="K1535">
        <v>0.4274</v>
      </c>
      <c r="L1535">
        <v>0.17510000000000001</v>
      </c>
      <c r="M1535">
        <v>0.22159999999999999</v>
      </c>
      <c r="N1535">
        <f>CONVERT(O1535,"lbf","N")</f>
        <v>18102.482685464132</v>
      </c>
      <c r="O1535">
        <v>4069.6</v>
      </c>
      <c r="P1535">
        <f t="shared" si="23"/>
        <v>1.2655625356938891</v>
      </c>
    </row>
    <row r="1536" spans="1:16" hidden="1" x14ac:dyDescent="0.25">
      <c r="A1536">
        <v>0</v>
      </c>
      <c r="B1536">
        <v>15000</v>
      </c>
      <c r="C1536">
        <f>1.225 * (1 - 0.00000687559 * B1536) ^ 4.2561</f>
        <v>0.77079726910167001</v>
      </c>
      <c r="D1536">
        <f>E1536*(SQRT($C$2/C1536))</f>
        <v>327.77159060792974</v>
      </c>
      <c r="E1536">
        <v>260</v>
      </c>
      <c r="F1536">
        <v>1150</v>
      </c>
      <c r="G1536">
        <v>1250</v>
      </c>
      <c r="H1536">
        <f>CONVERT(G1536,"HP","kW")</f>
        <v>932.12483947783778</v>
      </c>
      <c r="I1536">
        <v>0.80710000000000004</v>
      </c>
      <c r="J1536">
        <v>2.2202000000000002</v>
      </c>
      <c r="K1536">
        <v>0.73640000000000005</v>
      </c>
      <c r="L1536">
        <v>0.17560000000000001</v>
      </c>
      <c r="M1536">
        <v>6.3799999999999996E-2</v>
      </c>
      <c r="N1536">
        <f>CONVERT(O1536,"lbf","N")</f>
        <v>4461.5662801062817</v>
      </c>
      <c r="O1536">
        <v>1003</v>
      </c>
      <c r="P1536">
        <f t="shared" si="23"/>
        <v>0.36332574031890658</v>
      </c>
    </row>
    <row r="1537" spans="1:16" hidden="1" x14ac:dyDescent="0.25">
      <c r="A1537">
        <v>0</v>
      </c>
      <c r="B1537">
        <v>15000</v>
      </c>
      <c r="C1537">
        <f>1.225 * (1 - 0.00000687559 * B1537) ^ 4.2561</f>
        <v>0.77079726910167001</v>
      </c>
      <c r="D1537">
        <f>E1537*(SQRT($C$2/C1537))</f>
        <v>100.85279711013223</v>
      </c>
      <c r="E1537">
        <v>80</v>
      </c>
      <c r="F1537">
        <v>1150</v>
      </c>
      <c r="G1537">
        <v>1250</v>
      </c>
      <c r="H1537">
        <f>CONVERT(G1537,"HP","kW")</f>
        <v>932.12483947783778</v>
      </c>
      <c r="I1537">
        <v>0.73109999999999997</v>
      </c>
      <c r="J1537">
        <v>0.68310000000000004</v>
      </c>
      <c r="K1537">
        <v>0.5403</v>
      </c>
      <c r="L1537">
        <v>0.1757</v>
      </c>
      <c r="M1537">
        <v>0.188</v>
      </c>
      <c r="N1537">
        <f>CONVERT(O1537,"lbf","N")</f>
        <v>13135.153607702732</v>
      </c>
      <c r="O1537">
        <v>2952.9</v>
      </c>
      <c r="P1537">
        <f t="shared" si="23"/>
        <v>1.0700056915196359</v>
      </c>
    </row>
    <row r="1538" spans="1:16" hidden="1" x14ac:dyDescent="0.25">
      <c r="A1538">
        <v>0</v>
      </c>
      <c r="B1538">
        <v>15000</v>
      </c>
      <c r="C1538">
        <f>1.225 * (1 - 0.00000687559 * B1538) ^ 4.2561</f>
        <v>0.77079726910167001</v>
      </c>
      <c r="D1538">
        <f>E1538*(SQRT($C$2/C1538))</f>
        <v>151.27919566519836</v>
      </c>
      <c r="E1538">
        <v>120</v>
      </c>
      <c r="F1538">
        <v>1150</v>
      </c>
      <c r="G1538">
        <v>1250</v>
      </c>
      <c r="H1538">
        <f>CONVERT(G1538,"HP","kW")</f>
        <v>932.12483947783778</v>
      </c>
      <c r="I1538">
        <v>0.84040000000000004</v>
      </c>
      <c r="J1538">
        <v>1.0246999999999999</v>
      </c>
      <c r="K1538">
        <v>0.57079999999999997</v>
      </c>
      <c r="L1538">
        <v>0.1757</v>
      </c>
      <c r="M1538">
        <v>0.14410000000000001</v>
      </c>
      <c r="N1538">
        <f>CONVERT(O1538,"lbf","N")</f>
        <v>10066.325515334513</v>
      </c>
      <c r="O1538">
        <v>2263</v>
      </c>
      <c r="P1538">
        <f t="shared" si="23"/>
        <v>0.82014797951052931</v>
      </c>
    </row>
    <row r="1539" spans="1:16" hidden="1" x14ac:dyDescent="0.25">
      <c r="A1539" s="5">
        <v>0</v>
      </c>
      <c r="B1539" s="5">
        <v>15000</v>
      </c>
      <c r="C1539" s="5">
        <f>1.225 * (1 - 0.00000687559 * B1539) ^ 4.2561</f>
        <v>0.77079726910167001</v>
      </c>
      <c r="D1539" s="5">
        <f>E1539*(SQRT($C$2/C1539))</f>
        <v>252.13199277533059</v>
      </c>
      <c r="E1539" s="5">
        <v>200</v>
      </c>
      <c r="F1539" s="5">
        <v>1150</v>
      </c>
      <c r="G1539" s="5">
        <v>1250</v>
      </c>
      <c r="H1539" s="5">
        <f>CONVERT(G1539,"HP","kW")</f>
        <v>932.12483947783778</v>
      </c>
      <c r="I1539" s="5">
        <v>0.89229999999999998</v>
      </c>
      <c r="J1539" s="5">
        <v>1.7079</v>
      </c>
      <c r="K1539" s="5">
        <v>0.65590000000000004</v>
      </c>
      <c r="L1539" s="5">
        <v>0.1757</v>
      </c>
      <c r="M1539" s="5">
        <v>9.1800000000000007E-2</v>
      </c>
      <c r="N1539">
        <f>CONVERT(O1539,"lbf","N")</f>
        <v>6412.1114583980107</v>
      </c>
      <c r="O1539" s="5">
        <v>1441.5</v>
      </c>
      <c r="P1539">
        <f t="shared" ref="P1539:P1602" si="24">M1539/L1539</f>
        <v>0.52248150256118386</v>
      </c>
    </row>
    <row r="1540" spans="1:16" hidden="1" x14ac:dyDescent="0.25">
      <c r="A1540">
        <v>0</v>
      </c>
      <c r="B1540">
        <v>15000</v>
      </c>
      <c r="C1540">
        <f>1.225 * (1 - 0.00000687559 * B1540) ^ 4.2561</f>
        <v>0.77079726910167001</v>
      </c>
      <c r="D1540">
        <f>E1540*(SQRT($C$2/C1540))</f>
        <v>277.34519205286364</v>
      </c>
      <c r="E1540">
        <v>220</v>
      </c>
      <c r="F1540">
        <v>1150</v>
      </c>
      <c r="G1540">
        <v>1250</v>
      </c>
      <c r="H1540">
        <f>CONVERT(G1540,"HP","kW")</f>
        <v>932.12483947783778</v>
      </c>
      <c r="I1540">
        <v>0.88470000000000004</v>
      </c>
      <c r="J1540">
        <v>1.8787</v>
      </c>
      <c r="K1540">
        <v>0.68140000000000001</v>
      </c>
      <c r="L1540">
        <v>0.1757</v>
      </c>
      <c r="M1540">
        <v>8.2699999999999996E-2</v>
      </c>
      <c r="N1540">
        <f>CONVERT(O1540,"lbf","N")</f>
        <v>5779.5743447079667</v>
      </c>
      <c r="O1540">
        <v>1299.3</v>
      </c>
      <c r="P1540">
        <f t="shared" si="24"/>
        <v>0.47068867387592483</v>
      </c>
    </row>
    <row r="1541" spans="1:16" hidden="1" x14ac:dyDescent="0.25">
      <c r="A1541">
        <v>0</v>
      </c>
      <c r="B1541">
        <v>15000</v>
      </c>
      <c r="C1541">
        <f>1.225 * (1 - 0.00000687559 * B1541) ^ 4.2561</f>
        <v>0.77079726910167001</v>
      </c>
      <c r="D1541">
        <f>E1541*(SQRT($C$2/C1541))</f>
        <v>0</v>
      </c>
      <c r="E1541">
        <v>0</v>
      </c>
      <c r="F1541">
        <v>1150</v>
      </c>
      <c r="G1541">
        <v>1250</v>
      </c>
      <c r="H1541">
        <f>CONVERT(G1541,"HP","kW")</f>
        <v>932.12483947783778</v>
      </c>
      <c r="I1541">
        <v>0</v>
      </c>
      <c r="J1541">
        <v>0</v>
      </c>
      <c r="K1541">
        <v>0.50290000000000001</v>
      </c>
      <c r="L1541">
        <v>0.17580000000000001</v>
      </c>
      <c r="M1541">
        <v>0.27439999999999998</v>
      </c>
      <c r="N1541">
        <f>CONVERT(O1541,"lbf","N")</f>
        <v>19152.707808827137</v>
      </c>
      <c r="O1541">
        <v>4305.7</v>
      </c>
      <c r="P1541">
        <f t="shared" si="24"/>
        <v>1.5608646188850965</v>
      </c>
    </row>
    <row r="1542" spans="1:16" hidden="1" x14ac:dyDescent="0.25">
      <c r="A1542">
        <v>0</v>
      </c>
      <c r="B1542">
        <v>15000</v>
      </c>
      <c r="C1542">
        <f>1.225 * (1 - 0.00000687559 * B1542) ^ 4.2561</f>
        <v>0.77079726910167001</v>
      </c>
      <c r="D1542">
        <f>E1542*(SQRT($C$2/C1542))</f>
        <v>50.426398555066115</v>
      </c>
      <c r="E1542">
        <v>40</v>
      </c>
      <c r="F1542">
        <v>1150</v>
      </c>
      <c r="G1542">
        <v>1250</v>
      </c>
      <c r="H1542">
        <f>CONVERT(G1542,"HP","kW")</f>
        <v>932.12483947783778</v>
      </c>
      <c r="I1542">
        <v>0.47310000000000002</v>
      </c>
      <c r="J1542">
        <v>0.34160000000000001</v>
      </c>
      <c r="K1542">
        <v>0.51790000000000003</v>
      </c>
      <c r="L1542">
        <v>0.17580000000000001</v>
      </c>
      <c r="M1542">
        <v>0.24349999999999999</v>
      </c>
      <c r="N1542">
        <f>CONVERT(O1542,"lbf","N")</f>
        <v>16998.878902717999</v>
      </c>
      <c r="O1542">
        <v>3821.5</v>
      </c>
      <c r="P1542">
        <f t="shared" si="24"/>
        <v>1.3850967007963593</v>
      </c>
    </row>
    <row r="1543" spans="1:16" hidden="1" x14ac:dyDescent="0.25">
      <c r="A1543">
        <v>0</v>
      </c>
      <c r="B1543">
        <v>15000</v>
      </c>
      <c r="C1543">
        <f>1.225 * (1 - 0.00000687559 * B1543) ^ 4.2561</f>
        <v>0.77079726910167001</v>
      </c>
      <c r="D1543">
        <f>E1543*(SQRT($C$2/C1543))</f>
        <v>126.06599638766529</v>
      </c>
      <c r="E1543">
        <v>100</v>
      </c>
      <c r="F1543">
        <v>1150</v>
      </c>
      <c r="G1543">
        <v>1250</v>
      </c>
      <c r="H1543">
        <f>CONVERT(G1543,"HP","kW")</f>
        <v>932.12483947783778</v>
      </c>
      <c r="I1543">
        <v>0.79779999999999995</v>
      </c>
      <c r="J1543">
        <v>0.85389999999999999</v>
      </c>
      <c r="K1543">
        <v>0.55449999999999999</v>
      </c>
      <c r="L1543">
        <v>0.17580000000000001</v>
      </c>
      <c r="M1543">
        <v>0.1643</v>
      </c>
      <c r="N1543">
        <f>CONVERT(O1543,"lbf","N")</f>
        <v>11467.070501980043</v>
      </c>
      <c r="O1543">
        <v>2577.9</v>
      </c>
      <c r="P1543">
        <f t="shared" si="24"/>
        <v>0.93458475540386798</v>
      </c>
    </row>
    <row r="1544" spans="1:16" hidden="1" x14ac:dyDescent="0.25">
      <c r="A1544">
        <v>0</v>
      </c>
      <c r="B1544">
        <v>15000</v>
      </c>
      <c r="C1544">
        <f>1.225 * (1 - 0.00000687559 * B1544) ^ 4.2561</f>
        <v>0.77079726910167001</v>
      </c>
      <c r="D1544">
        <f>E1544*(SQRT($C$2/C1544))</f>
        <v>176.49239494273141</v>
      </c>
      <c r="E1544">
        <v>140</v>
      </c>
      <c r="F1544">
        <v>1150</v>
      </c>
      <c r="G1544">
        <v>1250</v>
      </c>
      <c r="H1544">
        <f>CONVERT(G1544,"HP","kW")</f>
        <v>932.12483947783778</v>
      </c>
      <c r="I1544">
        <v>0.8669</v>
      </c>
      <c r="J1544">
        <v>1.1955</v>
      </c>
      <c r="K1544">
        <v>0.58919999999999995</v>
      </c>
      <c r="L1544">
        <v>0.17580000000000001</v>
      </c>
      <c r="M1544">
        <v>0.1275</v>
      </c>
      <c r="N1544">
        <f>CONVERT(O1544,"lbf","N")</f>
        <v>8899.5569856516831</v>
      </c>
      <c r="O1544">
        <v>2000.7</v>
      </c>
      <c r="P1544">
        <f t="shared" si="24"/>
        <v>0.72525597269624564</v>
      </c>
    </row>
    <row r="1545" spans="1:16" hidden="1" x14ac:dyDescent="0.25">
      <c r="A1545">
        <v>0</v>
      </c>
      <c r="B1545">
        <v>15000</v>
      </c>
      <c r="C1545">
        <f>1.225 * (1 - 0.00000687559 * B1545) ^ 4.2561</f>
        <v>0.77079726910167001</v>
      </c>
      <c r="D1545">
        <f>E1545*(SQRT($C$2/C1545))</f>
        <v>201.70559422026446</v>
      </c>
      <c r="E1545">
        <v>160</v>
      </c>
      <c r="F1545">
        <v>1150</v>
      </c>
      <c r="G1545">
        <v>1250</v>
      </c>
      <c r="H1545">
        <f>CONVERT(G1545,"HP","kW")</f>
        <v>932.12483947783778</v>
      </c>
      <c r="I1545">
        <v>0.88260000000000005</v>
      </c>
      <c r="J1545">
        <v>1.3663000000000001</v>
      </c>
      <c r="K1545">
        <v>0.60970000000000002</v>
      </c>
      <c r="L1545">
        <v>0.17580000000000001</v>
      </c>
      <c r="M1545">
        <v>0.11360000000000001</v>
      </c>
      <c r="N1545">
        <f>CONVERT(O1545,"lbf","N")</f>
        <v>7928.5102070403154</v>
      </c>
      <c r="O1545">
        <v>1782.4</v>
      </c>
      <c r="P1545">
        <f t="shared" si="24"/>
        <v>0.64618885096700796</v>
      </c>
    </row>
    <row r="1546" spans="1:16" hidden="1" x14ac:dyDescent="0.25">
      <c r="A1546">
        <v>0</v>
      </c>
      <c r="B1546">
        <v>15000</v>
      </c>
      <c r="C1546">
        <f>1.225 * (1 - 0.00000687559 * B1546) ^ 4.2561</f>
        <v>0.77079726910167001</v>
      </c>
      <c r="D1546">
        <f>E1546*(SQRT($C$2/C1546))</f>
        <v>226.91879349779754</v>
      </c>
      <c r="E1546">
        <v>180</v>
      </c>
      <c r="F1546">
        <v>1150</v>
      </c>
      <c r="G1546">
        <v>1250</v>
      </c>
      <c r="H1546">
        <f>CONVERT(G1546,"HP","kW")</f>
        <v>932.12483947783778</v>
      </c>
      <c r="I1546">
        <v>0.89070000000000005</v>
      </c>
      <c r="J1546">
        <v>1.5370999999999999</v>
      </c>
      <c r="K1546">
        <v>0.63200000000000001</v>
      </c>
      <c r="L1546">
        <v>0.17580000000000001</v>
      </c>
      <c r="M1546">
        <v>0.1018</v>
      </c>
      <c r="N1546">
        <f>CONVERT(O1546,"lbf","N")</f>
        <v>7111.8167184784879</v>
      </c>
      <c r="O1546">
        <v>1598.8</v>
      </c>
      <c r="P1546">
        <f t="shared" si="24"/>
        <v>0.57906712172923769</v>
      </c>
    </row>
    <row r="1547" spans="1:16" hidden="1" x14ac:dyDescent="0.25">
      <c r="A1547">
        <v>0</v>
      </c>
      <c r="B1547">
        <v>15000</v>
      </c>
      <c r="C1547">
        <f>1.225 * (1 - 0.00000687559 * B1547) ^ 4.2561</f>
        <v>0.77079726910167001</v>
      </c>
      <c r="D1547">
        <f>E1547*(SQRT($C$2/C1547))</f>
        <v>302.55839133039672</v>
      </c>
      <c r="E1547">
        <v>240</v>
      </c>
      <c r="F1547">
        <v>1150</v>
      </c>
      <c r="G1547">
        <v>1250</v>
      </c>
      <c r="H1547">
        <f>CONVERT(G1547,"HP","kW")</f>
        <v>932.12483947783778</v>
      </c>
      <c r="I1547">
        <v>0.86029999999999995</v>
      </c>
      <c r="J1547">
        <v>2.0493999999999999</v>
      </c>
      <c r="K1547">
        <v>0.70830000000000004</v>
      </c>
      <c r="L1547">
        <v>0.17580000000000001</v>
      </c>
      <c r="M1547">
        <v>7.3800000000000004E-2</v>
      </c>
      <c r="N1547">
        <f>CONVERT(O1547,"lbf","N")</f>
        <v>5152.375096956237</v>
      </c>
      <c r="O1547">
        <v>1158.3</v>
      </c>
      <c r="P1547">
        <f t="shared" si="24"/>
        <v>0.41979522184300339</v>
      </c>
    </row>
    <row r="1548" spans="1:16" hidden="1" x14ac:dyDescent="0.25">
      <c r="A1548">
        <v>0</v>
      </c>
      <c r="B1548">
        <v>15000</v>
      </c>
      <c r="C1548">
        <f>1.225 * (1 - 0.00000687559 * B1548) ^ 4.2561</f>
        <v>0.77079726910167001</v>
      </c>
      <c r="D1548">
        <f>E1548*(SQRT($C$2/C1548))</f>
        <v>25.213199277533057</v>
      </c>
      <c r="E1548">
        <v>20</v>
      </c>
      <c r="F1548">
        <v>1150</v>
      </c>
      <c r="G1548">
        <v>1250</v>
      </c>
      <c r="H1548">
        <f>CONVERT(G1548,"HP","kW")</f>
        <v>932.12483947783778</v>
      </c>
      <c r="I1548">
        <v>0.25819999999999999</v>
      </c>
      <c r="J1548">
        <v>0.17080000000000001</v>
      </c>
      <c r="K1548">
        <v>0.50929999999999997</v>
      </c>
      <c r="L1548">
        <v>0.1759</v>
      </c>
      <c r="M1548">
        <v>0.26590000000000003</v>
      </c>
      <c r="N1548">
        <f>CONVERT(O1548,"lbf","N")</f>
        <v>18558.425401028337</v>
      </c>
      <c r="O1548">
        <v>4172.1000000000004</v>
      </c>
      <c r="P1548">
        <f t="shared" si="24"/>
        <v>1.5116543490619672</v>
      </c>
    </row>
    <row r="1549" spans="1:16" hidden="1" x14ac:dyDescent="0.25">
      <c r="A1549">
        <v>0</v>
      </c>
      <c r="B1549">
        <v>20000</v>
      </c>
      <c r="C1549">
        <f>1.225 * (1 - 0.00000687559 * B1549) ^ 4.2561</f>
        <v>0.65267221054298263</v>
      </c>
      <c r="D1549">
        <f>E1549*(SQRT($C$2/C1549))</f>
        <v>0</v>
      </c>
      <c r="E1549">
        <v>0</v>
      </c>
      <c r="F1549">
        <v>1215</v>
      </c>
      <c r="G1549">
        <v>1250</v>
      </c>
      <c r="H1549">
        <f>CONVERT(G1549,"HP","kW")</f>
        <v>932.12483947783778</v>
      </c>
      <c r="I1549">
        <v>0</v>
      </c>
      <c r="J1549">
        <v>0</v>
      </c>
      <c r="K1549">
        <v>0.54179999999999995</v>
      </c>
      <c r="L1549">
        <v>0.1759</v>
      </c>
      <c r="M1549">
        <v>0.2722</v>
      </c>
      <c r="N1549">
        <f>CONVERT(O1549,"lbf","N")</f>
        <v>17978.822124559891</v>
      </c>
      <c r="O1549">
        <v>4041.8</v>
      </c>
      <c r="P1549">
        <f t="shared" si="24"/>
        <v>1.5474701534963047</v>
      </c>
    </row>
    <row r="1550" spans="1:16" hidden="1" x14ac:dyDescent="0.25">
      <c r="A1550">
        <v>0</v>
      </c>
      <c r="B1550">
        <v>20000</v>
      </c>
      <c r="C1550">
        <f>1.225 * (1 - 0.00000687559 * B1550) ^ 4.2561</f>
        <v>0.65267221054298263</v>
      </c>
      <c r="D1550">
        <f>E1550*(SQRT($C$2/C1550))</f>
        <v>164.3999683299848</v>
      </c>
      <c r="E1550">
        <v>120</v>
      </c>
      <c r="F1550">
        <v>1215</v>
      </c>
      <c r="G1550">
        <v>1250</v>
      </c>
      <c r="H1550">
        <f>CONVERT(G1550,"HP","kW")</f>
        <v>932.12483947783778</v>
      </c>
      <c r="I1550">
        <v>0.84540000000000004</v>
      </c>
      <c r="J1550">
        <v>1.054</v>
      </c>
      <c r="K1550">
        <v>0.61819999999999997</v>
      </c>
      <c r="L1550">
        <v>0.1759</v>
      </c>
      <c r="M1550">
        <v>0.1411</v>
      </c>
      <c r="N1550">
        <f>CONVERT(O1550,"lbf","N")</f>
        <v>9317.689817486169</v>
      </c>
      <c r="O1550">
        <v>2094.6999999999998</v>
      </c>
      <c r="P1550">
        <f t="shared" si="24"/>
        <v>0.80216031836270607</v>
      </c>
    </row>
    <row r="1551" spans="1:16" hidden="1" x14ac:dyDescent="0.25">
      <c r="A1551">
        <v>0</v>
      </c>
      <c r="B1551">
        <v>20000</v>
      </c>
      <c r="C1551">
        <f>1.225 * (1 - 0.00000687559 * B1551) ^ 4.2561</f>
        <v>0.65267221054298263</v>
      </c>
      <c r="D1551">
        <f>E1551*(SQRT($C$2/C1551))</f>
        <v>246.59995249497723</v>
      </c>
      <c r="E1551">
        <v>180</v>
      </c>
      <c r="F1551">
        <v>1215</v>
      </c>
      <c r="G1551">
        <v>1250</v>
      </c>
      <c r="H1551">
        <f>CONVERT(G1551,"HP","kW")</f>
        <v>932.12483947783778</v>
      </c>
      <c r="I1551">
        <v>0.88480000000000003</v>
      </c>
      <c r="J1551">
        <v>1.581</v>
      </c>
      <c r="K1551">
        <v>0.68730000000000002</v>
      </c>
      <c r="L1551">
        <v>0.1759</v>
      </c>
      <c r="M1551">
        <v>9.8400000000000001E-2</v>
      </c>
      <c r="N1551">
        <f>CONVERT(O1551,"lbf","N")</f>
        <v>6501.5207128647471</v>
      </c>
      <c r="O1551">
        <v>1461.6</v>
      </c>
      <c r="P1551">
        <f t="shared" si="24"/>
        <v>0.55940875497441733</v>
      </c>
    </row>
    <row r="1552" spans="1:16" hidden="1" x14ac:dyDescent="0.25">
      <c r="A1552">
        <v>0</v>
      </c>
      <c r="B1552">
        <v>15000</v>
      </c>
      <c r="C1552">
        <f>1.225 * (1 - 0.00000687559 * B1552) ^ 4.2561</f>
        <v>0.77079726910167001</v>
      </c>
      <c r="D1552">
        <f>E1552*(SQRT($C$2/C1552))</f>
        <v>75.639597832599179</v>
      </c>
      <c r="E1552">
        <v>60</v>
      </c>
      <c r="F1552">
        <v>1150</v>
      </c>
      <c r="G1552">
        <v>1250</v>
      </c>
      <c r="H1552">
        <f>CONVERT(G1552,"HP","kW")</f>
        <v>932.12483947783778</v>
      </c>
      <c r="I1552">
        <v>0.62809999999999999</v>
      </c>
      <c r="J1552">
        <v>0.51239999999999997</v>
      </c>
      <c r="K1552">
        <v>0.5282</v>
      </c>
      <c r="L1552">
        <v>0.17599999999999999</v>
      </c>
      <c r="M1552">
        <v>0.2157</v>
      </c>
      <c r="N1552">
        <f>CONVERT(O1552,"lbf","N")</f>
        <v>15045.219969295589</v>
      </c>
      <c r="O1552">
        <v>3382.3</v>
      </c>
      <c r="P1552">
        <f t="shared" si="24"/>
        <v>1.2255681818181818</v>
      </c>
    </row>
    <row r="1553" spans="1:16" hidden="1" x14ac:dyDescent="0.25">
      <c r="A1553">
        <v>0</v>
      </c>
      <c r="B1553">
        <v>20000</v>
      </c>
      <c r="C1553">
        <f>1.225 * (1 - 0.00000687559 * B1553) ^ 4.2561</f>
        <v>0.65267221054298263</v>
      </c>
      <c r="D1553">
        <f>E1553*(SQRT($C$2/C1553))</f>
        <v>191.79996305164894</v>
      </c>
      <c r="E1553">
        <v>140</v>
      </c>
      <c r="F1553">
        <v>1215</v>
      </c>
      <c r="G1553">
        <v>1250</v>
      </c>
      <c r="H1553">
        <f>CONVERT(G1553,"HP","kW")</f>
        <v>932.12483947783778</v>
      </c>
      <c r="I1553">
        <v>0.87050000000000005</v>
      </c>
      <c r="J1553">
        <v>1.2297</v>
      </c>
      <c r="K1553">
        <v>0.63900000000000001</v>
      </c>
      <c r="L1553">
        <v>0.17599999999999999</v>
      </c>
      <c r="M1553">
        <v>0.1246</v>
      </c>
      <c r="N1553">
        <f>CONVERT(O1553,"lbf","N")</f>
        <v>8223.8721222936128</v>
      </c>
      <c r="O1553">
        <v>1848.8</v>
      </c>
      <c r="P1553">
        <f t="shared" si="24"/>
        <v>0.7079545454545455</v>
      </c>
    </row>
    <row r="1554" spans="1:16" hidden="1" x14ac:dyDescent="0.25">
      <c r="A1554">
        <v>0</v>
      </c>
      <c r="B1554">
        <v>20000</v>
      </c>
      <c r="C1554">
        <f>1.225 * (1 - 0.00000687559 * B1554) ^ 4.2561</f>
        <v>0.65267221054298263</v>
      </c>
      <c r="D1554">
        <f>E1554*(SQRT($C$2/C1554))</f>
        <v>219.19995777331309</v>
      </c>
      <c r="E1554">
        <v>160</v>
      </c>
      <c r="F1554">
        <v>1215</v>
      </c>
      <c r="G1554">
        <v>1250</v>
      </c>
      <c r="H1554">
        <f>CONVERT(G1554,"HP","kW")</f>
        <v>932.12483947783778</v>
      </c>
      <c r="I1554">
        <v>0.88390000000000002</v>
      </c>
      <c r="J1554">
        <v>1.4054</v>
      </c>
      <c r="K1554">
        <v>0.66220000000000001</v>
      </c>
      <c r="L1554">
        <v>0.17599999999999999</v>
      </c>
      <c r="M1554">
        <v>0.11070000000000001</v>
      </c>
      <c r="N1554">
        <f>CONVERT(O1554,"lbf","N")</f>
        <v>7306.6488252268973</v>
      </c>
      <c r="O1554">
        <v>1642.6</v>
      </c>
      <c r="P1554">
        <f t="shared" si="24"/>
        <v>0.62897727272727277</v>
      </c>
    </row>
    <row r="1555" spans="1:16" hidden="1" x14ac:dyDescent="0.25">
      <c r="A1555">
        <v>0</v>
      </c>
      <c r="B1555">
        <v>20000</v>
      </c>
      <c r="C1555">
        <f>1.225 * (1 - 0.00000687559 * B1555) ^ 4.2561</f>
        <v>0.65267221054298263</v>
      </c>
      <c r="D1555">
        <f>E1555*(SQRT($C$2/C1555))</f>
        <v>301.39994193830552</v>
      </c>
      <c r="E1555">
        <v>220</v>
      </c>
      <c r="F1555">
        <v>1215</v>
      </c>
      <c r="G1555">
        <v>1250</v>
      </c>
      <c r="H1555">
        <f>CONVERT(G1555,"HP","kW")</f>
        <v>932.12483947783778</v>
      </c>
      <c r="I1555">
        <v>0.83089999999999997</v>
      </c>
      <c r="J1555">
        <v>1.9323999999999999</v>
      </c>
      <c r="K1555">
        <v>0.74309999999999998</v>
      </c>
      <c r="L1555">
        <v>0.17599999999999999</v>
      </c>
      <c r="M1555">
        <v>7.5700000000000003E-2</v>
      </c>
      <c r="N1555">
        <f>CONVERT(O1555,"lbf","N")</f>
        <v>4994.9080517760158</v>
      </c>
      <c r="O1555">
        <v>1122.9000000000001</v>
      </c>
      <c r="P1555">
        <f t="shared" si="24"/>
        <v>0.43011363636363642</v>
      </c>
    </row>
    <row r="1556" spans="1:16" hidden="1" x14ac:dyDescent="0.25">
      <c r="A1556">
        <v>0</v>
      </c>
      <c r="B1556">
        <v>20000</v>
      </c>
      <c r="C1556">
        <f>1.225 * (1 - 0.00000687559 * B1556) ^ 4.2561</f>
        <v>0.65267221054298263</v>
      </c>
      <c r="D1556">
        <f>E1556*(SQRT($C$2/C1556))</f>
        <v>27.399994721664136</v>
      </c>
      <c r="E1556">
        <v>20</v>
      </c>
      <c r="F1556">
        <v>1215</v>
      </c>
      <c r="G1556">
        <v>1250</v>
      </c>
      <c r="H1556">
        <f>CONVERT(G1556,"HP","kW")</f>
        <v>932.12483947783778</v>
      </c>
      <c r="I1556">
        <v>0.26329999999999998</v>
      </c>
      <c r="J1556">
        <v>0.1757</v>
      </c>
      <c r="K1556">
        <v>0.54900000000000004</v>
      </c>
      <c r="L1556">
        <v>0.17610000000000001</v>
      </c>
      <c r="M1556">
        <v>0.26390000000000002</v>
      </c>
      <c r="N1556">
        <f>CONVERT(O1556,"lbf","N")</f>
        <v>17409.004935645018</v>
      </c>
      <c r="O1556">
        <v>3913.7</v>
      </c>
      <c r="P1556">
        <f t="shared" si="24"/>
        <v>1.4985803520726861</v>
      </c>
    </row>
    <row r="1557" spans="1:16" hidden="1" x14ac:dyDescent="0.25">
      <c r="A1557">
        <v>0</v>
      </c>
      <c r="B1557">
        <v>20000</v>
      </c>
      <c r="C1557">
        <f>1.225 * (1 - 0.00000687559 * B1557) ^ 4.2561</f>
        <v>0.65267221054298263</v>
      </c>
      <c r="D1557">
        <f>E1557*(SQRT($C$2/C1557))</f>
        <v>109.59997888665654</v>
      </c>
      <c r="E1557">
        <v>80</v>
      </c>
      <c r="F1557">
        <v>1215</v>
      </c>
      <c r="G1557">
        <v>1250</v>
      </c>
      <c r="H1557">
        <f>CONVERT(G1557,"HP","kW")</f>
        <v>932.12483947783778</v>
      </c>
      <c r="I1557">
        <v>0.73870000000000002</v>
      </c>
      <c r="J1557">
        <v>0.70269999999999999</v>
      </c>
      <c r="K1557">
        <v>0.5837</v>
      </c>
      <c r="L1557">
        <v>0.17610000000000001</v>
      </c>
      <c r="M1557">
        <v>0.18509999999999999</v>
      </c>
      <c r="N1557">
        <f>CONVERT(O1557,"lbf","N")</f>
        <v>12213.037266859228</v>
      </c>
      <c r="O1557">
        <v>2745.6</v>
      </c>
      <c r="P1557">
        <f t="shared" si="24"/>
        <v>1.0511073253833048</v>
      </c>
    </row>
    <row r="1558" spans="1:16" hidden="1" x14ac:dyDescent="0.25">
      <c r="A1558">
        <v>0</v>
      </c>
      <c r="B1558">
        <v>20000</v>
      </c>
      <c r="C1558">
        <f>1.225 * (1 - 0.00000687559 * B1558) ^ 4.2561</f>
        <v>0.65267221054298263</v>
      </c>
      <c r="D1558">
        <f>E1558*(SQRT($C$2/C1558))</f>
        <v>136.99997360832069</v>
      </c>
      <c r="E1558">
        <v>100</v>
      </c>
      <c r="F1558">
        <v>1215</v>
      </c>
      <c r="G1558">
        <v>1250</v>
      </c>
      <c r="H1558">
        <f>CONVERT(G1558,"HP","kW")</f>
        <v>932.12483947783778</v>
      </c>
      <c r="I1558">
        <v>0.80420000000000003</v>
      </c>
      <c r="J1558">
        <v>0.87829999999999997</v>
      </c>
      <c r="K1558">
        <v>0.59970000000000001</v>
      </c>
      <c r="L1558">
        <v>0.17610000000000001</v>
      </c>
      <c r="M1558">
        <v>0.16120000000000001</v>
      </c>
      <c r="N1558">
        <f>CONVERT(O1558,"lbf","N")</f>
        <v>10636.142704249381</v>
      </c>
      <c r="O1558">
        <v>2391.1</v>
      </c>
      <c r="P1558">
        <f t="shared" si="24"/>
        <v>0.91538898353208409</v>
      </c>
    </row>
    <row r="1559" spans="1:16" hidden="1" x14ac:dyDescent="0.25">
      <c r="A1559">
        <v>0</v>
      </c>
      <c r="B1559">
        <v>20000</v>
      </c>
      <c r="C1559">
        <f>1.225 * (1 - 0.00000687559 * B1559) ^ 4.2561</f>
        <v>0.65267221054298263</v>
      </c>
      <c r="D1559">
        <f>E1559*(SQRT($C$2/C1559))</f>
        <v>273.99994721664137</v>
      </c>
      <c r="E1559">
        <v>200</v>
      </c>
      <c r="F1559">
        <v>1215</v>
      </c>
      <c r="G1559">
        <v>1250</v>
      </c>
      <c r="H1559">
        <f>CONVERT(G1559,"HP","kW")</f>
        <v>932.12483947783778</v>
      </c>
      <c r="I1559">
        <v>0.86670000000000003</v>
      </c>
      <c r="J1559">
        <v>1.7566999999999999</v>
      </c>
      <c r="K1559">
        <v>0.71440000000000003</v>
      </c>
      <c r="L1559">
        <v>0.17610000000000001</v>
      </c>
      <c r="M1559">
        <v>8.6900000000000005E-2</v>
      </c>
      <c r="N1559">
        <f>CONVERT(O1559,"lbf","N")</f>
        <v>5731.5335512631545</v>
      </c>
      <c r="O1559">
        <v>1288.5</v>
      </c>
      <c r="P1559">
        <f t="shared" si="24"/>
        <v>0.49346961953435547</v>
      </c>
    </row>
    <row r="1560" spans="1:16" hidden="1" x14ac:dyDescent="0.25">
      <c r="A1560">
        <v>0</v>
      </c>
      <c r="B1560">
        <v>20000</v>
      </c>
      <c r="C1560">
        <f>1.225 * (1 - 0.00000687559 * B1560) ^ 4.2561</f>
        <v>0.65267221054298263</v>
      </c>
      <c r="D1560">
        <f>E1560*(SQRT($C$2/C1560))</f>
        <v>356.19993138163375</v>
      </c>
      <c r="E1560">
        <v>260</v>
      </c>
      <c r="F1560">
        <v>1215</v>
      </c>
      <c r="G1560">
        <v>1250</v>
      </c>
      <c r="H1560">
        <f>CONVERT(G1560,"HP","kW")</f>
        <v>932.12483947783778</v>
      </c>
      <c r="I1560">
        <v>0.6704</v>
      </c>
      <c r="J1560">
        <v>2.2837000000000001</v>
      </c>
      <c r="K1560">
        <v>0.80489999999999995</v>
      </c>
      <c r="L1560">
        <v>0.17610000000000001</v>
      </c>
      <c r="M1560">
        <v>5.1700000000000003E-2</v>
      </c>
      <c r="N1560">
        <f>CONVERT(O1560,"lbf","N")</f>
        <v>3410.4515124202258</v>
      </c>
      <c r="O1560">
        <v>766.7</v>
      </c>
      <c r="P1560">
        <f t="shared" si="24"/>
        <v>0.29358319136854061</v>
      </c>
    </row>
    <row r="1561" spans="1:16" hidden="1" x14ac:dyDescent="0.25">
      <c r="A1561">
        <v>0</v>
      </c>
      <c r="B1561">
        <v>20000</v>
      </c>
      <c r="C1561">
        <f>1.225 * (1 - 0.00000687559 * B1561) ^ 4.2561</f>
        <v>0.65267221054298263</v>
      </c>
      <c r="D1561">
        <f>E1561*(SQRT($C$2/C1561))</f>
        <v>54.799989443328272</v>
      </c>
      <c r="E1561">
        <v>40</v>
      </c>
      <c r="F1561">
        <v>1215</v>
      </c>
      <c r="G1561">
        <v>1250</v>
      </c>
      <c r="H1561">
        <f>CONVERT(G1561,"HP","kW")</f>
        <v>932.12483947783778</v>
      </c>
      <c r="I1561">
        <v>0.48199999999999998</v>
      </c>
      <c r="J1561">
        <v>0.3513</v>
      </c>
      <c r="K1561">
        <v>0.5585</v>
      </c>
      <c r="L1561">
        <v>0.1762</v>
      </c>
      <c r="M1561">
        <v>0.2417</v>
      </c>
      <c r="N1561">
        <f>CONVERT(O1561,"lbf","N")</f>
        <v>15937.978047478373</v>
      </c>
      <c r="O1561">
        <v>3583</v>
      </c>
      <c r="P1561">
        <f t="shared" si="24"/>
        <v>1.3717366628830874</v>
      </c>
    </row>
    <row r="1562" spans="1:16" hidden="1" x14ac:dyDescent="0.25">
      <c r="A1562">
        <v>0</v>
      </c>
      <c r="B1562">
        <v>20000</v>
      </c>
      <c r="C1562">
        <f>1.225 * (1 - 0.00000687559 * B1562) ^ 4.2561</f>
        <v>0.65267221054298263</v>
      </c>
      <c r="D1562">
        <f>E1562*(SQRT($C$2/C1562))</f>
        <v>82.199984164992401</v>
      </c>
      <c r="E1562">
        <v>60</v>
      </c>
      <c r="F1562">
        <v>1215</v>
      </c>
      <c r="G1562">
        <v>1250</v>
      </c>
      <c r="H1562">
        <f>CONVERT(G1562,"HP","kW")</f>
        <v>932.12483947783778</v>
      </c>
      <c r="I1562">
        <v>0.63690000000000002</v>
      </c>
      <c r="J1562">
        <v>0.52700000000000002</v>
      </c>
      <c r="K1562">
        <v>0.57010000000000005</v>
      </c>
      <c r="L1562">
        <v>0.1762</v>
      </c>
      <c r="M1562">
        <v>0.21299999999999999</v>
      </c>
      <c r="N1562">
        <f>CONVERT(O1562,"lbf","N")</f>
        <v>14039.921884246716</v>
      </c>
      <c r="O1562">
        <v>3156.3</v>
      </c>
      <c r="P1562">
        <f t="shared" si="24"/>
        <v>1.2088535754824064</v>
      </c>
    </row>
    <row r="1563" spans="1:16" hidden="1" x14ac:dyDescent="0.25">
      <c r="A1563">
        <v>0</v>
      </c>
      <c r="B1563">
        <v>20000</v>
      </c>
      <c r="C1563">
        <f>1.225 * (1 - 0.00000687559 * B1563) ^ 4.2561</f>
        <v>0.65267221054298263</v>
      </c>
      <c r="D1563">
        <f>E1563*(SQRT($C$2/C1563))</f>
        <v>328.7999366599696</v>
      </c>
      <c r="E1563">
        <v>240</v>
      </c>
      <c r="F1563">
        <v>1215</v>
      </c>
      <c r="G1563">
        <v>1250</v>
      </c>
      <c r="H1563">
        <f>CONVERT(G1563,"HP","kW")</f>
        <v>932.12483947783778</v>
      </c>
      <c r="I1563">
        <v>0.77029999999999998</v>
      </c>
      <c r="J1563">
        <v>2.1080000000000001</v>
      </c>
      <c r="K1563">
        <v>0.77329999999999999</v>
      </c>
      <c r="L1563">
        <v>0.1762</v>
      </c>
      <c r="M1563">
        <v>6.4399999999999999E-2</v>
      </c>
      <c r="N1563">
        <f>CONVERT(O1563,"lbf","N")</f>
        <v>4244.937887443095</v>
      </c>
      <c r="O1563">
        <v>954.3</v>
      </c>
      <c r="P1563">
        <f t="shared" si="24"/>
        <v>0.36549375709421111</v>
      </c>
    </row>
    <row r="1564" spans="1:16" hidden="1" x14ac:dyDescent="0.25">
      <c r="A1564">
        <v>0</v>
      </c>
      <c r="B1564">
        <v>0</v>
      </c>
      <c r="C1564">
        <f>1.225 * (1 - 0.00000687559 * B1564) ^ 4.2561</f>
        <v>1.2250000000000001</v>
      </c>
      <c r="D1564">
        <f>E1564*(SQRT($C$2/C1564))</f>
        <v>0</v>
      </c>
      <c r="E1564">
        <v>0</v>
      </c>
      <c r="F1564">
        <v>1150</v>
      </c>
      <c r="G1564">
        <v>2000</v>
      </c>
      <c r="H1564">
        <f>CONVERT(G1564,"HP","kW")</f>
        <v>1491.3997431645405</v>
      </c>
      <c r="I1564">
        <v>0</v>
      </c>
      <c r="J1564">
        <v>0</v>
      </c>
      <c r="K1564">
        <v>0.4763</v>
      </c>
      <c r="L1564">
        <v>0.17680000000000001</v>
      </c>
      <c r="M1564">
        <v>0.27579999999999999</v>
      </c>
      <c r="N1564">
        <f>CONVERT(O1564,"lbf","N")</f>
        <v>30626.895465391593</v>
      </c>
      <c r="O1564">
        <v>6885.2</v>
      </c>
      <c r="P1564">
        <f t="shared" si="24"/>
        <v>1.5599547511312215</v>
      </c>
    </row>
    <row r="1565" spans="1:16" hidden="1" x14ac:dyDescent="0.25">
      <c r="A1565">
        <v>0</v>
      </c>
      <c r="B1565">
        <v>0</v>
      </c>
      <c r="C1565">
        <f>1.225 * (1 - 0.00000687559 * B1565) ^ 4.2561</f>
        <v>1.2250000000000001</v>
      </c>
      <c r="D1565">
        <f>E1565*(SQRT($C$2/C1565))</f>
        <v>240</v>
      </c>
      <c r="E1565">
        <v>240</v>
      </c>
      <c r="F1565">
        <v>1150</v>
      </c>
      <c r="G1565">
        <v>2000</v>
      </c>
      <c r="H1565">
        <f>CONVERT(G1565,"HP","kW")</f>
        <v>1491.3997431645405</v>
      </c>
      <c r="I1565">
        <v>0.89249999999999996</v>
      </c>
      <c r="J1565">
        <v>1.6256999999999999</v>
      </c>
      <c r="K1565">
        <v>0.61009999999999998</v>
      </c>
      <c r="L1565">
        <v>0.1769</v>
      </c>
      <c r="M1565">
        <v>9.7100000000000006E-2</v>
      </c>
      <c r="N1565">
        <f>CONVERT(O1565,"lbf","N")</f>
        <v>10780.709906745347</v>
      </c>
      <c r="O1565">
        <v>2423.6</v>
      </c>
      <c r="P1565">
        <f t="shared" si="24"/>
        <v>0.5488976823063878</v>
      </c>
    </row>
    <row r="1566" spans="1:16" hidden="1" x14ac:dyDescent="0.25">
      <c r="A1566">
        <v>0</v>
      </c>
      <c r="B1566">
        <v>0</v>
      </c>
      <c r="C1566">
        <f>1.225 * (1 - 0.00000687559 * B1566) ^ 4.2561</f>
        <v>1.2250000000000001</v>
      </c>
      <c r="D1566">
        <f>E1566*(SQRT($C$2/C1566))</f>
        <v>260</v>
      </c>
      <c r="E1566">
        <v>260</v>
      </c>
      <c r="F1566">
        <v>1150</v>
      </c>
      <c r="G1566">
        <v>2000</v>
      </c>
      <c r="H1566">
        <f>CONVERT(G1566,"HP","kW")</f>
        <v>1491.3997431645405</v>
      </c>
      <c r="I1566">
        <v>0.8921</v>
      </c>
      <c r="J1566">
        <v>1.7612000000000001</v>
      </c>
      <c r="K1566">
        <v>0.62860000000000005</v>
      </c>
      <c r="L1566">
        <v>0.1769</v>
      </c>
      <c r="M1566">
        <v>8.9599999999999999E-2</v>
      </c>
      <c r="N1566">
        <f>CONVERT(O1566,"lbf","N")</f>
        <v>9946.6683538840043</v>
      </c>
      <c r="O1566">
        <v>2236.1</v>
      </c>
      <c r="P1566">
        <f t="shared" si="24"/>
        <v>0.50650084793668737</v>
      </c>
    </row>
    <row r="1567" spans="1:16" hidden="1" x14ac:dyDescent="0.25">
      <c r="A1567">
        <v>0</v>
      </c>
      <c r="B1567">
        <v>0</v>
      </c>
      <c r="C1567">
        <f>1.225 * (1 - 0.00000687559 * B1567) ^ 4.2561</f>
        <v>1.2250000000000001</v>
      </c>
      <c r="D1567">
        <f>E1567*(SQRT($C$2/C1567))</f>
        <v>40</v>
      </c>
      <c r="E1567">
        <v>40</v>
      </c>
      <c r="F1567">
        <v>1150</v>
      </c>
      <c r="G1567">
        <v>2000</v>
      </c>
      <c r="H1567">
        <f>CONVERT(G1567,"HP","kW")</f>
        <v>1491.3997431645405</v>
      </c>
      <c r="I1567">
        <v>0.39179999999999998</v>
      </c>
      <c r="J1567">
        <v>0.27100000000000002</v>
      </c>
      <c r="K1567">
        <v>0.4869</v>
      </c>
      <c r="L1567">
        <v>0.17699999999999999</v>
      </c>
      <c r="M1567">
        <v>0.25600000000000001</v>
      </c>
      <c r="N1567">
        <f>CONVERT(O1567,"lbf","N")</f>
        <v>28397.001969661502</v>
      </c>
      <c r="O1567">
        <v>6383.9</v>
      </c>
      <c r="P1567">
        <f t="shared" si="24"/>
        <v>1.4463276836158194</v>
      </c>
    </row>
    <row r="1568" spans="1:16" hidden="1" x14ac:dyDescent="0.25">
      <c r="A1568">
        <v>0</v>
      </c>
      <c r="B1568">
        <v>0</v>
      </c>
      <c r="C1568">
        <f>1.225 * (1 - 0.00000687559 * B1568) ^ 4.2561</f>
        <v>1.2250000000000001</v>
      </c>
      <c r="D1568">
        <f>E1568*(SQRT($C$2/C1568))</f>
        <v>60</v>
      </c>
      <c r="E1568">
        <v>60</v>
      </c>
      <c r="F1568">
        <v>1150</v>
      </c>
      <c r="G1568">
        <v>2000</v>
      </c>
      <c r="H1568">
        <f>CONVERT(G1568,"HP","kW")</f>
        <v>1491.3997431645405</v>
      </c>
      <c r="I1568">
        <v>0.5383</v>
      </c>
      <c r="J1568">
        <v>0.40639999999999998</v>
      </c>
      <c r="K1568">
        <v>0.49399999999999999</v>
      </c>
      <c r="L1568">
        <v>0.17699999999999999</v>
      </c>
      <c r="M1568">
        <v>0.23449999999999999</v>
      </c>
      <c r="N1568">
        <f>CONVERT(O1568,"lbf","N")</f>
        <v>26008.751784428143</v>
      </c>
      <c r="O1568">
        <v>5847</v>
      </c>
      <c r="P1568">
        <f t="shared" si="24"/>
        <v>1.3248587570621468</v>
      </c>
    </row>
    <row r="1569" spans="1:16" hidden="1" x14ac:dyDescent="0.25">
      <c r="A1569">
        <v>0</v>
      </c>
      <c r="B1569">
        <v>0</v>
      </c>
      <c r="C1569">
        <f>1.225 * (1 - 0.00000687559 * B1569) ^ 4.2561</f>
        <v>1.2250000000000001</v>
      </c>
      <c r="D1569">
        <f>E1569*(SQRT($C$2/C1569))</f>
        <v>100</v>
      </c>
      <c r="E1569">
        <v>100</v>
      </c>
      <c r="F1569">
        <v>1150</v>
      </c>
      <c r="G1569">
        <v>2000</v>
      </c>
      <c r="H1569">
        <f>CONVERT(G1569,"HP","kW")</f>
        <v>1491.3997431645405</v>
      </c>
      <c r="I1569">
        <v>0.72799999999999998</v>
      </c>
      <c r="J1569">
        <v>0.6774</v>
      </c>
      <c r="K1569">
        <v>0.51129999999999998</v>
      </c>
      <c r="L1569">
        <v>0.17699999999999999</v>
      </c>
      <c r="M1569">
        <v>0.19020000000000001</v>
      </c>
      <c r="N1569">
        <f>CONVERT(O1569,"lbf","N")</f>
        <v>21104.587453603443</v>
      </c>
      <c r="O1569">
        <v>4744.5</v>
      </c>
      <c r="P1569">
        <f t="shared" si="24"/>
        <v>1.0745762711864408</v>
      </c>
    </row>
    <row r="1570" spans="1:16" hidden="1" x14ac:dyDescent="0.25">
      <c r="A1570">
        <v>0</v>
      </c>
      <c r="B1570">
        <v>0</v>
      </c>
      <c r="C1570">
        <f>1.225 * (1 - 0.00000687559 * B1570) ^ 4.2561</f>
        <v>1.2250000000000001</v>
      </c>
      <c r="D1570">
        <f>E1570*(SQRT($C$2/C1570))</f>
        <v>120</v>
      </c>
      <c r="E1570">
        <v>120</v>
      </c>
      <c r="F1570">
        <v>1150</v>
      </c>
      <c r="G1570">
        <v>2000</v>
      </c>
      <c r="H1570">
        <f>CONVERT(G1570,"HP","kW")</f>
        <v>1491.3997431645405</v>
      </c>
      <c r="I1570">
        <v>0.78410000000000002</v>
      </c>
      <c r="J1570">
        <v>0.81289999999999996</v>
      </c>
      <c r="K1570">
        <v>0.52170000000000005</v>
      </c>
      <c r="L1570">
        <v>0.17699999999999999</v>
      </c>
      <c r="M1570">
        <v>0.17080000000000001</v>
      </c>
      <c r="N1570">
        <f>CONVERT(O1570,"lbf","N")</f>
        <v>18944.086215071417</v>
      </c>
      <c r="O1570">
        <v>4258.8</v>
      </c>
      <c r="P1570">
        <f t="shared" si="24"/>
        <v>0.96497175141242952</v>
      </c>
    </row>
    <row r="1571" spans="1:16" hidden="1" x14ac:dyDescent="0.25">
      <c r="A1571">
        <v>0</v>
      </c>
      <c r="B1571">
        <v>0</v>
      </c>
      <c r="C1571">
        <f>1.225 * (1 - 0.00000687559 * B1571) ^ 4.2561</f>
        <v>1.2250000000000001</v>
      </c>
      <c r="D1571">
        <f>E1571*(SQRT($C$2/C1571))</f>
        <v>140</v>
      </c>
      <c r="E1571">
        <v>140</v>
      </c>
      <c r="F1571">
        <v>1150</v>
      </c>
      <c r="G1571">
        <v>2000</v>
      </c>
      <c r="H1571">
        <f>CONVERT(G1571,"HP","kW")</f>
        <v>1491.3997431645405</v>
      </c>
      <c r="I1571">
        <v>0.8236</v>
      </c>
      <c r="J1571">
        <v>0.94830000000000003</v>
      </c>
      <c r="K1571">
        <v>0.53339999999999999</v>
      </c>
      <c r="L1571">
        <v>0.17699999999999999</v>
      </c>
      <c r="M1571">
        <v>0.1537</v>
      </c>
      <c r="N1571">
        <f>CONVERT(O1571,"lbf","N")</f>
        <v>17053.592028585706</v>
      </c>
      <c r="O1571">
        <v>3833.8</v>
      </c>
      <c r="P1571">
        <f t="shared" si="24"/>
        <v>0.86836158192090407</v>
      </c>
    </row>
    <row r="1572" spans="1:16" hidden="1" x14ac:dyDescent="0.25">
      <c r="A1572">
        <v>0</v>
      </c>
      <c r="B1572">
        <v>0</v>
      </c>
      <c r="C1572">
        <f>1.225 * (1 - 0.00000687559 * B1572) ^ 4.2561</f>
        <v>1.2250000000000001</v>
      </c>
      <c r="D1572">
        <f>E1572*(SQRT($C$2/C1572))</f>
        <v>160</v>
      </c>
      <c r="E1572">
        <v>160</v>
      </c>
      <c r="F1572">
        <v>1150</v>
      </c>
      <c r="G1572">
        <v>2000</v>
      </c>
      <c r="H1572">
        <f>CONVERT(G1572,"HP","kW")</f>
        <v>1491.3997431645405</v>
      </c>
      <c r="I1572">
        <v>0.85089999999999999</v>
      </c>
      <c r="J1572">
        <v>1.0838000000000001</v>
      </c>
      <c r="K1572">
        <v>0.5464</v>
      </c>
      <c r="L1572">
        <v>0.17699999999999999</v>
      </c>
      <c r="M1572">
        <v>0.13900000000000001</v>
      </c>
      <c r="N1572">
        <f>CONVERT(O1572,"lbf","N")</f>
        <v>15417.091296331368</v>
      </c>
      <c r="O1572">
        <v>3465.9</v>
      </c>
      <c r="P1572">
        <f t="shared" si="24"/>
        <v>0.78531073446327693</v>
      </c>
    </row>
    <row r="1573" spans="1:16" hidden="1" x14ac:dyDescent="0.25">
      <c r="A1573">
        <v>0</v>
      </c>
      <c r="B1573">
        <v>0</v>
      </c>
      <c r="C1573">
        <f>1.225 * (1 - 0.00000687559 * B1573) ^ 4.2561</f>
        <v>1.2250000000000001</v>
      </c>
      <c r="D1573">
        <f>E1573*(SQRT($C$2/C1573))</f>
        <v>180</v>
      </c>
      <c r="E1573">
        <v>180</v>
      </c>
      <c r="F1573">
        <v>1150</v>
      </c>
      <c r="G1573">
        <v>2000</v>
      </c>
      <c r="H1573">
        <f>CONVERT(G1573,"HP","kW")</f>
        <v>1491.3997431645405</v>
      </c>
      <c r="I1573">
        <v>0.86950000000000005</v>
      </c>
      <c r="J1573">
        <v>1.2193000000000001</v>
      </c>
      <c r="K1573">
        <v>0.56059999999999999</v>
      </c>
      <c r="L1573">
        <v>0.17699999999999999</v>
      </c>
      <c r="M1573">
        <v>0.12620000000000001</v>
      </c>
      <c r="N1573">
        <f>CONVERT(O1573,"lbf","N")</f>
        <v>14003.891289163106</v>
      </c>
      <c r="O1573">
        <v>3148.2</v>
      </c>
      <c r="P1573">
        <f t="shared" si="24"/>
        <v>0.71299435028248592</v>
      </c>
    </row>
    <row r="1574" spans="1:16" hidden="1" x14ac:dyDescent="0.25">
      <c r="A1574">
        <v>0</v>
      </c>
      <c r="B1574">
        <v>0</v>
      </c>
      <c r="C1574">
        <f>1.225 * (1 - 0.00000687559 * B1574) ^ 4.2561</f>
        <v>1.2250000000000001</v>
      </c>
      <c r="D1574">
        <f>E1574*(SQRT($C$2/C1574))</f>
        <v>200</v>
      </c>
      <c r="E1574">
        <v>200</v>
      </c>
      <c r="F1574">
        <v>1150</v>
      </c>
      <c r="G1574">
        <v>2000</v>
      </c>
      <c r="H1574">
        <f>CONVERT(G1574,"HP","kW")</f>
        <v>1491.3997431645405</v>
      </c>
      <c r="I1574">
        <v>0.88170000000000004</v>
      </c>
      <c r="J1574">
        <v>1.3548</v>
      </c>
      <c r="K1574">
        <v>0.57599999999999996</v>
      </c>
      <c r="L1574">
        <v>0.17699999999999999</v>
      </c>
      <c r="M1574">
        <v>0.1152</v>
      </c>
      <c r="N1574">
        <f>CONVERT(O1574,"lbf","N")</f>
        <v>12780.185522804943</v>
      </c>
      <c r="O1574">
        <v>2873.1</v>
      </c>
      <c r="P1574">
        <f t="shared" si="24"/>
        <v>0.65084745762711871</v>
      </c>
    </row>
    <row r="1575" spans="1:16" hidden="1" x14ac:dyDescent="0.25">
      <c r="A1575">
        <v>0</v>
      </c>
      <c r="B1575">
        <v>0</v>
      </c>
      <c r="C1575">
        <f>1.225 * (1 - 0.00000687559 * B1575) ^ 4.2561</f>
        <v>1.2250000000000001</v>
      </c>
      <c r="D1575">
        <f>E1575*(SQRT($C$2/C1575))</f>
        <v>220</v>
      </c>
      <c r="E1575">
        <v>220</v>
      </c>
      <c r="F1575">
        <v>1150</v>
      </c>
      <c r="G1575">
        <v>2000</v>
      </c>
      <c r="H1575">
        <f>CONVERT(G1575,"HP","kW")</f>
        <v>1491.3997431645405</v>
      </c>
      <c r="I1575">
        <v>0.8891</v>
      </c>
      <c r="J1575">
        <v>1.4902</v>
      </c>
      <c r="K1575">
        <v>0.59250000000000003</v>
      </c>
      <c r="L1575">
        <v>0.17699999999999999</v>
      </c>
      <c r="M1575">
        <v>0.1056</v>
      </c>
      <c r="N1575">
        <f>CONVERT(O1575,"lbf","N")</f>
        <v>11715.726090273107</v>
      </c>
      <c r="O1575">
        <v>2633.8</v>
      </c>
      <c r="P1575">
        <f t="shared" si="24"/>
        <v>0.59661016949152545</v>
      </c>
    </row>
    <row r="1576" spans="1:16" hidden="1" x14ac:dyDescent="0.25">
      <c r="A1576">
        <v>0</v>
      </c>
      <c r="B1576">
        <v>0</v>
      </c>
      <c r="C1576">
        <f>1.225 * (1 - 0.00000687559 * B1576) ^ 4.2561</f>
        <v>1.2250000000000001</v>
      </c>
      <c r="D1576">
        <f>E1576*(SQRT($C$2/C1576))</f>
        <v>20</v>
      </c>
      <c r="E1576">
        <v>20</v>
      </c>
      <c r="F1576">
        <v>1150</v>
      </c>
      <c r="G1576">
        <v>2000</v>
      </c>
      <c r="H1576">
        <f>CONVERT(G1576,"HP","kW")</f>
        <v>1491.3997431645405</v>
      </c>
      <c r="I1576">
        <v>0.20680000000000001</v>
      </c>
      <c r="J1576">
        <v>0.13550000000000001</v>
      </c>
      <c r="K1576">
        <v>0.48089999999999999</v>
      </c>
      <c r="L1576">
        <v>0.17710000000000001</v>
      </c>
      <c r="M1576">
        <v>0.2702</v>
      </c>
      <c r="N1576">
        <f>CONVERT(O1576,"lbf","N")</f>
        <v>29969.893132817622</v>
      </c>
      <c r="O1576">
        <v>6737.5</v>
      </c>
      <c r="P1576">
        <f t="shared" si="24"/>
        <v>1.5256916996047429</v>
      </c>
    </row>
    <row r="1577" spans="1:16" hidden="1" x14ac:dyDescent="0.25">
      <c r="A1577">
        <v>0</v>
      </c>
      <c r="B1577">
        <v>0</v>
      </c>
      <c r="C1577">
        <f>1.225 * (1 - 0.00000687559 * B1577) ^ 4.2561</f>
        <v>1.2250000000000001</v>
      </c>
      <c r="D1577">
        <f>E1577*(SQRT($C$2/C1577))</f>
        <v>80</v>
      </c>
      <c r="E1577">
        <v>80</v>
      </c>
      <c r="F1577">
        <v>1150</v>
      </c>
      <c r="G1577">
        <v>2000</v>
      </c>
      <c r="H1577">
        <f>CONVERT(G1577,"HP","kW")</f>
        <v>1491.3997431645405</v>
      </c>
      <c r="I1577">
        <v>0.64890000000000003</v>
      </c>
      <c r="J1577">
        <v>0.54190000000000005</v>
      </c>
      <c r="K1577">
        <v>0.50209999999999999</v>
      </c>
      <c r="L1577">
        <v>0.17710000000000001</v>
      </c>
      <c r="M1577">
        <v>0.21210000000000001</v>
      </c>
      <c r="N1577">
        <f>CONVERT(O1577,"lbf","N")</f>
        <v>23514.633924751583</v>
      </c>
      <c r="O1577">
        <v>5286.3</v>
      </c>
      <c r="P1577">
        <f t="shared" si="24"/>
        <v>1.1976284584980237</v>
      </c>
    </row>
    <row r="1578" spans="1:16" hidden="1" x14ac:dyDescent="0.25">
      <c r="A1578">
        <v>0</v>
      </c>
      <c r="B1578">
        <v>30000</v>
      </c>
      <c r="C1578">
        <f>1.225 * (1 - 0.00000687559 * B1578) ^ 4.2561</f>
        <v>0.45828836225470948</v>
      </c>
      <c r="D1578">
        <f>E1578*(SQRT($C$2/C1578))</f>
        <v>261.58847891605171</v>
      </c>
      <c r="E1578">
        <v>160</v>
      </c>
      <c r="F1578">
        <v>1150</v>
      </c>
      <c r="G1578">
        <v>750</v>
      </c>
      <c r="H1578">
        <f>CONVERT(G1578,"HP","kW")</f>
        <v>559.27490368670271</v>
      </c>
      <c r="I1578">
        <v>0.874</v>
      </c>
      <c r="J1578">
        <v>1.7719</v>
      </c>
      <c r="K1578">
        <v>0.70720000000000005</v>
      </c>
      <c r="L1578">
        <v>0.1772</v>
      </c>
      <c r="M1578">
        <v>8.7400000000000005E-2</v>
      </c>
      <c r="N1578">
        <f>CONVERT(O1578,"lbf","N")</f>
        <v>3632.4177710217245</v>
      </c>
      <c r="O1578">
        <v>816.6</v>
      </c>
      <c r="P1578">
        <f t="shared" si="24"/>
        <v>0.49322799097065467</v>
      </c>
    </row>
    <row r="1579" spans="1:16" hidden="1" x14ac:dyDescent="0.25">
      <c r="A1579">
        <v>0</v>
      </c>
      <c r="B1579">
        <v>30000</v>
      </c>
      <c r="C1579">
        <f>1.225 * (1 - 0.00000687559 * B1579) ^ 4.2561</f>
        <v>0.45828836225470948</v>
      </c>
      <c r="D1579">
        <f>E1579*(SQRT($C$2/C1579))</f>
        <v>0</v>
      </c>
      <c r="E1579">
        <v>0</v>
      </c>
      <c r="F1579">
        <v>1150</v>
      </c>
      <c r="G1579">
        <v>750</v>
      </c>
      <c r="H1579">
        <f>CONVERT(G1579,"HP","kW")</f>
        <v>559.27490368670271</v>
      </c>
      <c r="I1579">
        <v>0</v>
      </c>
      <c r="J1579">
        <v>0</v>
      </c>
      <c r="K1579">
        <v>0.53449999999999998</v>
      </c>
      <c r="L1579">
        <v>0.17730000000000001</v>
      </c>
      <c r="M1579">
        <v>0.2732</v>
      </c>
      <c r="N1579">
        <f>CONVERT(O1579,"lbf","N")</f>
        <v>11342.965118914275</v>
      </c>
      <c r="O1579">
        <v>2550</v>
      </c>
      <c r="P1579">
        <f t="shared" si="24"/>
        <v>1.5408911449520586</v>
      </c>
    </row>
    <row r="1580" spans="1:16" hidden="1" x14ac:dyDescent="0.25">
      <c r="A1580">
        <v>0</v>
      </c>
      <c r="B1580">
        <v>30000</v>
      </c>
      <c r="C1580">
        <f>1.225 * (1 - 0.00000687559 * B1580) ^ 4.2561</f>
        <v>0.45828836225470948</v>
      </c>
      <c r="D1580">
        <f>E1580*(SQRT($C$2/C1580))</f>
        <v>228.88991905154526</v>
      </c>
      <c r="E1580">
        <v>140</v>
      </c>
      <c r="F1580">
        <v>1150</v>
      </c>
      <c r="G1580">
        <v>750</v>
      </c>
      <c r="H1580">
        <f>CONVERT(G1580,"HP","kW")</f>
        <v>559.27490368670271</v>
      </c>
      <c r="I1580">
        <v>0.88870000000000005</v>
      </c>
      <c r="J1580">
        <v>1.5504</v>
      </c>
      <c r="K1580">
        <v>0.67369999999999997</v>
      </c>
      <c r="L1580">
        <v>0.17730000000000001</v>
      </c>
      <c r="M1580">
        <v>0.1016</v>
      </c>
      <c r="N1580">
        <f>CONVERT(O1580,"lbf","N")</f>
        <v>4220.9174907206889</v>
      </c>
      <c r="O1580">
        <v>948.9</v>
      </c>
      <c r="P1580">
        <f t="shared" si="24"/>
        <v>0.57304004512126328</v>
      </c>
    </row>
    <row r="1581" spans="1:16" hidden="1" x14ac:dyDescent="0.25">
      <c r="A1581">
        <v>0</v>
      </c>
      <c r="B1581">
        <v>30000</v>
      </c>
      <c r="C1581">
        <f>1.225 * (1 - 0.00000687559 * B1581) ^ 4.2561</f>
        <v>0.45828836225470948</v>
      </c>
      <c r="D1581">
        <f>E1581*(SQRT($C$2/C1581))</f>
        <v>32.698559864506464</v>
      </c>
      <c r="E1581">
        <v>20</v>
      </c>
      <c r="F1581">
        <v>1150</v>
      </c>
      <c r="G1581">
        <v>750</v>
      </c>
      <c r="H1581">
        <f>CONVERT(G1581,"HP","kW")</f>
        <v>559.27490368670271</v>
      </c>
      <c r="I1581">
        <v>0.32590000000000002</v>
      </c>
      <c r="J1581">
        <v>0.2215</v>
      </c>
      <c r="K1581">
        <v>0.54379999999999995</v>
      </c>
      <c r="L1581">
        <v>0.1774</v>
      </c>
      <c r="M1581">
        <v>0.2611</v>
      </c>
      <c r="N1581">
        <f>CONVERT(O1581,"lbf","N")</f>
        <v>10836.312676936104</v>
      </c>
      <c r="O1581">
        <v>2436.1</v>
      </c>
      <c r="P1581">
        <f t="shared" si="24"/>
        <v>1.4718151071025929</v>
      </c>
    </row>
    <row r="1582" spans="1:16" hidden="1" x14ac:dyDescent="0.25">
      <c r="A1582">
        <v>0</v>
      </c>
      <c r="B1582">
        <v>30000</v>
      </c>
      <c r="C1582">
        <f>1.225 * (1 - 0.00000687559 * B1582) ^ 4.2561</f>
        <v>0.45828836225470948</v>
      </c>
      <c r="D1582">
        <f>E1582*(SQRT($C$2/C1582))</f>
        <v>130.79423945802586</v>
      </c>
      <c r="E1582">
        <v>80</v>
      </c>
      <c r="F1582">
        <v>1150</v>
      </c>
      <c r="G1582">
        <v>750</v>
      </c>
      <c r="H1582">
        <f>CONVERT(G1582,"HP","kW")</f>
        <v>559.27490368670271</v>
      </c>
      <c r="I1582">
        <v>0.80579999999999996</v>
      </c>
      <c r="J1582">
        <v>0.88590000000000002</v>
      </c>
      <c r="K1582">
        <v>0.59240000000000004</v>
      </c>
      <c r="L1582">
        <v>0.1774</v>
      </c>
      <c r="M1582">
        <v>0.16139999999999999</v>
      </c>
      <c r="N1582">
        <f>CONVERT(O1582,"lbf","N")</f>
        <v>6697.6872860977355</v>
      </c>
      <c r="O1582">
        <v>1505.7</v>
      </c>
      <c r="P1582">
        <f t="shared" si="24"/>
        <v>0.90980834272829758</v>
      </c>
    </row>
    <row r="1583" spans="1:16" hidden="1" x14ac:dyDescent="0.25">
      <c r="A1583">
        <v>0</v>
      </c>
      <c r="B1583">
        <v>30000</v>
      </c>
      <c r="C1583">
        <f>1.225 * (1 - 0.00000687559 * B1583) ^ 4.2561</f>
        <v>0.45828836225470948</v>
      </c>
      <c r="D1583">
        <f>E1583*(SQRT($C$2/C1583))</f>
        <v>163.49279932253233</v>
      </c>
      <c r="E1583">
        <v>100</v>
      </c>
      <c r="F1583">
        <v>1150</v>
      </c>
      <c r="G1583">
        <v>750</v>
      </c>
      <c r="H1583">
        <f>CONVERT(G1583,"HP","kW")</f>
        <v>559.27490368670271</v>
      </c>
      <c r="I1583">
        <v>0.85399999999999998</v>
      </c>
      <c r="J1583">
        <v>1.1073999999999999</v>
      </c>
      <c r="K1583">
        <v>0.6159</v>
      </c>
      <c r="L1583">
        <v>0.1774</v>
      </c>
      <c r="M1583">
        <v>0.1368</v>
      </c>
      <c r="N1583">
        <f>CONVERT(O1583,"lbf","N")</f>
        <v>5679.0445362030805</v>
      </c>
      <c r="O1583">
        <v>1276.7</v>
      </c>
      <c r="P1583">
        <f t="shared" si="24"/>
        <v>0.77113866967305522</v>
      </c>
    </row>
    <row r="1584" spans="1:16" hidden="1" x14ac:dyDescent="0.25">
      <c r="A1584">
        <v>0</v>
      </c>
      <c r="B1584">
        <v>30000</v>
      </c>
      <c r="C1584">
        <f>1.225 * (1 - 0.00000687559 * B1584) ^ 4.2561</f>
        <v>0.45828836225470948</v>
      </c>
      <c r="D1584">
        <f>E1584*(SQRT($C$2/C1584))</f>
        <v>196.19135918703881</v>
      </c>
      <c r="E1584">
        <v>120</v>
      </c>
      <c r="F1584">
        <v>1150</v>
      </c>
      <c r="G1584">
        <v>750</v>
      </c>
      <c r="H1584">
        <f>CONVERT(G1584,"HP","kW")</f>
        <v>559.27490368670271</v>
      </c>
      <c r="I1584">
        <v>0.87960000000000005</v>
      </c>
      <c r="J1584">
        <v>1.3289</v>
      </c>
      <c r="K1584">
        <v>0.6431</v>
      </c>
      <c r="L1584">
        <v>0.1774</v>
      </c>
      <c r="M1584">
        <v>0.1174</v>
      </c>
      <c r="N1584">
        <f>CONVERT(O1584,"lbf","N")</f>
        <v>4873.9164238409303</v>
      </c>
      <c r="O1584">
        <v>1095.7</v>
      </c>
      <c r="P1584">
        <f t="shared" si="24"/>
        <v>0.66178128523111612</v>
      </c>
    </row>
    <row r="1585" spans="1:16" hidden="1" x14ac:dyDescent="0.25">
      <c r="A1585">
        <v>0</v>
      </c>
      <c r="B1585">
        <v>30000</v>
      </c>
      <c r="C1585">
        <f>1.225 * (1 - 0.00000687559 * B1585) ^ 4.2561</f>
        <v>0.45828836225470948</v>
      </c>
      <c r="D1585">
        <f>E1585*(SQRT($C$2/C1585))</f>
        <v>294.28703878055819</v>
      </c>
      <c r="E1585">
        <v>180</v>
      </c>
      <c r="F1585">
        <v>1150</v>
      </c>
      <c r="G1585">
        <v>750</v>
      </c>
      <c r="H1585">
        <f>CONVERT(G1585,"HP","kW")</f>
        <v>559.27490368670271</v>
      </c>
      <c r="I1585">
        <v>0.82699999999999996</v>
      </c>
      <c r="J1585">
        <v>1.9934000000000001</v>
      </c>
      <c r="K1585">
        <v>0.74339999999999995</v>
      </c>
      <c r="L1585">
        <v>0.1774</v>
      </c>
      <c r="M1585">
        <v>7.3599999999999999E-2</v>
      </c>
      <c r="N1585">
        <f>CONVERT(O1585,"lbf","N")</f>
        <v>3055.4834275224375</v>
      </c>
      <c r="O1585">
        <v>686.9</v>
      </c>
      <c r="P1585">
        <f t="shared" si="24"/>
        <v>0.41488162344983087</v>
      </c>
    </row>
    <row r="1586" spans="1:16" hidden="1" x14ac:dyDescent="0.25">
      <c r="A1586">
        <v>0</v>
      </c>
      <c r="B1586">
        <v>30000</v>
      </c>
      <c r="C1586">
        <f>1.225 * (1 - 0.00000687559 * B1586) ^ 4.2561</f>
        <v>0.45828836225470948</v>
      </c>
      <c r="D1586">
        <f>E1586*(SQRT($C$2/C1586))</f>
        <v>326.98559864506467</v>
      </c>
      <c r="E1586">
        <v>200</v>
      </c>
      <c r="F1586">
        <v>1150</v>
      </c>
      <c r="G1586">
        <v>750</v>
      </c>
      <c r="H1586">
        <f>CONVERT(G1586,"HP","kW")</f>
        <v>559.27490368670271</v>
      </c>
      <c r="I1586">
        <v>0.73519999999999996</v>
      </c>
      <c r="J1586">
        <v>2.2149000000000001</v>
      </c>
      <c r="K1586">
        <v>0.78180000000000005</v>
      </c>
      <c r="L1586">
        <v>0.1774</v>
      </c>
      <c r="M1586">
        <v>5.8900000000000001E-2</v>
      </c>
      <c r="N1586">
        <f>CONVERT(O1586,"lbf","N")</f>
        <v>2444.742599747171</v>
      </c>
      <c r="O1586">
        <v>549.6</v>
      </c>
      <c r="P1586">
        <f t="shared" si="24"/>
        <v>0.33201803833145432</v>
      </c>
    </row>
    <row r="1587" spans="1:16" hidden="1" x14ac:dyDescent="0.25">
      <c r="A1587">
        <v>0</v>
      </c>
      <c r="B1587">
        <v>30000</v>
      </c>
      <c r="C1587">
        <f>1.225 * (1 - 0.00000687559 * B1587) ^ 4.2561</f>
        <v>0.45828836225470948</v>
      </c>
      <c r="D1587">
        <f>E1587*(SQRT($C$2/C1587))</f>
        <v>359.68415850957115</v>
      </c>
      <c r="E1587">
        <v>220</v>
      </c>
      <c r="F1587">
        <v>1150</v>
      </c>
      <c r="G1587">
        <v>750</v>
      </c>
      <c r="H1587">
        <f>CONVERT(G1587,"HP","kW")</f>
        <v>559.27490368670271</v>
      </c>
      <c r="I1587">
        <v>0.56830000000000003</v>
      </c>
      <c r="J1587">
        <v>2.4363999999999999</v>
      </c>
      <c r="K1587">
        <v>0.82210000000000005</v>
      </c>
      <c r="L1587">
        <v>0.1774</v>
      </c>
      <c r="M1587">
        <v>4.1399999999999999E-2</v>
      </c>
      <c r="N1587">
        <f>CONVERT(O1587,"lbf","N")</f>
        <v>1717.903187813605</v>
      </c>
      <c r="O1587">
        <v>386.2</v>
      </c>
      <c r="P1587">
        <f t="shared" si="24"/>
        <v>0.23337091319052988</v>
      </c>
    </row>
    <row r="1588" spans="1:16" hidden="1" x14ac:dyDescent="0.25">
      <c r="A1588">
        <v>0</v>
      </c>
      <c r="B1588">
        <v>30000</v>
      </c>
      <c r="C1588">
        <f>1.225 * (1 - 0.00000687559 * B1588) ^ 4.2561</f>
        <v>0.45828836225470948</v>
      </c>
      <c r="D1588">
        <f>E1588*(SQRT($C$2/C1588))</f>
        <v>392.38271837407763</v>
      </c>
      <c r="E1588">
        <v>240</v>
      </c>
      <c r="F1588">
        <v>1150</v>
      </c>
      <c r="G1588">
        <v>750</v>
      </c>
      <c r="H1588">
        <f>CONVERT(G1588,"HP","kW")</f>
        <v>559.27490368670271</v>
      </c>
      <c r="I1588">
        <v>0.248</v>
      </c>
      <c r="J1588">
        <v>2.6577999999999999</v>
      </c>
      <c r="K1588">
        <v>0.86409999999999998</v>
      </c>
      <c r="L1588">
        <v>0.1774</v>
      </c>
      <c r="M1588">
        <v>1.66E-2</v>
      </c>
      <c r="N1588">
        <f>CONVERT(O1588,"lbf","N")</f>
        <v>687.25023955774725</v>
      </c>
      <c r="O1588">
        <v>154.5</v>
      </c>
      <c r="P1588">
        <f t="shared" si="24"/>
        <v>9.3573844419391206E-2</v>
      </c>
    </row>
    <row r="1589" spans="1:16" hidden="1" x14ac:dyDescent="0.25">
      <c r="A1589">
        <v>0</v>
      </c>
      <c r="B1589">
        <v>30000</v>
      </c>
      <c r="C1589">
        <f>1.225 * (1 - 0.00000687559 * B1589) ^ 4.2561</f>
        <v>0.45828836225470948</v>
      </c>
      <c r="D1589">
        <f>E1589*(SQRT($C$2/C1589))</f>
        <v>425.08127823858405</v>
      </c>
      <c r="E1589">
        <v>260</v>
      </c>
      <c r="F1589">
        <v>1150</v>
      </c>
      <c r="G1589">
        <v>750</v>
      </c>
      <c r="H1589">
        <f>CONVERT(G1589,"HP","kW")</f>
        <v>559.27490368670271</v>
      </c>
      <c r="I1589">
        <v>-0.25359999999999999</v>
      </c>
      <c r="J1589">
        <v>2.8793000000000002</v>
      </c>
      <c r="K1589">
        <v>0.90759999999999996</v>
      </c>
      <c r="L1589">
        <v>0.1774</v>
      </c>
      <c r="M1589">
        <v>-1.5599999999999999E-2</v>
      </c>
      <c r="N1589">
        <f>CONVERT(O1589,"lbf","N")</f>
        <v>-648.550711504981</v>
      </c>
      <c r="O1589">
        <v>-145.80000000000001</v>
      </c>
      <c r="P1589">
        <f t="shared" si="24"/>
        <v>-8.7936865839909797E-2</v>
      </c>
    </row>
    <row r="1590" spans="1:16" hidden="1" x14ac:dyDescent="0.25">
      <c r="A1590">
        <v>0</v>
      </c>
      <c r="B1590">
        <v>30000</v>
      </c>
      <c r="C1590">
        <f>1.225 * (1 - 0.00000687559 * B1590) ^ 4.2561</f>
        <v>0.45828836225470948</v>
      </c>
      <c r="D1590">
        <f>E1590*(SQRT($C$2/C1590))</f>
        <v>65.397119729012928</v>
      </c>
      <c r="E1590">
        <v>40</v>
      </c>
      <c r="F1590">
        <v>1150</v>
      </c>
      <c r="G1590">
        <v>750</v>
      </c>
      <c r="H1590">
        <f>CONVERT(G1590,"HP","kW")</f>
        <v>559.27490368670271</v>
      </c>
      <c r="I1590">
        <v>0.56950000000000001</v>
      </c>
      <c r="J1590">
        <v>0.443</v>
      </c>
      <c r="K1590">
        <v>0.55669999999999997</v>
      </c>
      <c r="L1590">
        <v>0.17749999999999999</v>
      </c>
      <c r="M1590">
        <v>0.22819999999999999</v>
      </c>
      <c r="N1590">
        <f>CONVERT(O1590,"lbf","N")</f>
        <v>9467.5948859204491</v>
      </c>
      <c r="O1590">
        <v>2128.4</v>
      </c>
      <c r="P1590">
        <f t="shared" si="24"/>
        <v>1.2856338028169014</v>
      </c>
    </row>
    <row r="1591" spans="1:16" hidden="1" x14ac:dyDescent="0.25">
      <c r="A1591">
        <v>0</v>
      </c>
      <c r="B1591">
        <v>30000</v>
      </c>
      <c r="C1591">
        <f>1.225 * (1 - 0.00000687559 * B1591) ^ 4.2561</f>
        <v>0.45828836225470948</v>
      </c>
      <c r="D1591">
        <f>E1591*(SQRT($C$2/C1591))</f>
        <v>98.095679593519407</v>
      </c>
      <c r="E1591">
        <v>60</v>
      </c>
      <c r="F1591">
        <v>1150</v>
      </c>
      <c r="G1591">
        <v>750</v>
      </c>
      <c r="H1591">
        <f>CONVERT(G1591,"HP","kW")</f>
        <v>559.27490368670271</v>
      </c>
      <c r="I1591">
        <v>0.71940000000000004</v>
      </c>
      <c r="J1591">
        <v>0.66449999999999998</v>
      </c>
      <c r="K1591">
        <v>0.57279999999999998</v>
      </c>
      <c r="L1591">
        <v>0.17749999999999999</v>
      </c>
      <c r="M1591">
        <v>0.19220000000000001</v>
      </c>
      <c r="N1591">
        <f>CONVERT(O1591,"lbf","N")</f>
        <v>7972.5476010313942</v>
      </c>
      <c r="O1591">
        <v>1792.3</v>
      </c>
      <c r="P1591">
        <f t="shared" si="24"/>
        <v>1.0828169014084508</v>
      </c>
    </row>
    <row r="1592" spans="1:16" hidden="1" x14ac:dyDescent="0.25">
      <c r="A1592">
        <v>0</v>
      </c>
      <c r="B1592">
        <v>10000</v>
      </c>
      <c r="C1592">
        <f>1.225 * (1 - 0.00000687559 * B1592) ^ 4.2561</f>
        <v>0.90462252368600637</v>
      </c>
      <c r="D1592">
        <f>E1592*(SQRT($C$2/C1592))</f>
        <v>46.547283141308135</v>
      </c>
      <c r="E1592">
        <v>40</v>
      </c>
      <c r="F1592">
        <v>1215</v>
      </c>
      <c r="G1592">
        <v>1750</v>
      </c>
      <c r="H1592">
        <f>CONVERT(G1592,"HP","kW")</f>
        <v>1304.974775268973</v>
      </c>
      <c r="I1592">
        <v>0.42280000000000001</v>
      </c>
      <c r="J1592">
        <v>0.2984</v>
      </c>
      <c r="K1592">
        <v>0.53449999999999998</v>
      </c>
      <c r="L1592">
        <v>0.1777</v>
      </c>
      <c r="M1592">
        <v>0.25180000000000002</v>
      </c>
      <c r="N1592">
        <f>CONVERT(O1592,"lbf","N")</f>
        <v>23043.122433533968</v>
      </c>
      <c r="O1592">
        <v>5180.3</v>
      </c>
      <c r="P1592">
        <f t="shared" si="24"/>
        <v>1.4169949352841871</v>
      </c>
    </row>
    <row r="1593" spans="1:16" hidden="1" x14ac:dyDescent="0.25">
      <c r="A1593">
        <v>0</v>
      </c>
      <c r="B1593">
        <v>10000</v>
      </c>
      <c r="C1593">
        <f>1.225 * (1 - 0.00000687559 * B1593) ^ 4.2561</f>
        <v>0.90462252368600637</v>
      </c>
      <c r="D1593">
        <f>E1593*(SQRT($C$2/C1593))</f>
        <v>116.36820785327033</v>
      </c>
      <c r="E1593">
        <v>100</v>
      </c>
      <c r="F1593">
        <v>1215</v>
      </c>
      <c r="G1593">
        <v>1750</v>
      </c>
      <c r="H1593">
        <f>CONVERT(G1593,"HP","kW")</f>
        <v>1304.974775268973</v>
      </c>
      <c r="I1593">
        <v>0.75729999999999997</v>
      </c>
      <c r="J1593">
        <v>0.74609999999999999</v>
      </c>
      <c r="K1593">
        <v>0.56530000000000002</v>
      </c>
      <c r="L1593">
        <v>0.1777</v>
      </c>
      <c r="M1593">
        <v>0.1804</v>
      </c>
      <c r="N1593">
        <f>CONVERT(O1593,"lbf","N")</f>
        <v>16509.129702877821</v>
      </c>
      <c r="O1593">
        <v>3711.4</v>
      </c>
      <c r="P1593">
        <f t="shared" si="24"/>
        <v>1.0151941474395048</v>
      </c>
    </row>
    <row r="1594" spans="1:16" hidden="1" x14ac:dyDescent="0.25">
      <c r="A1594">
        <v>0</v>
      </c>
      <c r="B1594">
        <v>10000</v>
      </c>
      <c r="C1594">
        <f>1.225 * (1 - 0.00000687559 * B1594) ^ 4.2561</f>
        <v>0.90462252368600637</v>
      </c>
      <c r="D1594">
        <f>E1594*(SQRT($C$2/C1594))</f>
        <v>162.91549099457848</v>
      </c>
      <c r="E1594">
        <v>140</v>
      </c>
      <c r="F1594">
        <v>1215</v>
      </c>
      <c r="G1594">
        <v>1750</v>
      </c>
      <c r="H1594">
        <f>CONVERT(G1594,"HP","kW")</f>
        <v>1304.974775268973</v>
      </c>
      <c r="I1594">
        <v>0.84309999999999996</v>
      </c>
      <c r="J1594">
        <v>1.0445</v>
      </c>
      <c r="K1594">
        <v>0.59389999999999998</v>
      </c>
      <c r="L1594">
        <v>0.1777</v>
      </c>
      <c r="M1594">
        <v>0.14349999999999999</v>
      </c>
      <c r="N1594">
        <f>CONVERT(O1594,"lbf","N")</f>
        <v>13128.481275279841</v>
      </c>
      <c r="O1594">
        <v>2951.4</v>
      </c>
      <c r="P1594">
        <f t="shared" si="24"/>
        <v>0.80754079909960608</v>
      </c>
    </row>
    <row r="1595" spans="1:16" hidden="1" x14ac:dyDescent="0.25">
      <c r="A1595">
        <v>0</v>
      </c>
      <c r="B1595">
        <v>10000</v>
      </c>
      <c r="C1595">
        <f>1.225 * (1 - 0.00000687559 * B1595) ^ 4.2561</f>
        <v>0.90462252368600637</v>
      </c>
      <c r="D1595">
        <f>E1595*(SQRT($C$2/C1595))</f>
        <v>256.01005727719473</v>
      </c>
      <c r="E1595">
        <v>220</v>
      </c>
      <c r="F1595">
        <v>1215</v>
      </c>
      <c r="G1595">
        <v>1750</v>
      </c>
      <c r="H1595">
        <f>CONVERT(G1595,"HP","kW")</f>
        <v>1304.974775268973</v>
      </c>
      <c r="I1595">
        <v>0.89139999999999997</v>
      </c>
      <c r="J1595">
        <v>1.6414</v>
      </c>
      <c r="K1595">
        <v>0.67020000000000002</v>
      </c>
      <c r="L1595">
        <v>0.1777</v>
      </c>
      <c r="M1595">
        <v>9.6500000000000002E-2</v>
      </c>
      <c r="N1595">
        <f>CONVERT(O1595,"lbf","N")</f>
        <v>8832.8336614227755</v>
      </c>
      <c r="O1595">
        <v>1985.7</v>
      </c>
      <c r="P1595">
        <f t="shared" si="24"/>
        <v>0.54305008441193026</v>
      </c>
    </row>
    <row r="1596" spans="1:16" hidden="1" x14ac:dyDescent="0.25">
      <c r="A1596">
        <v>0</v>
      </c>
      <c r="B1596">
        <v>10000</v>
      </c>
      <c r="C1596">
        <f>1.225 * (1 - 0.00000687559 * B1596) ^ 4.2561</f>
        <v>0.90462252368600637</v>
      </c>
      <c r="D1596">
        <f>E1596*(SQRT($C$2/C1596))</f>
        <v>279.28369884784883</v>
      </c>
      <c r="E1596">
        <v>240</v>
      </c>
      <c r="F1596">
        <v>1215</v>
      </c>
      <c r="G1596">
        <v>1750</v>
      </c>
      <c r="H1596">
        <f>CONVERT(G1596,"HP","kW")</f>
        <v>1304.974775268973</v>
      </c>
      <c r="I1596">
        <v>0.8841</v>
      </c>
      <c r="J1596">
        <v>1.7906</v>
      </c>
      <c r="K1596">
        <v>0.69269999999999998</v>
      </c>
      <c r="L1596">
        <v>0.1777</v>
      </c>
      <c r="M1596">
        <v>8.77E-2</v>
      </c>
      <c r="N1596">
        <f>CONVERT(O1596,"lbf","N")</f>
        <v>8030.3744820297798</v>
      </c>
      <c r="O1596">
        <v>1805.3</v>
      </c>
      <c r="P1596">
        <f t="shared" si="24"/>
        <v>0.49352841868317388</v>
      </c>
    </row>
    <row r="1597" spans="1:16" hidden="1" x14ac:dyDescent="0.25">
      <c r="A1597">
        <v>0</v>
      </c>
      <c r="B1597">
        <v>10000</v>
      </c>
      <c r="C1597">
        <f>1.225 * (1 - 0.00000687559 * B1597) ^ 4.2561</f>
        <v>0.90462252368600637</v>
      </c>
      <c r="D1597">
        <f>E1597*(SQRT($C$2/C1597))</f>
        <v>186.18913256523254</v>
      </c>
      <c r="E1597">
        <v>160</v>
      </c>
      <c r="F1597">
        <v>1215</v>
      </c>
      <c r="G1597">
        <v>1750</v>
      </c>
      <c r="H1597">
        <f>CONVERT(G1597,"HP","kW")</f>
        <v>1304.974775268973</v>
      </c>
      <c r="I1597">
        <v>0.86599999999999999</v>
      </c>
      <c r="J1597">
        <v>1.1937</v>
      </c>
      <c r="K1597">
        <v>0.61070000000000002</v>
      </c>
      <c r="L1597">
        <v>0.17780000000000001</v>
      </c>
      <c r="M1597">
        <v>0.129</v>
      </c>
      <c r="N1597">
        <f>CONVERT(O1597,"lbf","N")</f>
        <v>11799.352656640003</v>
      </c>
      <c r="O1597">
        <v>2652.6</v>
      </c>
      <c r="P1597">
        <f t="shared" si="24"/>
        <v>0.72553430821147358</v>
      </c>
    </row>
    <row r="1598" spans="1:16" hidden="1" x14ac:dyDescent="0.25">
      <c r="A1598">
        <v>0</v>
      </c>
      <c r="B1598">
        <v>10000</v>
      </c>
      <c r="C1598">
        <f>1.225 * (1 - 0.00000687559 * B1598) ^ 4.2561</f>
        <v>0.90462252368600637</v>
      </c>
      <c r="D1598">
        <f>E1598*(SQRT($C$2/C1598))</f>
        <v>209.4627741358866</v>
      </c>
      <c r="E1598">
        <v>180</v>
      </c>
      <c r="F1598">
        <v>1215</v>
      </c>
      <c r="G1598">
        <v>1750</v>
      </c>
      <c r="H1598">
        <f>CONVERT(G1598,"HP","kW")</f>
        <v>1304.974775268973</v>
      </c>
      <c r="I1598">
        <v>0.88070000000000004</v>
      </c>
      <c r="J1598">
        <v>1.3429</v>
      </c>
      <c r="K1598">
        <v>0.62909999999999999</v>
      </c>
      <c r="L1598">
        <v>0.17780000000000001</v>
      </c>
      <c r="M1598">
        <v>0.1166</v>
      </c>
      <c r="N1598">
        <f>CONVERT(O1598,"lbf","N")</f>
        <v>10665.056144748574</v>
      </c>
      <c r="O1598">
        <v>2397.6</v>
      </c>
      <c r="P1598">
        <f t="shared" si="24"/>
        <v>0.65579302587176591</v>
      </c>
    </row>
    <row r="1599" spans="1:16" hidden="1" x14ac:dyDescent="0.25">
      <c r="A1599">
        <v>0</v>
      </c>
      <c r="B1599">
        <v>10000</v>
      </c>
      <c r="C1599">
        <f>1.225 * (1 - 0.00000687559 * B1599) ^ 4.2561</f>
        <v>0.90462252368600637</v>
      </c>
      <c r="D1599">
        <f>E1599*(SQRT($C$2/C1599))</f>
        <v>232.73641570654067</v>
      </c>
      <c r="E1599">
        <v>200</v>
      </c>
      <c r="F1599">
        <v>1215</v>
      </c>
      <c r="G1599">
        <v>1750</v>
      </c>
      <c r="H1599">
        <f>CONVERT(G1599,"HP","kW")</f>
        <v>1304.974775268973</v>
      </c>
      <c r="I1599">
        <v>0.8891</v>
      </c>
      <c r="J1599">
        <v>1.4922</v>
      </c>
      <c r="K1599">
        <v>0.64900000000000002</v>
      </c>
      <c r="L1599">
        <v>0.17780000000000001</v>
      </c>
      <c r="M1599">
        <v>0.10589999999999999</v>
      </c>
      <c r="N1599">
        <f>CONVERT(O1599,"lbf","N")</f>
        <v>9690.8956110065246</v>
      </c>
      <c r="O1599">
        <v>2178.6</v>
      </c>
      <c r="P1599">
        <f t="shared" si="24"/>
        <v>0.59561304836895379</v>
      </c>
    </row>
    <row r="1600" spans="1:16" hidden="1" x14ac:dyDescent="0.25">
      <c r="A1600">
        <v>0</v>
      </c>
      <c r="B1600">
        <v>10000</v>
      </c>
      <c r="C1600">
        <f>1.225 * (1 - 0.00000687559 * B1600) ^ 4.2561</f>
        <v>0.90462252368600637</v>
      </c>
      <c r="D1600">
        <f>E1600*(SQRT($C$2/C1600))</f>
        <v>302.55734041850286</v>
      </c>
      <c r="E1600">
        <v>260</v>
      </c>
      <c r="F1600">
        <v>1215</v>
      </c>
      <c r="G1600">
        <v>1750</v>
      </c>
      <c r="H1600">
        <f>CONVERT(G1600,"HP","kW")</f>
        <v>1304.974775268973</v>
      </c>
      <c r="I1600">
        <v>0.8609</v>
      </c>
      <c r="J1600">
        <v>1.9398</v>
      </c>
      <c r="K1600">
        <v>0.71640000000000004</v>
      </c>
      <c r="L1600">
        <v>0.17780000000000001</v>
      </c>
      <c r="M1600">
        <v>7.8899999999999998E-2</v>
      </c>
      <c r="N1600">
        <f>CONVERT(O1600,"lbf","N")</f>
        <v>7217.6843929216875</v>
      </c>
      <c r="O1600">
        <v>1622.6</v>
      </c>
      <c r="P1600">
        <f t="shared" si="24"/>
        <v>0.44375703037120356</v>
      </c>
    </row>
    <row r="1601" spans="1:16" hidden="1" x14ac:dyDescent="0.25">
      <c r="A1601">
        <v>0</v>
      </c>
      <c r="B1601">
        <v>10000</v>
      </c>
      <c r="C1601">
        <f>1.225 * (1 - 0.00000687559 * B1601) ^ 4.2561</f>
        <v>0.90462252368600637</v>
      </c>
      <c r="D1601">
        <f>E1601*(SQRT($C$2/C1601))</f>
        <v>0</v>
      </c>
      <c r="E1601">
        <v>0</v>
      </c>
      <c r="F1601">
        <v>1215</v>
      </c>
      <c r="G1601">
        <v>1750</v>
      </c>
      <c r="H1601">
        <f>CONVERT(G1601,"HP","kW")</f>
        <v>1304.974775268973</v>
      </c>
      <c r="I1601">
        <v>0</v>
      </c>
      <c r="J1601">
        <v>0</v>
      </c>
      <c r="K1601">
        <v>0.52139999999999997</v>
      </c>
      <c r="L1601">
        <v>0.1779</v>
      </c>
      <c r="M1601">
        <v>0.2737</v>
      </c>
      <c r="N1601">
        <f>CONVERT(O1601,"lbf","N")</f>
        <v>25028.363740424735</v>
      </c>
      <c r="O1601">
        <v>5626.6</v>
      </c>
      <c r="P1601">
        <f t="shared" si="24"/>
        <v>1.5385047779651488</v>
      </c>
    </row>
    <row r="1602" spans="1:16" hidden="1" x14ac:dyDescent="0.25">
      <c r="A1602">
        <v>0</v>
      </c>
      <c r="B1602">
        <v>10000</v>
      </c>
      <c r="C1602">
        <f>1.225 * (1 - 0.00000687559 * B1602) ^ 4.2561</f>
        <v>0.90462252368600637</v>
      </c>
      <c r="D1602">
        <f>E1602*(SQRT($C$2/C1602))</f>
        <v>23.273641570654068</v>
      </c>
      <c r="E1602">
        <v>20</v>
      </c>
      <c r="F1602">
        <v>1215</v>
      </c>
      <c r="G1602">
        <v>1750</v>
      </c>
      <c r="H1602">
        <f>CONVERT(G1602,"HP","kW")</f>
        <v>1304.974775268973</v>
      </c>
      <c r="I1602">
        <v>0.22500000000000001</v>
      </c>
      <c r="J1602">
        <v>0.1492</v>
      </c>
      <c r="K1602">
        <v>0.52710000000000001</v>
      </c>
      <c r="L1602">
        <v>0.1779</v>
      </c>
      <c r="M1602">
        <v>0.26819999999999999</v>
      </c>
      <c r="N1602">
        <f>CONVERT(O1602,"lbf","N")</f>
        <v>24521.71129844656</v>
      </c>
      <c r="O1602">
        <v>5512.7</v>
      </c>
      <c r="P1602">
        <f t="shared" si="24"/>
        <v>1.5075885328836425</v>
      </c>
    </row>
    <row r="1603" spans="1:16" hidden="1" x14ac:dyDescent="0.25">
      <c r="A1603">
        <v>0</v>
      </c>
      <c r="B1603">
        <v>10000</v>
      </c>
      <c r="C1603">
        <f>1.225 * (1 - 0.00000687559 * B1603) ^ 4.2561</f>
        <v>0.90462252368600637</v>
      </c>
      <c r="D1603">
        <f>E1603*(SQRT($C$2/C1603))</f>
        <v>139.64184942392441</v>
      </c>
      <c r="E1603">
        <v>120</v>
      </c>
      <c r="F1603">
        <v>1215</v>
      </c>
      <c r="G1603">
        <v>1750</v>
      </c>
      <c r="H1603">
        <f>CONVERT(G1603,"HP","kW")</f>
        <v>1304.974775268973</v>
      </c>
      <c r="I1603">
        <v>0.8085</v>
      </c>
      <c r="J1603">
        <v>0.89529999999999998</v>
      </c>
      <c r="K1603">
        <v>0.57869999999999999</v>
      </c>
      <c r="L1603">
        <v>0.1779</v>
      </c>
      <c r="M1603">
        <v>0.16059999999999999</v>
      </c>
      <c r="N1603">
        <f>CONVERT(O1603,"lbf","N")</f>
        <v>14687.138129267121</v>
      </c>
      <c r="O1603">
        <v>3301.8</v>
      </c>
      <c r="P1603">
        <f t="shared" ref="P1603:P1666" si="25">M1603/L1603</f>
        <v>0.90275435637998869</v>
      </c>
    </row>
    <row r="1604" spans="1:16" hidden="1" x14ac:dyDescent="0.25">
      <c r="A1604">
        <v>0</v>
      </c>
      <c r="B1604">
        <v>10000</v>
      </c>
      <c r="C1604">
        <f>1.225 * (1 - 0.00000687559 * B1604) ^ 4.2561</f>
        <v>0.90462252368600637</v>
      </c>
      <c r="D1604">
        <f>E1604*(SQRT($C$2/C1604))</f>
        <v>69.820924711962206</v>
      </c>
      <c r="E1604">
        <v>60</v>
      </c>
      <c r="F1604">
        <v>1215</v>
      </c>
      <c r="G1604">
        <v>1750</v>
      </c>
      <c r="H1604">
        <f>CONVERT(G1604,"HP","kW")</f>
        <v>1304.974775268973</v>
      </c>
      <c r="I1604">
        <v>0.5736</v>
      </c>
      <c r="J1604">
        <v>0.4476</v>
      </c>
      <c r="K1604">
        <v>0.54330000000000001</v>
      </c>
      <c r="L1604">
        <v>0.17799999999999999</v>
      </c>
      <c r="M1604">
        <v>0.2281</v>
      </c>
      <c r="N1604">
        <f>CONVERT(O1604,"lbf","N")</f>
        <v>20840.36308965697</v>
      </c>
      <c r="O1604">
        <v>4685.1000000000004</v>
      </c>
      <c r="P1604">
        <f t="shared" si="25"/>
        <v>1.2814606741573034</v>
      </c>
    </row>
    <row r="1605" spans="1:16" hidden="1" x14ac:dyDescent="0.25">
      <c r="A1605">
        <v>0</v>
      </c>
      <c r="B1605">
        <v>10000</v>
      </c>
      <c r="C1605">
        <f>1.225 * (1 - 0.00000687559 * B1605) ^ 4.2561</f>
        <v>0.90462252368600637</v>
      </c>
      <c r="D1605">
        <f>E1605*(SQRT($C$2/C1605))</f>
        <v>93.09456628261627</v>
      </c>
      <c r="E1605">
        <v>80</v>
      </c>
      <c r="F1605">
        <v>1215</v>
      </c>
      <c r="G1605">
        <v>1750</v>
      </c>
      <c r="H1605">
        <f>CONVERT(G1605,"HP","kW")</f>
        <v>1304.974775268973</v>
      </c>
      <c r="I1605">
        <v>0.68210000000000004</v>
      </c>
      <c r="J1605">
        <v>0.59689999999999999</v>
      </c>
      <c r="K1605">
        <v>0.55359999999999998</v>
      </c>
      <c r="L1605">
        <v>0.17799999999999999</v>
      </c>
      <c r="M1605">
        <v>0.2034</v>
      </c>
      <c r="N1605">
        <f>CONVERT(O1605,"lbf","N")</f>
        <v>18585.559552881419</v>
      </c>
      <c r="O1605">
        <v>4178.2</v>
      </c>
      <c r="P1605">
        <f t="shared" si="25"/>
        <v>1.1426966292134833</v>
      </c>
    </row>
    <row r="1606" spans="1:16" hidden="1" x14ac:dyDescent="0.25">
      <c r="A1606">
        <v>0</v>
      </c>
      <c r="B1606">
        <v>15000</v>
      </c>
      <c r="C1606">
        <f>1.225 * (1 - 0.00000687559 * B1606) ^ 4.2561</f>
        <v>0.77079726910167001</v>
      </c>
      <c r="D1606">
        <f>E1606*(SQRT($C$2/C1606))</f>
        <v>277.34519205286364</v>
      </c>
      <c r="E1606">
        <v>220</v>
      </c>
      <c r="F1606">
        <v>1215</v>
      </c>
      <c r="G1606">
        <v>1500</v>
      </c>
      <c r="H1606">
        <f>CONVERT(G1606,"HP","kW")</f>
        <v>1118.5498073734054</v>
      </c>
      <c r="I1606">
        <v>0.87749999999999995</v>
      </c>
      <c r="J1606">
        <v>1.7781</v>
      </c>
      <c r="K1606">
        <v>0.70389999999999997</v>
      </c>
      <c r="L1606">
        <v>0.1787</v>
      </c>
      <c r="M1606">
        <v>8.8200000000000001E-2</v>
      </c>
      <c r="N1606">
        <f>CONVERT(O1606,"lbf","N")</f>
        <v>6879.1747280003628</v>
      </c>
      <c r="O1606">
        <v>1546.5</v>
      </c>
      <c r="P1606">
        <f t="shared" si="25"/>
        <v>0.493564633463906</v>
      </c>
    </row>
    <row r="1607" spans="1:16" hidden="1" x14ac:dyDescent="0.25">
      <c r="A1607">
        <v>0</v>
      </c>
      <c r="B1607">
        <v>15000</v>
      </c>
      <c r="C1607">
        <f>1.225 * (1 - 0.00000687559 * B1607) ^ 4.2561</f>
        <v>0.77079726910167001</v>
      </c>
      <c r="D1607">
        <f>E1607*(SQRT($C$2/C1607))</f>
        <v>50.426398555066115</v>
      </c>
      <c r="E1607">
        <v>40</v>
      </c>
      <c r="F1607">
        <v>1215</v>
      </c>
      <c r="G1607">
        <v>1500</v>
      </c>
      <c r="H1607">
        <f>CONVERT(G1607,"HP","kW")</f>
        <v>1118.5498073734054</v>
      </c>
      <c r="I1607">
        <v>0.44979999999999998</v>
      </c>
      <c r="J1607">
        <v>0.32329999999999998</v>
      </c>
      <c r="K1607">
        <v>0.54600000000000004</v>
      </c>
      <c r="L1607">
        <v>0.17879999999999999</v>
      </c>
      <c r="M1607">
        <v>0.24879999999999999</v>
      </c>
      <c r="N1607">
        <f>CONVERT(O1607,"lbf","N")</f>
        <v>19394.691064697308</v>
      </c>
      <c r="O1607">
        <v>4360.1000000000004</v>
      </c>
      <c r="P1607">
        <f t="shared" si="25"/>
        <v>1.3914988814317675</v>
      </c>
    </row>
    <row r="1608" spans="1:16" hidden="1" x14ac:dyDescent="0.25">
      <c r="A1608">
        <v>0</v>
      </c>
      <c r="B1608">
        <v>15000</v>
      </c>
      <c r="C1608">
        <f>1.225 * (1 - 0.00000687559 * B1608) ^ 4.2561</f>
        <v>0.77079726910167001</v>
      </c>
      <c r="D1608">
        <f>E1608*(SQRT($C$2/C1608))</f>
        <v>176.49239494273141</v>
      </c>
      <c r="E1608">
        <v>140</v>
      </c>
      <c r="F1608">
        <v>1215</v>
      </c>
      <c r="G1608">
        <v>1500</v>
      </c>
      <c r="H1608">
        <f>CONVERT(G1608,"HP","kW")</f>
        <v>1118.5498073734054</v>
      </c>
      <c r="I1608">
        <v>0.85729999999999995</v>
      </c>
      <c r="J1608">
        <v>1.1315</v>
      </c>
      <c r="K1608">
        <v>0.6149</v>
      </c>
      <c r="L1608">
        <v>0.17879999999999999</v>
      </c>
      <c r="M1608">
        <v>0.13550000000000001</v>
      </c>
      <c r="N1608">
        <f>CONVERT(O1608,"lbf","N")</f>
        <v>10561.412581113005</v>
      </c>
      <c r="O1608">
        <v>2374.3000000000002</v>
      </c>
      <c r="P1608">
        <f t="shared" si="25"/>
        <v>0.75782997762863546</v>
      </c>
    </row>
    <row r="1609" spans="1:16" hidden="1" x14ac:dyDescent="0.25">
      <c r="A1609">
        <v>0</v>
      </c>
      <c r="B1609">
        <v>15000</v>
      </c>
      <c r="C1609">
        <f>1.225 * (1 - 0.00000687559 * B1609) ^ 4.2561</f>
        <v>0.77079726910167001</v>
      </c>
      <c r="D1609">
        <f>E1609*(SQRT($C$2/C1609))</f>
        <v>226.91879349779754</v>
      </c>
      <c r="E1609">
        <v>180</v>
      </c>
      <c r="F1609">
        <v>1215</v>
      </c>
      <c r="G1609">
        <v>1500</v>
      </c>
      <c r="H1609">
        <f>CONVERT(G1609,"HP","kW")</f>
        <v>1118.5498073734054</v>
      </c>
      <c r="I1609">
        <v>0.88719999999999999</v>
      </c>
      <c r="J1609">
        <v>1.4548000000000001</v>
      </c>
      <c r="K1609">
        <v>0.65610000000000002</v>
      </c>
      <c r="L1609">
        <v>0.17879999999999999</v>
      </c>
      <c r="M1609">
        <v>0.109</v>
      </c>
      <c r="N1609">
        <f>CONVERT(O1609,"lbf","N")</f>
        <v>8500.9963289243406</v>
      </c>
      <c r="O1609">
        <v>1911.1</v>
      </c>
      <c r="P1609">
        <f t="shared" si="25"/>
        <v>0.60961968680089484</v>
      </c>
    </row>
    <row r="1610" spans="1:16" hidden="1" x14ac:dyDescent="0.25">
      <c r="A1610">
        <v>0</v>
      </c>
      <c r="B1610">
        <v>15000</v>
      </c>
      <c r="C1610">
        <f>1.225 * (1 - 0.00000687559 * B1610) ^ 4.2561</f>
        <v>0.77079726910167001</v>
      </c>
      <c r="D1610">
        <f>E1610*(SQRT($C$2/C1610))</f>
        <v>252.13199277533059</v>
      </c>
      <c r="E1610">
        <v>200</v>
      </c>
      <c r="F1610">
        <v>1215</v>
      </c>
      <c r="G1610">
        <v>1500</v>
      </c>
      <c r="H1610">
        <f>CONVERT(G1610,"HP","kW")</f>
        <v>1118.5498073734054</v>
      </c>
      <c r="I1610">
        <v>0.88919999999999999</v>
      </c>
      <c r="J1610">
        <v>1.6165</v>
      </c>
      <c r="K1610">
        <v>0.67920000000000003</v>
      </c>
      <c r="L1610">
        <v>0.17879999999999999</v>
      </c>
      <c r="M1610">
        <v>9.8299999999999998E-2</v>
      </c>
      <c r="N1610">
        <f>CONVERT(O1610,"lbf","N")</f>
        <v>7668.2892425475766</v>
      </c>
      <c r="O1610">
        <v>1723.9</v>
      </c>
      <c r="P1610">
        <f t="shared" si="25"/>
        <v>0.54977628635346765</v>
      </c>
    </row>
    <row r="1611" spans="1:16" hidden="1" x14ac:dyDescent="0.25">
      <c r="A1611">
        <v>0</v>
      </c>
      <c r="B1611">
        <v>15000</v>
      </c>
      <c r="C1611">
        <f>1.225 * (1 - 0.00000687559 * B1611) ^ 4.2561</f>
        <v>0.77079726910167001</v>
      </c>
      <c r="D1611">
        <f>E1611*(SQRT($C$2/C1611))</f>
        <v>302.55839133039672</v>
      </c>
      <c r="E1611">
        <v>240</v>
      </c>
      <c r="F1611">
        <v>1215</v>
      </c>
      <c r="G1611">
        <v>1500</v>
      </c>
      <c r="H1611">
        <f>CONVERT(G1611,"HP","kW")</f>
        <v>1118.5498073734054</v>
      </c>
      <c r="I1611">
        <v>0.84560000000000002</v>
      </c>
      <c r="J1611">
        <v>1.9398</v>
      </c>
      <c r="K1611">
        <v>0.73</v>
      </c>
      <c r="L1611">
        <v>0.17879999999999999</v>
      </c>
      <c r="M1611">
        <v>7.8E-2</v>
      </c>
      <c r="N1611">
        <f>CONVERT(O1611,"lbf","N")</f>
        <v>6077.1603707688955</v>
      </c>
      <c r="O1611">
        <v>1366.2</v>
      </c>
      <c r="P1611">
        <f t="shared" si="25"/>
        <v>0.43624161073825507</v>
      </c>
    </row>
    <row r="1612" spans="1:16" hidden="1" x14ac:dyDescent="0.25">
      <c r="A1612">
        <v>0</v>
      </c>
      <c r="B1612">
        <v>15000</v>
      </c>
      <c r="C1612">
        <f>1.225 * (1 - 0.00000687559 * B1612) ^ 4.2561</f>
        <v>0.77079726910167001</v>
      </c>
      <c r="D1612">
        <f>E1612*(SQRT($C$2/C1612))</f>
        <v>0</v>
      </c>
      <c r="E1612">
        <v>0</v>
      </c>
      <c r="F1612">
        <v>1215</v>
      </c>
      <c r="G1612">
        <v>1500</v>
      </c>
      <c r="H1612">
        <f>CONVERT(G1612,"HP","kW")</f>
        <v>1118.5498073734054</v>
      </c>
      <c r="I1612">
        <v>0</v>
      </c>
      <c r="J1612">
        <v>0</v>
      </c>
      <c r="K1612">
        <v>0.53129999999999999</v>
      </c>
      <c r="L1612">
        <v>0.1789</v>
      </c>
      <c r="M1612">
        <v>0.2737</v>
      </c>
      <c r="N1612">
        <f>CONVERT(O1612,"lbf","N")</f>
        <v>21335.450155435461</v>
      </c>
      <c r="O1612">
        <v>4796.3999999999996</v>
      </c>
      <c r="P1612">
        <f t="shared" si="25"/>
        <v>1.5299049748462827</v>
      </c>
    </row>
    <row r="1613" spans="1:16" hidden="1" x14ac:dyDescent="0.25">
      <c r="A1613">
        <v>0</v>
      </c>
      <c r="B1613">
        <v>15000</v>
      </c>
      <c r="C1613">
        <f>1.225 * (1 - 0.00000687559 * B1613) ^ 4.2561</f>
        <v>0.77079726910167001</v>
      </c>
      <c r="D1613">
        <f>E1613*(SQRT($C$2/C1613))</f>
        <v>25.213199277533057</v>
      </c>
      <c r="E1613">
        <v>20</v>
      </c>
      <c r="F1613">
        <v>1215</v>
      </c>
      <c r="G1613">
        <v>1500</v>
      </c>
      <c r="H1613">
        <f>CONVERT(G1613,"HP","kW")</f>
        <v>1118.5498073734054</v>
      </c>
      <c r="I1613">
        <v>0.24149999999999999</v>
      </c>
      <c r="J1613">
        <v>0.16159999999999999</v>
      </c>
      <c r="K1613">
        <v>0.53759999999999997</v>
      </c>
      <c r="L1613">
        <v>0.1789</v>
      </c>
      <c r="M1613">
        <v>0.26729999999999998</v>
      </c>
      <c r="N1613">
        <f>CONVERT(O1613,"lbf","N")</f>
        <v>20825.683958326608</v>
      </c>
      <c r="O1613">
        <v>4681.8</v>
      </c>
      <c r="P1613">
        <f t="shared" si="25"/>
        <v>1.4941307993292341</v>
      </c>
    </row>
    <row r="1614" spans="1:16" hidden="1" x14ac:dyDescent="0.25">
      <c r="A1614">
        <v>0</v>
      </c>
      <c r="B1614">
        <v>15000</v>
      </c>
      <c r="C1614">
        <f>1.225 * (1 - 0.00000687559 * B1614) ^ 4.2561</f>
        <v>0.77079726910167001</v>
      </c>
      <c r="D1614">
        <f>E1614*(SQRT($C$2/C1614))</f>
        <v>126.06599638766529</v>
      </c>
      <c r="E1614">
        <v>100</v>
      </c>
      <c r="F1614">
        <v>1215</v>
      </c>
      <c r="G1614">
        <v>1500</v>
      </c>
      <c r="H1614">
        <f>CONVERT(G1614,"HP","kW")</f>
        <v>1118.5498073734054</v>
      </c>
      <c r="I1614">
        <v>0.78010000000000002</v>
      </c>
      <c r="J1614">
        <v>0.80820000000000003</v>
      </c>
      <c r="K1614">
        <v>0.58150000000000002</v>
      </c>
      <c r="L1614">
        <v>0.1789</v>
      </c>
      <c r="M1614">
        <v>0.17269999999999999</v>
      </c>
      <c r="N1614">
        <f>CONVERT(O1614,"lbf","N")</f>
        <v>13454.980741839961</v>
      </c>
      <c r="O1614">
        <v>3024.8</v>
      </c>
      <c r="P1614">
        <f t="shared" si="25"/>
        <v>0.9653437674678591</v>
      </c>
    </row>
    <row r="1615" spans="1:16" hidden="1" x14ac:dyDescent="0.25">
      <c r="A1615">
        <v>0</v>
      </c>
      <c r="B1615">
        <v>15000</v>
      </c>
      <c r="C1615">
        <f>1.225 * (1 - 0.00000687559 * B1615) ^ 4.2561</f>
        <v>0.77079726910167001</v>
      </c>
      <c r="D1615">
        <f>E1615*(SQRT($C$2/C1615))</f>
        <v>151.27919566519836</v>
      </c>
      <c r="E1615">
        <v>120</v>
      </c>
      <c r="F1615">
        <v>1215</v>
      </c>
      <c r="G1615">
        <v>1500</v>
      </c>
      <c r="H1615">
        <f>CONVERT(G1615,"HP","kW")</f>
        <v>1118.5498073734054</v>
      </c>
      <c r="I1615">
        <v>0.82689999999999997</v>
      </c>
      <c r="J1615">
        <v>0.96989999999999998</v>
      </c>
      <c r="K1615">
        <v>0.59719999999999995</v>
      </c>
      <c r="L1615">
        <v>0.1789</v>
      </c>
      <c r="M1615">
        <v>0.1525</v>
      </c>
      <c r="N1615">
        <f>CONVERT(O1615,"lbf","N")</f>
        <v>11884.758511653006</v>
      </c>
      <c r="O1615">
        <v>2671.8</v>
      </c>
      <c r="P1615">
        <f t="shared" si="25"/>
        <v>0.85243152599217431</v>
      </c>
    </row>
    <row r="1616" spans="1:16" hidden="1" x14ac:dyDescent="0.25">
      <c r="A1616">
        <v>0</v>
      </c>
      <c r="B1616">
        <v>15000</v>
      </c>
      <c r="C1616">
        <f>1.225 * (1 - 0.00000687559 * B1616) ^ 4.2561</f>
        <v>0.77079726910167001</v>
      </c>
      <c r="D1616">
        <f>E1616*(SQRT($C$2/C1616))</f>
        <v>201.70559422026446</v>
      </c>
      <c r="E1616">
        <v>160</v>
      </c>
      <c r="F1616">
        <v>1215</v>
      </c>
      <c r="G1616">
        <v>1500</v>
      </c>
      <c r="H1616">
        <f>CONVERT(G1616,"HP","kW")</f>
        <v>1118.5498073734054</v>
      </c>
      <c r="I1616">
        <v>0.87629999999999997</v>
      </c>
      <c r="J1616">
        <v>1.2931999999999999</v>
      </c>
      <c r="K1616">
        <v>0.63460000000000005</v>
      </c>
      <c r="L1616">
        <v>0.1789</v>
      </c>
      <c r="M1616">
        <v>0.1212</v>
      </c>
      <c r="N1616">
        <f>CONVERT(O1616,"lbf","N")</f>
        <v>9446.2434221671974</v>
      </c>
      <c r="O1616">
        <v>2123.6</v>
      </c>
      <c r="P1616">
        <f t="shared" si="25"/>
        <v>0.67747344885410843</v>
      </c>
    </row>
    <row r="1617" spans="1:16" hidden="1" x14ac:dyDescent="0.25">
      <c r="A1617">
        <v>0</v>
      </c>
      <c r="B1617">
        <v>15000</v>
      </c>
      <c r="C1617">
        <f>1.225 * (1 - 0.00000687559 * B1617) ^ 4.2561</f>
        <v>0.77079726910167001</v>
      </c>
      <c r="D1617">
        <f>E1617*(SQRT($C$2/C1617))</f>
        <v>327.77159060792974</v>
      </c>
      <c r="E1617">
        <v>260</v>
      </c>
      <c r="F1617">
        <v>1215</v>
      </c>
      <c r="G1617">
        <v>1500</v>
      </c>
      <c r="H1617">
        <f>CONVERT(G1617,"HP","kW")</f>
        <v>1118.5498073734054</v>
      </c>
      <c r="I1617">
        <v>0.79990000000000006</v>
      </c>
      <c r="J1617">
        <v>2.1013999999999999</v>
      </c>
      <c r="K1617">
        <v>0.75719999999999998</v>
      </c>
      <c r="L1617">
        <v>0.1789</v>
      </c>
      <c r="M1617">
        <v>6.8099999999999994E-2</v>
      </c>
      <c r="N1617">
        <f>CONVERT(O1617,"lbf","N")</f>
        <v>5305.8387426827248</v>
      </c>
      <c r="O1617">
        <v>1192.8</v>
      </c>
      <c r="P1617">
        <f t="shared" si="25"/>
        <v>0.38065958636109554</v>
      </c>
    </row>
    <row r="1618" spans="1:16" hidden="1" x14ac:dyDescent="0.25">
      <c r="A1618">
        <v>0</v>
      </c>
      <c r="B1618">
        <v>15000</v>
      </c>
      <c r="C1618">
        <f>1.225 * (1 - 0.00000687559 * B1618) ^ 4.2561</f>
        <v>0.77079726910167001</v>
      </c>
      <c r="D1618">
        <f>E1618*(SQRT($C$2/C1618))</f>
        <v>100.85279711013223</v>
      </c>
      <c r="E1618">
        <v>80</v>
      </c>
      <c r="F1618">
        <v>1215</v>
      </c>
      <c r="G1618">
        <v>1500</v>
      </c>
      <c r="H1618">
        <f>CONVERT(G1618,"HP","kW")</f>
        <v>1118.5498073734054</v>
      </c>
      <c r="I1618">
        <v>0.70909999999999995</v>
      </c>
      <c r="J1618">
        <v>0.64659999999999995</v>
      </c>
      <c r="K1618">
        <v>0.56779999999999997</v>
      </c>
      <c r="L1618">
        <v>0.17899999999999999</v>
      </c>
      <c r="M1618">
        <v>0.1963</v>
      </c>
      <c r="N1618">
        <f>CONVERT(O1618,"lbf","N")</f>
        <v>15287.648047327288</v>
      </c>
      <c r="O1618">
        <v>3436.8</v>
      </c>
      <c r="P1618">
        <f t="shared" si="25"/>
        <v>1.0966480446927376</v>
      </c>
    </row>
    <row r="1619" spans="1:16" hidden="1" x14ac:dyDescent="0.25">
      <c r="A1619">
        <v>0</v>
      </c>
      <c r="B1619">
        <v>15000</v>
      </c>
      <c r="C1619">
        <f>1.225 * (1 - 0.00000687559 * B1619) ^ 4.2561</f>
        <v>0.77079726910167001</v>
      </c>
      <c r="D1619">
        <f>E1619*(SQRT($C$2/C1619))</f>
        <v>75.639597832599179</v>
      </c>
      <c r="E1619">
        <v>60</v>
      </c>
      <c r="F1619">
        <v>1215</v>
      </c>
      <c r="G1619">
        <v>1500</v>
      </c>
      <c r="H1619">
        <f>CONVERT(G1619,"HP","kW")</f>
        <v>1118.5498073734054</v>
      </c>
      <c r="I1619">
        <v>0.60329999999999995</v>
      </c>
      <c r="J1619">
        <v>0.4849</v>
      </c>
      <c r="K1619">
        <v>0.55610000000000004</v>
      </c>
      <c r="L1619">
        <v>0.17910000000000001</v>
      </c>
      <c r="M1619">
        <v>0.2228</v>
      </c>
      <c r="N1619">
        <f>CONVERT(O1619,"lbf","N")</f>
        <v>17342.726433577638</v>
      </c>
      <c r="O1619">
        <v>3898.8</v>
      </c>
      <c r="P1619">
        <f t="shared" si="25"/>
        <v>1.2439977666108319</v>
      </c>
    </row>
    <row r="1620" spans="1:16" hidden="1" x14ac:dyDescent="0.25">
      <c r="A1620">
        <v>0</v>
      </c>
      <c r="B1620">
        <v>5000</v>
      </c>
      <c r="C1620">
        <f>1.225 * (1 - 0.00000687559 * B1620) ^ 4.2561</f>
        <v>1.0555380742846066</v>
      </c>
      <c r="D1620">
        <f>E1620*(SQRT($C$2/C1620))</f>
        <v>107.72861903045587</v>
      </c>
      <c r="E1620">
        <v>100</v>
      </c>
      <c r="F1620">
        <v>1150</v>
      </c>
      <c r="G1620">
        <v>1750</v>
      </c>
      <c r="H1620">
        <f>CONVERT(G1620,"HP","kW")</f>
        <v>1304.974775268973</v>
      </c>
      <c r="I1620">
        <v>0.75019999999999998</v>
      </c>
      <c r="J1620">
        <v>0.72970000000000002</v>
      </c>
      <c r="K1620">
        <v>0.5242</v>
      </c>
      <c r="L1620">
        <v>0.17960000000000001</v>
      </c>
      <c r="M1620">
        <v>0.18459999999999999</v>
      </c>
      <c r="N1620">
        <f>CONVERT(O1620,"lbf","N")</f>
        <v>17664.332856360972</v>
      </c>
      <c r="O1620">
        <v>3971.1</v>
      </c>
      <c r="P1620">
        <f t="shared" si="25"/>
        <v>1.0278396436525612</v>
      </c>
    </row>
    <row r="1621" spans="1:16" hidden="1" x14ac:dyDescent="0.25">
      <c r="A1621">
        <v>0</v>
      </c>
      <c r="B1621">
        <v>5000</v>
      </c>
      <c r="C1621">
        <f>1.225 * (1 - 0.00000687559 * B1621) ^ 4.2561</f>
        <v>1.0555380742846066</v>
      </c>
      <c r="D1621">
        <f>E1621*(SQRT($C$2/C1621))</f>
        <v>0</v>
      </c>
      <c r="E1621">
        <v>0</v>
      </c>
      <c r="F1621">
        <v>1150</v>
      </c>
      <c r="G1621">
        <v>1750</v>
      </c>
      <c r="H1621">
        <f>CONVERT(G1621,"HP","kW")</f>
        <v>1304.974775268973</v>
      </c>
      <c r="I1621">
        <v>0</v>
      </c>
      <c r="J1621">
        <v>0</v>
      </c>
      <c r="K1621">
        <v>0.48459999999999998</v>
      </c>
      <c r="L1621">
        <v>0.1797</v>
      </c>
      <c r="M1621">
        <v>0.2762</v>
      </c>
      <c r="N1621">
        <f>CONVERT(O1621,"lbf","N")</f>
        <v>26404.1986860248</v>
      </c>
      <c r="O1621">
        <v>5935.9</v>
      </c>
      <c r="P1621">
        <f t="shared" si="25"/>
        <v>1.5370061213132999</v>
      </c>
    </row>
    <row r="1622" spans="1:16" hidden="1" x14ac:dyDescent="0.25">
      <c r="A1622">
        <v>0</v>
      </c>
      <c r="B1622">
        <v>5000</v>
      </c>
      <c r="C1622">
        <f>1.225 * (1 - 0.00000687559 * B1622) ^ 4.2561</f>
        <v>1.0555380742846066</v>
      </c>
      <c r="D1622">
        <f>E1622*(SQRT($C$2/C1622))</f>
        <v>150.82006664263821</v>
      </c>
      <c r="E1622">
        <v>140</v>
      </c>
      <c r="F1622">
        <v>1150</v>
      </c>
      <c r="G1622">
        <v>1750</v>
      </c>
      <c r="H1622">
        <f>CONVERT(G1622,"HP","kW")</f>
        <v>1304.974775268973</v>
      </c>
      <c r="I1622">
        <v>0.83840000000000003</v>
      </c>
      <c r="J1622">
        <v>1.0216000000000001</v>
      </c>
      <c r="K1622">
        <v>0.54979999999999996</v>
      </c>
      <c r="L1622">
        <v>0.1797</v>
      </c>
      <c r="M1622">
        <v>0.14749999999999999</v>
      </c>
      <c r="N1622">
        <f>CONVERT(O1622,"lbf","N")</f>
        <v>14101.752164698837</v>
      </c>
      <c r="O1622">
        <v>3170.2</v>
      </c>
      <c r="P1622">
        <f t="shared" si="25"/>
        <v>0.82081246521981077</v>
      </c>
    </row>
    <row r="1623" spans="1:16" hidden="1" x14ac:dyDescent="0.25">
      <c r="A1623">
        <v>0</v>
      </c>
      <c r="B1623">
        <v>5000</v>
      </c>
      <c r="C1623">
        <f>1.225 * (1 - 0.00000687559 * B1623) ^ 4.2561</f>
        <v>1.0555380742846066</v>
      </c>
      <c r="D1623">
        <f>E1623*(SQRT($C$2/C1623))</f>
        <v>172.3657904487294</v>
      </c>
      <c r="E1623">
        <v>160</v>
      </c>
      <c r="F1623">
        <v>1150</v>
      </c>
      <c r="G1623">
        <v>1750</v>
      </c>
      <c r="H1623">
        <f>CONVERT(G1623,"HP","kW")</f>
        <v>1304.974775268973</v>
      </c>
      <c r="I1623">
        <v>0.86240000000000006</v>
      </c>
      <c r="J1623">
        <v>1.1676</v>
      </c>
      <c r="K1623">
        <v>0.56479999999999997</v>
      </c>
      <c r="L1623">
        <v>0.1797</v>
      </c>
      <c r="M1623">
        <v>0.1328</v>
      </c>
      <c r="N1623">
        <f>CONVERT(O1623,"lbf","N")</f>
        <v>12692.110734822785</v>
      </c>
      <c r="O1623">
        <v>2853.3</v>
      </c>
      <c r="P1623">
        <f t="shared" si="25"/>
        <v>0.73900946021146352</v>
      </c>
    </row>
    <row r="1624" spans="1:16" hidden="1" x14ac:dyDescent="0.25">
      <c r="A1624">
        <v>0</v>
      </c>
      <c r="B1624">
        <v>5000</v>
      </c>
      <c r="C1624">
        <f>1.225 * (1 - 0.00000687559 * B1624) ^ 4.2561</f>
        <v>1.0555380742846066</v>
      </c>
      <c r="D1624">
        <f>E1624*(SQRT($C$2/C1624))</f>
        <v>193.91151425482059</v>
      </c>
      <c r="E1624">
        <v>180</v>
      </c>
      <c r="F1624">
        <v>1150</v>
      </c>
      <c r="G1624">
        <v>1750</v>
      </c>
      <c r="H1624">
        <f>CONVERT(G1624,"HP","kW")</f>
        <v>1304.974775268973</v>
      </c>
      <c r="I1624">
        <v>0.878</v>
      </c>
      <c r="J1624">
        <v>1.3134999999999999</v>
      </c>
      <c r="K1624">
        <v>0.58130000000000004</v>
      </c>
      <c r="L1624">
        <v>0.1797</v>
      </c>
      <c r="M1624">
        <v>0.1201</v>
      </c>
      <c r="N1624">
        <f>CONVERT(O1624,"lbf","N")</f>
        <v>11486.197854925664</v>
      </c>
      <c r="O1624">
        <v>2582.1999999999998</v>
      </c>
      <c r="P1624">
        <f t="shared" si="25"/>
        <v>0.66833611574846963</v>
      </c>
    </row>
    <row r="1625" spans="1:16" hidden="1" x14ac:dyDescent="0.25">
      <c r="A1625">
        <v>0</v>
      </c>
      <c r="B1625">
        <v>5000</v>
      </c>
      <c r="C1625">
        <f>1.225 * (1 - 0.00000687559 * B1625) ^ 4.2561</f>
        <v>1.0555380742846066</v>
      </c>
      <c r="D1625">
        <f>E1625*(SQRT($C$2/C1625))</f>
        <v>215.45723806091175</v>
      </c>
      <c r="E1625">
        <v>200</v>
      </c>
      <c r="F1625">
        <v>1150</v>
      </c>
      <c r="G1625">
        <v>1750</v>
      </c>
      <c r="H1625">
        <f>CONVERT(G1625,"HP","kW")</f>
        <v>1304.974775268973</v>
      </c>
      <c r="I1625">
        <v>0.88759999999999994</v>
      </c>
      <c r="J1625">
        <v>1.4595</v>
      </c>
      <c r="K1625">
        <v>0.59909999999999997</v>
      </c>
      <c r="L1625">
        <v>0.1797</v>
      </c>
      <c r="M1625">
        <v>0.10929999999999999</v>
      </c>
      <c r="N1625">
        <f>CONVERT(O1625,"lbf","N")</f>
        <v>10450.207040731493</v>
      </c>
      <c r="O1625">
        <v>2349.3000000000002</v>
      </c>
      <c r="P1625">
        <f t="shared" si="25"/>
        <v>0.60823594880356147</v>
      </c>
    </row>
    <row r="1626" spans="1:16" hidden="1" x14ac:dyDescent="0.25">
      <c r="A1626">
        <v>0</v>
      </c>
      <c r="B1626">
        <v>5000</v>
      </c>
      <c r="C1626">
        <f>1.225 * (1 - 0.00000687559 * B1626) ^ 4.2561</f>
        <v>1.0555380742846066</v>
      </c>
      <c r="D1626">
        <f>E1626*(SQRT($C$2/C1626))</f>
        <v>237.00296186700291</v>
      </c>
      <c r="E1626">
        <v>220</v>
      </c>
      <c r="F1626">
        <v>1150</v>
      </c>
      <c r="G1626">
        <v>1750</v>
      </c>
      <c r="H1626">
        <f>CONVERT(G1626,"HP","kW")</f>
        <v>1304.974775268973</v>
      </c>
      <c r="I1626">
        <v>0.89239999999999997</v>
      </c>
      <c r="J1626">
        <v>1.6053999999999999</v>
      </c>
      <c r="K1626">
        <v>0.61809999999999998</v>
      </c>
      <c r="L1626">
        <v>0.1797</v>
      </c>
      <c r="M1626">
        <v>9.9900000000000003E-2</v>
      </c>
      <c r="N1626">
        <f>CONVERT(O1626,"lbf","N")</f>
        <v>9551.2214522873455</v>
      </c>
      <c r="O1626">
        <v>2147.1999999999998</v>
      </c>
      <c r="P1626">
        <f t="shared" si="25"/>
        <v>0.55592654424040067</v>
      </c>
    </row>
    <row r="1627" spans="1:16" hidden="1" x14ac:dyDescent="0.25">
      <c r="A1627">
        <v>0</v>
      </c>
      <c r="B1627">
        <v>5000</v>
      </c>
      <c r="C1627">
        <f>1.225 * (1 - 0.00000687559 * B1627) ^ 4.2561</f>
        <v>1.0555380742846066</v>
      </c>
      <c r="D1627">
        <f>E1627*(SQRT($C$2/C1627))</f>
        <v>258.5486856730941</v>
      </c>
      <c r="E1627">
        <v>240</v>
      </c>
      <c r="F1627">
        <v>1150</v>
      </c>
      <c r="G1627">
        <v>1750</v>
      </c>
      <c r="H1627">
        <f>CONVERT(G1627,"HP","kW")</f>
        <v>1304.974775268973</v>
      </c>
      <c r="I1627">
        <v>0.89270000000000005</v>
      </c>
      <c r="J1627">
        <v>1.7513000000000001</v>
      </c>
      <c r="K1627">
        <v>0.63829999999999998</v>
      </c>
      <c r="L1627">
        <v>0.1797</v>
      </c>
      <c r="M1627">
        <v>9.1600000000000001E-2</v>
      </c>
      <c r="N1627">
        <f>CONVERT(O1627,"lbf","N")</f>
        <v>8758.548360447925</v>
      </c>
      <c r="O1627">
        <v>1969</v>
      </c>
      <c r="P1627">
        <f t="shared" si="25"/>
        <v>0.50973845297718423</v>
      </c>
    </row>
    <row r="1628" spans="1:16" hidden="1" x14ac:dyDescent="0.25">
      <c r="A1628">
        <v>0</v>
      </c>
      <c r="B1628">
        <v>5000</v>
      </c>
      <c r="C1628">
        <f>1.225 * (1 - 0.00000687559 * B1628) ^ 4.2561</f>
        <v>1.0555380742846066</v>
      </c>
      <c r="D1628">
        <f>E1628*(SQRT($C$2/C1628))</f>
        <v>280.09440947918529</v>
      </c>
      <c r="E1628">
        <v>260</v>
      </c>
      <c r="F1628">
        <v>1150</v>
      </c>
      <c r="G1628">
        <v>1750</v>
      </c>
      <c r="H1628">
        <f>CONVERT(G1628,"HP","kW")</f>
        <v>1304.974775268973</v>
      </c>
      <c r="I1628">
        <v>0.88800000000000001</v>
      </c>
      <c r="J1628">
        <v>1.8973</v>
      </c>
      <c r="K1628">
        <v>0.65949999999999998</v>
      </c>
      <c r="L1628">
        <v>0.1797</v>
      </c>
      <c r="M1628">
        <v>8.4099999999999994E-2</v>
      </c>
      <c r="N1628">
        <f>CONVERT(O1628,"lbf","N")</f>
        <v>8041.939858229458</v>
      </c>
      <c r="O1628">
        <v>1807.9</v>
      </c>
      <c r="P1628">
        <f t="shared" si="25"/>
        <v>0.46800222593210905</v>
      </c>
    </row>
    <row r="1629" spans="1:16" hidden="1" x14ac:dyDescent="0.25">
      <c r="A1629">
        <v>0</v>
      </c>
      <c r="B1629">
        <v>10000</v>
      </c>
      <c r="C1629">
        <f>1.225 * (1 - 0.00000687559 * B1629) ^ 4.2561</f>
        <v>0.90462252368600637</v>
      </c>
      <c r="D1629">
        <f>E1629*(SQRT($C$2/C1629))</f>
        <v>162.91549099457848</v>
      </c>
      <c r="E1629">
        <v>140</v>
      </c>
      <c r="F1629">
        <v>1150</v>
      </c>
      <c r="G1629">
        <v>1500</v>
      </c>
      <c r="H1629">
        <f>CONVERT(G1629,"HP","kW")</f>
        <v>1118.5498073734054</v>
      </c>
      <c r="I1629">
        <v>0.85299999999999998</v>
      </c>
      <c r="J1629">
        <v>1.1034999999999999</v>
      </c>
      <c r="K1629">
        <v>0.56820000000000004</v>
      </c>
      <c r="L1629">
        <v>0.1797</v>
      </c>
      <c r="M1629">
        <v>0.1389</v>
      </c>
      <c r="N1629">
        <f>CONVERT(O1629,"lbf","N")</f>
        <v>11384.333579936199</v>
      </c>
      <c r="O1629">
        <v>2559.3000000000002</v>
      </c>
      <c r="P1629">
        <f t="shared" si="25"/>
        <v>0.77295492487479134</v>
      </c>
    </row>
    <row r="1630" spans="1:16" hidden="1" x14ac:dyDescent="0.25">
      <c r="A1630">
        <v>0</v>
      </c>
      <c r="B1630">
        <v>10000</v>
      </c>
      <c r="C1630">
        <f>1.225 * (1 - 0.00000687559 * B1630) ^ 4.2561</f>
        <v>0.90462252368600637</v>
      </c>
      <c r="D1630">
        <f>E1630*(SQRT($C$2/C1630))</f>
        <v>209.4627741358866</v>
      </c>
      <c r="E1630">
        <v>180</v>
      </c>
      <c r="F1630">
        <v>1150</v>
      </c>
      <c r="G1630">
        <v>1500</v>
      </c>
      <c r="H1630">
        <f>CONVERT(G1630,"HP","kW")</f>
        <v>1118.5498073734054</v>
      </c>
      <c r="I1630">
        <v>0.88539999999999996</v>
      </c>
      <c r="J1630">
        <v>1.4188000000000001</v>
      </c>
      <c r="K1630">
        <v>0.60489999999999999</v>
      </c>
      <c r="L1630">
        <v>0.1797</v>
      </c>
      <c r="M1630">
        <v>0.11219999999999999</v>
      </c>
      <c r="N1630">
        <f>CONVERT(O1630,"lbf","N")</f>
        <v>9191.3603236127728</v>
      </c>
      <c r="O1630">
        <v>2066.3000000000002</v>
      </c>
      <c r="P1630">
        <f t="shared" si="25"/>
        <v>0.62437395659432382</v>
      </c>
    </row>
    <row r="1631" spans="1:16" hidden="1" x14ac:dyDescent="0.25">
      <c r="A1631">
        <v>0</v>
      </c>
      <c r="B1631">
        <v>10000</v>
      </c>
      <c r="C1631">
        <f>1.225 * (1 - 0.00000687559 * B1631) ^ 4.2561</f>
        <v>0.90462252368600637</v>
      </c>
      <c r="D1631">
        <f>E1631*(SQRT($C$2/C1631))</f>
        <v>232.73641570654067</v>
      </c>
      <c r="E1631">
        <v>200</v>
      </c>
      <c r="F1631">
        <v>1150</v>
      </c>
      <c r="G1631">
        <v>1500</v>
      </c>
      <c r="H1631">
        <f>CONVERT(G1631,"HP","kW")</f>
        <v>1118.5498073734054</v>
      </c>
      <c r="I1631">
        <v>0.89180000000000004</v>
      </c>
      <c r="J1631">
        <v>1.5765</v>
      </c>
      <c r="K1631">
        <v>0.62549999999999994</v>
      </c>
      <c r="L1631">
        <v>0.1797</v>
      </c>
      <c r="M1631">
        <v>0.1017</v>
      </c>
      <c r="N1631">
        <f>CONVERT(O1631,"lbf","N")</f>
        <v>8331.0742632213914</v>
      </c>
      <c r="O1631">
        <v>1872.9</v>
      </c>
      <c r="P1631">
        <f t="shared" si="25"/>
        <v>0.56594323873121866</v>
      </c>
    </row>
    <row r="1632" spans="1:16" hidden="1" x14ac:dyDescent="0.25">
      <c r="A1632">
        <v>0</v>
      </c>
      <c r="B1632">
        <v>10000</v>
      </c>
      <c r="C1632">
        <f>1.225 * (1 - 0.00000687559 * B1632) ^ 4.2561</f>
        <v>0.90462252368600637</v>
      </c>
      <c r="D1632">
        <f>E1632*(SQRT($C$2/C1632))</f>
        <v>256.01005727719473</v>
      </c>
      <c r="E1632">
        <v>220</v>
      </c>
      <c r="F1632">
        <v>1150</v>
      </c>
      <c r="G1632">
        <v>1500</v>
      </c>
      <c r="H1632">
        <f>CONVERT(G1632,"HP","kW")</f>
        <v>1118.5498073734054</v>
      </c>
      <c r="I1632">
        <v>0.89280000000000004</v>
      </c>
      <c r="J1632">
        <v>1.7341</v>
      </c>
      <c r="K1632">
        <v>0.64749999999999996</v>
      </c>
      <c r="L1632">
        <v>0.1797</v>
      </c>
      <c r="M1632">
        <v>9.2499999999999999E-2</v>
      </c>
      <c r="N1632">
        <f>CONVERT(O1632,"lbf","N")</f>
        <v>7582.8833875345745</v>
      </c>
      <c r="O1632">
        <v>1704.7</v>
      </c>
      <c r="P1632">
        <f t="shared" si="25"/>
        <v>0.51474680022259323</v>
      </c>
    </row>
    <row r="1633" spans="1:16" hidden="1" x14ac:dyDescent="0.25">
      <c r="A1633">
        <v>0</v>
      </c>
      <c r="B1633">
        <v>10000</v>
      </c>
      <c r="C1633">
        <f>1.225 * (1 - 0.00000687559 * B1633) ^ 4.2561</f>
        <v>0.90462252368600637</v>
      </c>
      <c r="D1633">
        <f>E1633*(SQRT($C$2/C1633))</f>
        <v>279.28369884784883</v>
      </c>
      <c r="E1633">
        <v>240</v>
      </c>
      <c r="F1633">
        <v>1150</v>
      </c>
      <c r="G1633">
        <v>1500</v>
      </c>
      <c r="H1633">
        <f>CONVERT(G1633,"HP","kW")</f>
        <v>1118.5498073734054</v>
      </c>
      <c r="I1633">
        <v>0.88770000000000004</v>
      </c>
      <c r="J1633">
        <v>1.8917999999999999</v>
      </c>
      <c r="K1633">
        <v>0.67069999999999996</v>
      </c>
      <c r="L1633">
        <v>0.1797</v>
      </c>
      <c r="M1633">
        <v>8.43E-2</v>
      </c>
      <c r="N1633">
        <f>CONVERT(O1633,"lbf","N")</f>
        <v>6911.2019236302385</v>
      </c>
      <c r="O1633">
        <v>1553.7</v>
      </c>
      <c r="P1633">
        <f t="shared" si="25"/>
        <v>0.46911519198664442</v>
      </c>
    </row>
    <row r="1634" spans="1:16" hidden="1" x14ac:dyDescent="0.25">
      <c r="A1634">
        <v>0</v>
      </c>
      <c r="B1634">
        <v>5000</v>
      </c>
      <c r="C1634">
        <f>1.225 * (1 - 0.00000687559 * B1634) ^ 4.2561</f>
        <v>1.0555380742846066</v>
      </c>
      <c r="D1634">
        <f>E1634*(SQRT($C$2/C1634))</f>
        <v>21.545723806091175</v>
      </c>
      <c r="E1634">
        <v>20</v>
      </c>
      <c r="F1634">
        <v>1150</v>
      </c>
      <c r="G1634">
        <v>1750</v>
      </c>
      <c r="H1634">
        <f>CONVERT(G1634,"HP","kW")</f>
        <v>1304.974775268973</v>
      </c>
      <c r="I1634">
        <v>0.2198</v>
      </c>
      <c r="J1634">
        <v>0.1459</v>
      </c>
      <c r="K1634">
        <v>0.48970000000000002</v>
      </c>
      <c r="L1634">
        <v>0.17979999999999999</v>
      </c>
      <c r="M1634">
        <v>0.27079999999999999</v>
      </c>
      <c r="N1634">
        <f>CONVERT(O1634,"lbf","N")</f>
        <v>25879.308535424061</v>
      </c>
      <c r="O1634">
        <v>5817.9</v>
      </c>
      <c r="P1634">
        <f t="shared" si="25"/>
        <v>1.5061179087875418</v>
      </c>
    </row>
    <row r="1635" spans="1:16" hidden="1" x14ac:dyDescent="0.25">
      <c r="A1635">
        <v>0</v>
      </c>
      <c r="B1635">
        <v>5000</v>
      </c>
      <c r="C1635">
        <f>1.225 * (1 - 0.00000687559 * B1635) ^ 4.2561</f>
        <v>1.0555380742846066</v>
      </c>
      <c r="D1635">
        <f>E1635*(SQRT($C$2/C1635))</f>
        <v>43.09144761218235</v>
      </c>
      <c r="E1635">
        <v>40</v>
      </c>
      <c r="F1635">
        <v>1150</v>
      </c>
      <c r="G1635">
        <v>1750</v>
      </c>
      <c r="H1635">
        <f>CONVERT(G1635,"HP","kW")</f>
        <v>1304.974775268973</v>
      </c>
      <c r="I1635">
        <v>0.41449999999999998</v>
      </c>
      <c r="J1635">
        <v>0.29189999999999999</v>
      </c>
      <c r="K1635">
        <v>0.49640000000000001</v>
      </c>
      <c r="L1635">
        <v>0.17979999999999999</v>
      </c>
      <c r="M1635">
        <v>0.25530000000000003</v>
      </c>
      <c r="N1635">
        <f>CONVERT(O1635,"lbf","N")</f>
        <v>24398.940381865374</v>
      </c>
      <c r="O1635">
        <v>5485.1</v>
      </c>
      <c r="P1635">
        <f t="shared" si="25"/>
        <v>1.4199110122358178</v>
      </c>
    </row>
    <row r="1636" spans="1:16" hidden="1" x14ac:dyDescent="0.25">
      <c r="A1636">
        <v>0</v>
      </c>
      <c r="B1636">
        <v>5000</v>
      </c>
      <c r="C1636">
        <f>1.225 * (1 - 0.00000687559 * B1636) ^ 4.2561</f>
        <v>1.0555380742846066</v>
      </c>
      <c r="D1636">
        <f>E1636*(SQRT($C$2/C1636))</f>
        <v>64.637171418273525</v>
      </c>
      <c r="E1636">
        <v>60</v>
      </c>
      <c r="F1636">
        <v>1150</v>
      </c>
      <c r="G1636">
        <v>1750</v>
      </c>
      <c r="H1636">
        <f>CONVERT(G1636,"HP","kW")</f>
        <v>1304.974775268973</v>
      </c>
      <c r="I1636">
        <v>0.56469999999999998</v>
      </c>
      <c r="J1636">
        <v>0.43780000000000002</v>
      </c>
      <c r="K1636">
        <v>0.50439999999999996</v>
      </c>
      <c r="L1636">
        <v>0.17979999999999999</v>
      </c>
      <c r="M1636">
        <v>0.2319</v>
      </c>
      <c r="N1636">
        <f>CONVERT(O1636,"lbf","N")</f>
        <v>22162.37455371239</v>
      </c>
      <c r="O1636">
        <v>4982.3</v>
      </c>
      <c r="P1636">
        <f t="shared" si="25"/>
        <v>1.2897664071190211</v>
      </c>
    </row>
    <row r="1637" spans="1:16" hidden="1" x14ac:dyDescent="0.25">
      <c r="A1637">
        <v>0</v>
      </c>
      <c r="B1637">
        <v>5000</v>
      </c>
      <c r="C1637">
        <f>1.225 * (1 - 0.00000687559 * B1637) ^ 4.2561</f>
        <v>1.0555380742846066</v>
      </c>
      <c r="D1637">
        <f>E1637*(SQRT($C$2/C1637))</f>
        <v>86.1828952243647</v>
      </c>
      <c r="E1637">
        <v>80</v>
      </c>
      <c r="F1637">
        <v>1150</v>
      </c>
      <c r="G1637">
        <v>1750</v>
      </c>
      <c r="H1637">
        <f>CONVERT(G1637,"HP","kW")</f>
        <v>1304.974775268973</v>
      </c>
      <c r="I1637">
        <v>0.67390000000000005</v>
      </c>
      <c r="J1637">
        <v>0.58379999999999999</v>
      </c>
      <c r="K1637">
        <v>0.51359999999999995</v>
      </c>
      <c r="L1637">
        <v>0.17979999999999999</v>
      </c>
      <c r="M1637">
        <v>0.20760000000000001</v>
      </c>
      <c r="N1637">
        <f>CONVERT(O1637,"lbf","N")</f>
        <v>19836.844293254202</v>
      </c>
      <c r="O1637">
        <v>4459.5</v>
      </c>
      <c r="P1637">
        <f t="shared" si="25"/>
        <v>1.1546162402669633</v>
      </c>
    </row>
    <row r="1638" spans="1:16" hidden="1" x14ac:dyDescent="0.25">
      <c r="A1638">
        <v>0</v>
      </c>
      <c r="B1638">
        <v>5000</v>
      </c>
      <c r="C1638">
        <f>1.225 * (1 - 0.00000687559 * B1638) ^ 4.2561</f>
        <v>1.0555380742846066</v>
      </c>
      <c r="D1638">
        <f>E1638*(SQRT($C$2/C1638))</f>
        <v>129.27434283654705</v>
      </c>
      <c r="E1638">
        <v>120</v>
      </c>
      <c r="F1638">
        <v>1150</v>
      </c>
      <c r="G1638">
        <v>1750</v>
      </c>
      <c r="H1638">
        <f>CONVERT(G1638,"HP","kW")</f>
        <v>1304.974775268973</v>
      </c>
      <c r="I1638">
        <v>0.80259999999999998</v>
      </c>
      <c r="J1638">
        <v>0.87570000000000003</v>
      </c>
      <c r="K1638">
        <v>0.53620000000000001</v>
      </c>
      <c r="L1638">
        <v>0.17979999999999999</v>
      </c>
      <c r="M1638">
        <v>0.1648</v>
      </c>
      <c r="N1638">
        <f>CONVERT(O1638,"lbf","N")</f>
        <v>15749.373450991325</v>
      </c>
      <c r="O1638">
        <v>3540.6</v>
      </c>
      <c r="P1638">
        <f t="shared" si="25"/>
        <v>0.91657397107897676</v>
      </c>
    </row>
    <row r="1639" spans="1:16" hidden="1" x14ac:dyDescent="0.25">
      <c r="A1639">
        <v>0</v>
      </c>
      <c r="B1639">
        <v>10000</v>
      </c>
      <c r="C1639">
        <f>1.225 * (1 - 0.00000687559 * B1639) ^ 4.2561</f>
        <v>0.90462252368600637</v>
      </c>
      <c r="D1639">
        <f>E1639*(SQRT($C$2/C1639))</f>
        <v>0</v>
      </c>
      <c r="E1639">
        <v>0</v>
      </c>
      <c r="F1639">
        <v>1150</v>
      </c>
      <c r="G1639">
        <v>1500</v>
      </c>
      <c r="H1639">
        <f>CONVERT(G1639,"HP","kW")</f>
        <v>1118.5498073734054</v>
      </c>
      <c r="I1639">
        <v>0</v>
      </c>
      <c r="J1639">
        <v>0</v>
      </c>
      <c r="K1639">
        <v>0.49349999999999999</v>
      </c>
      <c r="L1639">
        <v>0.17979999999999999</v>
      </c>
      <c r="M1639">
        <v>0.27589999999999998</v>
      </c>
      <c r="N1639">
        <f>CONVERT(O1639,"lbf","N")</f>
        <v>22603.638137946229</v>
      </c>
      <c r="O1639">
        <v>5081.5</v>
      </c>
      <c r="P1639">
        <f t="shared" si="25"/>
        <v>1.5344827586206897</v>
      </c>
    </row>
    <row r="1640" spans="1:16" hidden="1" x14ac:dyDescent="0.25">
      <c r="A1640">
        <v>0</v>
      </c>
      <c r="B1640">
        <v>10000</v>
      </c>
      <c r="C1640">
        <f>1.225 * (1 - 0.00000687559 * B1640) ^ 4.2561</f>
        <v>0.90462252368600637</v>
      </c>
      <c r="D1640">
        <f>E1640*(SQRT($C$2/C1640))</f>
        <v>23.273641570654068</v>
      </c>
      <c r="E1640">
        <v>20</v>
      </c>
      <c r="F1640">
        <v>1150</v>
      </c>
      <c r="G1640">
        <v>1500</v>
      </c>
      <c r="H1640">
        <f>CONVERT(G1640,"HP","kW")</f>
        <v>1118.5498073734054</v>
      </c>
      <c r="I1640">
        <v>0.23649999999999999</v>
      </c>
      <c r="J1640">
        <v>0.15759999999999999</v>
      </c>
      <c r="K1640">
        <v>0.49919999999999998</v>
      </c>
      <c r="L1640">
        <v>0.17979999999999999</v>
      </c>
      <c r="M1640">
        <v>0.2697</v>
      </c>
      <c r="N1640">
        <f>CONVERT(O1640,"lbf","N")</f>
        <v>22094.316762998904</v>
      </c>
      <c r="O1640">
        <v>4967</v>
      </c>
      <c r="P1640">
        <f t="shared" si="25"/>
        <v>1.5</v>
      </c>
    </row>
    <row r="1641" spans="1:16" hidden="1" x14ac:dyDescent="0.25">
      <c r="A1641">
        <v>0</v>
      </c>
      <c r="B1641">
        <v>10000</v>
      </c>
      <c r="C1641">
        <f>1.225 * (1 - 0.00000687559 * B1641) ^ 4.2561</f>
        <v>0.90462252368600637</v>
      </c>
      <c r="D1641">
        <f>E1641*(SQRT($C$2/C1641))</f>
        <v>46.547283141308135</v>
      </c>
      <c r="E1641">
        <v>40</v>
      </c>
      <c r="F1641">
        <v>1150</v>
      </c>
      <c r="G1641">
        <v>1500</v>
      </c>
      <c r="H1641">
        <f>CONVERT(G1641,"HP","kW")</f>
        <v>1118.5498073734054</v>
      </c>
      <c r="I1641">
        <v>0.44130000000000003</v>
      </c>
      <c r="J1641">
        <v>0.31530000000000002</v>
      </c>
      <c r="K1641">
        <v>0.50670000000000004</v>
      </c>
      <c r="L1641">
        <v>0.17979999999999999</v>
      </c>
      <c r="M1641">
        <v>0.25159999999999999</v>
      </c>
      <c r="N1641">
        <f>CONVERT(O1641,"lbf","N")</f>
        <v>20611.724498632579</v>
      </c>
      <c r="O1641">
        <v>4633.7</v>
      </c>
      <c r="P1641">
        <f t="shared" si="25"/>
        <v>1.3993325917686319</v>
      </c>
    </row>
    <row r="1642" spans="1:16" hidden="1" x14ac:dyDescent="0.25">
      <c r="A1642">
        <v>0</v>
      </c>
      <c r="B1642">
        <v>10000</v>
      </c>
      <c r="C1642">
        <f>1.225 * (1 - 0.00000687559 * B1642) ^ 4.2561</f>
        <v>0.90462252368600637</v>
      </c>
      <c r="D1642">
        <f>E1642*(SQRT($C$2/C1642))</f>
        <v>69.820924711962206</v>
      </c>
      <c r="E1642">
        <v>60</v>
      </c>
      <c r="F1642">
        <v>1150</v>
      </c>
      <c r="G1642">
        <v>1500</v>
      </c>
      <c r="H1642">
        <f>CONVERT(G1642,"HP","kW")</f>
        <v>1118.5498073734054</v>
      </c>
      <c r="I1642">
        <v>0.59450000000000003</v>
      </c>
      <c r="J1642">
        <v>0.47289999999999999</v>
      </c>
      <c r="K1642">
        <v>0.51580000000000004</v>
      </c>
      <c r="L1642">
        <v>0.17979999999999999</v>
      </c>
      <c r="M1642">
        <v>0.22600000000000001</v>
      </c>
      <c r="N1642">
        <f>CONVERT(O1642,"lbf","N")</f>
        <v>18512.163896229624</v>
      </c>
      <c r="O1642">
        <v>4161.7</v>
      </c>
      <c r="P1642">
        <f t="shared" si="25"/>
        <v>1.256952169076752</v>
      </c>
    </row>
    <row r="1643" spans="1:16" hidden="1" x14ac:dyDescent="0.25">
      <c r="A1643">
        <v>0</v>
      </c>
      <c r="B1643">
        <v>10000</v>
      </c>
      <c r="C1643">
        <f>1.225 * (1 - 0.00000687559 * B1643) ^ 4.2561</f>
        <v>0.90462252368600637</v>
      </c>
      <c r="D1643">
        <f>E1643*(SQRT($C$2/C1643))</f>
        <v>93.09456628261627</v>
      </c>
      <c r="E1643">
        <v>80</v>
      </c>
      <c r="F1643">
        <v>1150</v>
      </c>
      <c r="G1643">
        <v>1500</v>
      </c>
      <c r="H1643">
        <f>CONVERT(G1643,"HP","kW")</f>
        <v>1118.5498073734054</v>
      </c>
      <c r="I1643">
        <v>0.70120000000000005</v>
      </c>
      <c r="J1643">
        <v>0.63060000000000005</v>
      </c>
      <c r="K1643">
        <v>0.52629999999999999</v>
      </c>
      <c r="L1643">
        <v>0.17979999999999999</v>
      </c>
      <c r="M1643">
        <v>0.19989999999999999</v>
      </c>
      <c r="N1643">
        <f>CONVERT(O1643,"lbf","N")</f>
        <v>16376.572698743057</v>
      </c>
      <c r="O1643">
        <v>3681.6</v>
      </c>
      <c r="P1643">
        <f t="shared" si="25"/>
        <v>1.1117908787541713</v>
      </c>
    </row>
    <row r="1644" spans="1:16" hidden="1" x14ac:dyDescent="0.25">
      <c r="A1644">
        <v>0</v>
      </c>
      <c r="B1644">
        <v>10000</v>
      </c>
      <c r="C1644">
        <f>1.225 * (1 - 0.00000687559 * B1644) ^ 4.2561</f>
        <v>0.90462252368600637</v>
      </c>
      <c r="D1644">
        <f>E1644*(SQRT($C$2/C1644))</f>
        <v>116.36820785327033</v>
      </c>
      <c r="E1644">
        <v>100</v>
      </c>
      <c r="F1644">
        <v>1150</v>
      </c>
      <c r="G1644">
        <v>1500</v>
      </c>
      <c r="H1644">
        <f>CONVERT(G1644,"HP","kW")</f>
        <v>1118.5498073734054</v>
      </c>
      <c r="I1644">
        <v>0.77339999999999998</v>
      </c>
      <c r="J1644">
        <v>0.78820000000000001</v>
      </c>
      <c r="K1644">
        <v>0.53849999999999998</v>
      </c>
      <c r="L1644">
        <v>0.17979999999999999</v>
      </c>
      <c r="M1644">
        <v>0.1764</v>
      </c>
      <c r="N1644">
        <f>CONVERT(O1644,"lbf","N")</f>
        <v>14450.047917173733</v>
      </c>
      <c r="O1644">
        <v>3248.5</v>
      </c>
      <c r="P1644">
        <f t="shared" si="25"/>
        <v>0.98109010011123476</v>
      </c>
    </row>
    <row r="1645" spans="1:16" hidden="1" x14ac:dyDescent="0.25">
      <c r="A1645">
        <v>0</v>
      </c>
      <c r="B1645">
        <v>10000</v>
      </c>
      <c r="C1645">
        <f>1.225 * (1 - 0.00000687559 * B1645) ^ 4.2561</f>
        <v>0.90462252368600637</v>
      </c>
      <c r="D1645">
        <f>E1645*(SQRT($C$2/C1645))</f>
        <v>139.64184942392441</v>
      </c>
      <c r="E1645">
        <v>120</v>
      </c>
      <c r="F1645">
        <v>1150</v>
      </c>
      <c r="G1645">
        <v>1500</v>
      </c>
      <c r="H1645">
        <f>CONVERT(G1645,"HP","kW")</f>
        <v>1118.5498073734054</v>
      </c>
      <c r="I1645">
        <v>0.82140000000000002</v>
      </c>
      <c r="J1645">
        <v>0.94589999999999996</v>
      </c>
      <c r="K1645">
        <v>0.55249999999999999</v>
      </c>
      <c r="L1645">
        <v>0.17979999999999999</v>
      </c>
      <c r="M1645">
        <v>0.15609999999999999</v>
      </c>
      <c r="N1645">
        <f>CONVERT(O1645,"lbf","N")</f>
        <v>12790.416432520042</v>
      </c>
      <c r="O1645">
        <v>2875.4</v>
      </c>
      <c r="P1645">
        <f t="shared" si="25"/>
        <v>0.86818687430478314</v>
      </c>
    </row>
    <row r="1646" spans="1:16" hidden="1" x14ac:dyDescent="0.25">
      <c r="A1646">
        <v>0</v>
      </c>
      <c r="B1646">
        <v>10000</v>
      </c>
      <c r="C1646">
        <f>1.225 * (1 - 0.00000687559 * B1646) ^ 4.2561</f>
        <v>0.90462252368600637</v>
      </c>
      <c r="D1646">
        <f>E1646*(SQRT($C$2/C1646))</f>
        <v>186.18913256523254</v>
      </c>
      <c r="E1646">
        <v>160</v>
      </c>
      <c r="F1646">
        <v>1150</v>
      </c>
      <c r="G1646">
        <v>1500</v>
      </c>
      <c r="H1646">
        <f>CONVERT(G1646,"HP","kW")</f>
        <v>1118.5498073734054</v>
      </c>
      <c r="I1646">
        <v>0.87319999999999998</v>
      </c>
      <c r="J1646">
        <v>1.2612000000000001</v>
      </c>
      <c r="K1646">
        <v>0.5857</v>
      </c>
      <c r="L1646">
        <v>0.17979999999999999</v>
      </c>
      <c r="M1646">
        <v>0.1245</v>
      </c>
      <c r="N1646">
        <f>CONVERT(O1646,"lbf","N")</f>
        <v>10197.103230823172</v>
      </c>
      <c r="O1646">
        <v>2292.4</v>
      </c>
      <c r="P1646">
        <f t="shared" si="25"/>
        <v>0.69243604004449388</v>
      </c>
    </row>
    <row r="1647" spans="1:16" hidden="1" x14ac:dyDescent="0.25">
      <c r="A1647">
        <v>0</v>
      </c>
      <c r="B1647">
        <v>10000</v>
      </c>
      <c r="C1647">
        <f>1.225 * (1 - 0.00000687559 * B1647) ^ 4.2561</f>
        <v>0.90462252368600637</v>
      </c>
      <c r="D1647">
        <f>E1647*(SQRT($C$2/C1647))</f>
        <v>302.55734041850286</v>
      </c>
      <c r="E1647">
        <v>260</v>
      </c>
      <c r="F1647">
        <v>1150</v>
      </c>
      <c r="G1647">
        <v>1500</v>
      </c>
      <c r="H1647">
        <f>CONVERT(G1647,"HP","kW")</f>
        <v>1118.5498073734054</v>
      </c>
      <c r="I1647">
        <v>0.87209999999999999</v>
      </c>
      <c r="J1647">
        <v>2.0493999999999999</v>
      </c>
      <c r="K1647">
        <v>0.69510000000000005</v>
      </c>
      <c r="L1647">
        <v>0.17979999999999999</v>
      </c>
      <c r="M1647">
        <v>7.6499999999999999E-2</v>
      </c>
      <c r="N1647">
        <f>CONVERT(O1647,"lbf","N")</f>
        <v>6267.5442559020448</v>
      </c>
      <c r="O1647">
        <v>1409</v>
      </c>
      <c r="P1647">
        <f t="shared" si="25"/>
        <v>0.42547274749721914</v>
      </c>
    </row>
    <row r="1648" spans="1:16" hidden="1" x14ac:dyDescent="0.25">
      <c r="A1648">
        <v>0</v>
      </c>
      <c r="B1648">
        <v>30000</v>
      </c>
      <c r="C1648">
        <f>1.225 * (1 - 0.00000687559 * B1648) ^ 4.2561</f>
        <v>0.45828836225470948</v>
      </c>
      <c r="D1648">
        <f>E1648*(SQRT($C$2/C1648))</f>
        <v>130.79423945802586</v>
      </c>
      <c r="E1648">
        <v>80</v>
      </c>
      <c r="F1648">
        <v>987</v>
      </c>
      <c r="G1648">
        <v>500</v>
      </c>
      <c r="H1648">
        <f>CONVERT(G1648,"HP","kW")</f>
        <v>372.84993579113512</v>
      </c>
      <c r="I1648">
        <v>0.83779999999999999</v>
      </c>
      <c r="J1648">
        <v>1.0323</v>
      </c>
      <c r="K1648">
        <v>0.52139999999999997</v>
      </c>
      <c r="L1648">
        <v>0.18690000000000001</v>
      </c>
      <c r="M1648">
        <v>0.1517</v>
      </c>
      <c r="N1648">
        <f>CONVERT(O1648,"lbf","N")</f>
        <v>4642.6088998473842</v>
      </c>
      <c r="O1648">
        <v>1043.7</v>
      </c>
      <c r="P1648">
        <f t="shared" si="25"/>
        <v>0.81166399143927226</v>
      </c>
    </row>
    <row r="1649" spans="1:16" hidden="1" x14ac:dyDescent="0.25">
      <c r="A1649">
        <v>0</v>
      </c>
      <c r="B1649">
        <v>30000</v>
      </c>
      <c r="C1649">
        <f>1.225 * (1 - 0.00000687559 * B1649) ^ 4.2561</f>
        <v>0.45828836225470948</v>
      </c>
      <c r="D1649">
        <f>E1649*(SQRT($C$2/C1649))</f>
        <v>0</v>
      </c>
      <c r="E1649">
        <v>0</v>
      </c>
      <c r="F1649">
        <v>987</v>
      </c>
      <c r="G1649">
        <v>500</v>
      </c>
      <c r="H1649">
        <f>CONVERT(G1649,"HP","kW")</f>
        <v>372.84993579113512</v>
      </c>
      <c r="I1649">
        <v>0</v>
      </c>
      <c r="J1649">
        <v>0</v>
      </c>
      <c r="K1649">
        <v>0.45879999999999999</v>
      </c>
      <c r="L1649">
        <v>0.187</v>
      </c>
      <c r="M1649">
        <v>0.2782</v>
      </c>
      <c r="N1649">
        <f>CONVERT(O1649,"lbf","N")</f>
        <v>8506.7790170241806</v>
      </c>
      <c r="O1649">
        <v>1912.4</v>
      </c>
      <c r="P1649">
        <f t="shared" si="25"/>
        <v>1.4877005347593584</v>
      </c>
    </row>
    <row r="1650" spans="1:16" hidden="1" x14ac:dyDescent="0.25">
      <c r="A1650">
        <v>0</v>
      </c>
      <c r="B1650">
        <v>30000</v>
      </c>
      <c r="C1650">
        <f>1.225 * (1 - 0.00000687559 * B1650) ^ 4.2561</f>
        <v>0.45828836225470948</v>
      </c>
      <c r="D1650">
        <f>E1650*(SQRT($C$2/C1650))</f>
        <v>228.88991905154526</v>
      </c>
      <c r="E1650">
        <v>140</v>
      </c>
      <c r="F1650">
        <v>987</v>
      </c>
      <c r="G1650">
        <v>500</v>
      </c>
      <c r="H1650">
        <f>CONVERT(G1650,"HP","kW")</f>
        <v>372.84993579113512</v>
      </c>
      <c r="I1650">
        <v>0.89349999999999996</v>
      </c>
      <c r="J1650">
        <v>1.8065</v>
      </c>
      <c r="K1650">
        <v>0.61170000000000002</v>
      </c>
      <c r="L1650">
        <v>0.187</v>
      </c>
      <c r="M1650">
        <v>9.2499999999999999E-2</v>
      </c>
      <c r="N1650">
        <f>CONVERT(O1650,"lbf","N")</f>
        <v>2829.0689473056782</v>
      </c>
      <c r="O1650">
        <v>636</v>
      </c>
      <c r="P1650">
        <f t="shared" si="25"/>
        <v>0.49465240641711228</v>
      </c>
    </row>
    <row r="1651" spans="1:16" hidden="1" x14ac:dyDescent="0.25">
      <c r="A1651">
        <v>0</v>
      </c>
      <c r="B1651">
        <v>30000</v>
      </c>
      <c r="C1651">
        <f>1.225 * (1 - 0.00000687559 * B1651) ^ 4.2561</f>
        <v>0.45828836225470948</v>
      </c>
      <c r="D1651">
        <f>E1651*(SQRT($C$2/C1651))</f>
        <v>392.38271837407763</v>
      </c>
      <c r="E1651">
        <v>240</v>
      </c>
      <c r="F1651">
        <v>987</v>
      </c>
      <c r="G1651">
        <v>500</v>
      </c>
      <c r="H1651">
        <f>CONVERT(G1651,"HP","kW")</f>
        <v>372.84993579113512</v>
      </c>
      <c r="I1651">
        <v>0.15329999999999999</v>
      </c>
      <c r="J1651">
        <v>3.0968</v>
      </c>
      <c r="K1651">
        <v>0.81659999999999999</v>
      </c>
      <c r="L1651">
        <v>0.187</v>
      </c>
      <c r="M1651">
        <v>9.2999999999999992E-3</v>
      </c>
      <c r="N1651">
        <f>CONVERT(O1651,"lbf","N")</f>
        <v>283.35171689209386</v>
      </c>
      <c r="O1651">
        <v>63.7</v>
      </c>
      <c r="P1651">
        <f t="shared" si="25"/>
        <v>4.9732620320855611E-2</v>
      </c>
    </row>
    <row r="1652" spans="1:16" hidden="1" x14ac:dyDescent="0.25">
      <c r="A1652">
        <v>0</v>
      </c>
      <c r="B1652">
        <v>30000</v>
      </c>
      <c r="C1652">
        <f>1.225 * (1 - 0.00000687559 * B1652) ^ 4.2561</f>
        <v>0.45828836225470948</v>
      </c>
      <c r="D1652">
        <f>E1652*(SQRT($C$2/C1652))</f>
        <v>32.698559864506464</v>
      </c>
      <c r="E1652">
        <v>20</v>
      </c>
      <c r="F1652">
        <v>987</v>
      </c>
      <c r="G1652">
        <v>500</v>
      </c>
      <c r="H1652">
        <f>CONVERT(G1652,"HP","kW")</f>
        <v>372.84993579113512</v>
      </c>
      <c r="I1652">
        <v>0.3669</v>
      </c>
      <c r="J1652">
        <v>0.2581</v>
      </c>
      <c r="K1652">
        <v>0.46810000000000002</v>
      </c>
      <c r="L1652">
        <v>0.18709999999999999</v>
      </c>
      <c r="M1652">
        <v>0.26600000000000001</v>
      </c>
      <c r="N1652">
        <f>CONVERT(O1652,"lbf","N")</f>
        <v>8131.7939348577202</v>
      </c>
      <c r="O1652">
        <v>1828.1</v>
      </c>
      <c r="P1652">
        <f t="shared" si="25"/>
        <v>1.4216996258685197</v>
      </c>
    </row>
    <row r="1653" spans="1:16" hidden="1" x14ac:dyDescent="0.25">
      <c r="A1653">
        <v>0</v>
      </c>
      <c r="B1653">
        <v>30000</v>
      </c>
      <c r="C1653">
        <f>1.225 * (1 - 0.00000687559 * B1653) ^ 4.2561</f>
        <v>0.45828836225470948</v>
      </c>
      <c r="D1653">
        <f>E1653*(SQRT($C$2/C1653))</f>
        <v>65.397119729012928</v>
      </c>
      <c r="E1653">
        <v>40</v>
      </c>
      <c r="F1653">
        <v>987</v>
      </c>
      <c r="G1653">
        <v>500</v>
      </c>
      <c r="H1653">
        <f>CONVERT(G1653,"HP","kW")</f>
        <v>372.84993579113512</v>
      </c>
      <c r="I1653">
        <v>0.62280000000000002</v>
      </c>
      <c r="J1653">
        <v>0.5161</v>
      </c>
      <c r="K1653">
        <v>0.4819</v>
      </c>
      <c r="L1653">
        <v>0.18709999999999999</v>
      </c>
      <c r="M1653">
        <v>0.22570000000000001</v>
      </c>
      <c r="N1653">
        <f>CONVERT(O1653,"lbf","N")</f>
        <v>6902.3054803997184</v>
      </c>
      <c r="O1653">
        <v>1551.7</v>
      </c>
      <c r="P1653">
        <f t="shared" si="25"/>
        <v>1.2063067878140032</v>
      </c>
    </row>
    <row r="1654" spans="1:16" hidden="1" x14ac:dyDescent="0.25">
      <c r="A1654">
        <v>0</v>
      </c>
      <c r="B1654">
        <v>30000</v>
      </c>
      <c r="C1654">
        <f>1.225 * (1 - 0.00000687559 * B1654) ^ 4.2561</f>
        <v>0.45828836225470948</v>
      </c>
      <c r="D1654">
        <f>E1654*(SQRT($C$2/C1654))</f>
        <v>98.095679593519407</v>
      </c>
      <c r="E1654">
        <v>60</v>
      </c>
      <c r="F1654">
        <v>987</v>
      </c>
      <c r="G1654">
        <v>500</v>
      </c>
      <c r="H1654">
        <f>CONVERT(G1654,"HP","kW")</f>
        <v>372.84993579113512</v>
      </c>
      <c r="I1654">
        <v>0.76400000000000001</v>
      </c>
      <c r="J1654">
        <v>0.7742</v>
      </c>
      <c r="K1654">
        <v>0.49940000000000001</v>
      </c>
      <c r="L1654">
        <v>0.18709999999999999</v>
      </c>
      <c r="M1654">
        <v>0.18459999999999999</v>
      </c>
      <c r="N1654">
        <f>CONVERT(O1654,"lbf","N")</f>
        <v>5644.7932297655752</v>
      </c>
      <c r="O1654">
        <v>1269</v>
      </c>
      <c r="P1654">
        <f t="shared" si="25"/>
        <v>0.98663816141101013</v>
      </c>
    </row>
    <row r="1655" spans="1:16" hidden="1" x14ac:dyDescent="0.25">
      <c r="A1655">
        <v>0</v>
      </c>
      <c r="B1655">
        <v>30000</v>
      </c>
      <c r="C1655">
        <f>1.225 * (1 - 0.00000687559 * B1655) ^ 4.2561</f>
        <v>0.45828836225470948</v>
      </c>
      <c r="D1655">
        <f>E1655*(SQRT($C$2/C1655))</f>
        <v>163.49279932253233</v>
      </c>
      <c r="E1655">
        <v>100</v>
      </c>
      <c r="F1655">
        <v>987</v>
      </c>
      <c r="G1655">
        <v>500</v>
      </c>
      <c r="H1655">
        <f>CONVERT(G1655,"HP","kW")</f>
        <v>372.84993579113512</v>
      </c>
      <c r="I1655">
        <v>0.87460000000000004</v>
      </c>
      <c r="J1655">
        <v>1.2903</v>
      </c>
      <c r="K1655">
        <v>0.54769999999999996</v>
      </c>
      <c r="L1655">
        <v>0.18709999999999999</v>
      </c>
      <c r="M1655">
        <v>0.1268</v>
      </c>
      <c r="N1655">
        <f>CONVERT(O1655,"lbf","N")</f>
        <v>3877.0699598610522</v>
      </c>
      <c r="O1655">
        <v>871.6</v>
      </c>
      <c r="P1655">
        <f t="shared" si="25"/>
        <v>0.67771245323356499</v>
      </c>
    </row>
    <row r="1656" spans="1:16" hidden="1" x14ac:dyDescent="0.25">
      <c r="A1656">
        <v>0</v>
      </c>
      <c r="B1656">
        <v>30000</v>
      </c>
      <c r="C1656">
        <f>1.225 * (1 - 0.00000687559 * B1656) ^ 4.2561</f>
        <v>0.45828836225470948</v>
      </c>
      <c r="D1656">
        <f>E1656*(SQRT($C$2/C1656))</f>
        <v>196.19135918703881</v>
      </c>
      <c r="E1656">
        <v>120</v>
      </c>
      <c r="F1656">
        <v>987</v>
      </c>
      <c r="G1656">
        <v>500</v>
      </c>
      <c r="H1656">
        <f>CONVERT(G1656,"HP","kW")</f>
        <v>372.84993579113512</v>
      </c>
      <c r="I1656">
        <v>0.89080000000000004</v>
      </c>
      <c r="J1656">
        <v>1.5484</v>
      </c>
      <c r="K1656">
        <v>0.57789999999999997</v>
      </c>
      <c r="L1656">
        <v>0.18709999999999999</v>
      </c>
      <c r="M1656">
        <v>0.1076</v>
      </c>
      <c r="N1656">
        <f>CONVERT(O1656,"lbf","N")</f>
        <v>3290.7943509697175</v>
      </c>
      <c r="O1656">
        <v>739.8</v>
      </c>
      <c r="P1656">
        <f t="shared" si="25"/>
        <v>0.57509353287012299</v>
      </c>
    </row>
    <row r="1657" spans="1:16" hidden="1" x14ac:dyDescent="0.25">
      <c r="A1657">
        <v>0</v>
      </c>
      <c r="B1657">
        <v>30000</v>
      </c>
      <c r="C1657">
        <f>1.225 * (1 - 0.00000687559 * B1657) ^ 4.2561</f>
        <v>0.45828836225470948</v>
      </c>
      <c r="D1657">
        <f>E1657*(SQRT($C$2/C1657))</f>
        <v>261.58847891605171</v>
      </c>
      <c r="E1657">
        <v>160</v>
      </c>
      <c r="F1657">
        <v>987</v>
      </c>
      <c r="G1657">
        <v>500</v>
      </c>
      <c r="H1657">
        <f>CONVERT(G1657,"HP","kW")</f>
        <v>372.84993579113512</v>
      </c>
      <c r="I1657">
        <v>0.88149999999999995</v>
      </c>
      <c r="J1657">
        <v>2.0644999999999998</v>
      </c>
      <c r="K1657">
        <v>0.64839999999999998</v>
      </c>
      <c r="L1657">
        <v>0.18709999999999999</v>
      </c>
      <c r="M1657">
        <v>7.9899999999999999E-2</v>
      </c>
      <c r="N1657">
        <f>CONVERT(O1657,"lbf","N")</f>
        <v>2442.5184889395405</v>
      </c>
      <c r="O1657">
        <v>549.1</v>
      </c>
      <c r="P1657">
        <f t="shared" si="25"/>
        <v>0.42704436130411544</v>
      </c>
    </row>
    <row r="1658" spans="1:16" hidden="1" x14ac:dyDescent="0.25">
      <c r="A1658">
        <v>0</v>
      </c>
      <c r="B1658">
        <v>30000</v>
      </c>
      <c r="C1658">
        <f>1.225 * (1 - 0.00000687559 * B1658) ^ 4.2561</f>
        <v>0.45828836225470948</v>
      </c>
      <c r="D1658">
        <f>E1658*(SQRT($C$2/C1658))</f>
        <v>294.28703878055819</v>
      </c>
      <c r="E1658">
        <v>180</v>
      </c>
      <c r="F1658">
        <v>987</v>
      </c>
      <c r="G1658">
        <v>500</v>
      </c>
      <c r="H1658">
        <f>CONVERT(G1658,"HP","kW")</f>
        <v>372.84993579113512</v>
      </c>
      <c r="I1658">
        <v>0.84989999999999999</v>
      </c>
      <c r="J1658">
        <v>2.3226</v>
      </c>
      <c r="K1658">
        <v>0.68759999999999999</v>
      </c>
      <c r="L1658">
        <v>0.18709999999999999</v>
      </c>
      <c r="M1658">
        <v>6.8500000000000005E-2</v>
      </c>
      <c r="N1658">
        <f>CONVERT(O1658,"lbf","N")</f>
        <v>2092.8882699800652</v>
      </c>
      <c r="O1658">
        <v>470.5</v>
      </c>
      <c r="P1658">
        <f t="shared" si="25"/>
        <v>0.36611437733832181</v>
      </c>
    </row>
    <row r="1659" spans="1:16" hidden="1" x14ac:dyDescent="0.25">
      <c r="A1659">
        <v>0</v>
      </c>
      <c r="B1659">
        <v>30000</v>
      </c>
      <c r="C1659">
        <f>1.225 * (1 - 0.00000687559 * B1659) ^ 4.2561</f>
        <v>0.45828836225470948</v>
      </c>
      <c r="D1659">
        <f>E1659*(SQRT($C$2/C1659))</f>
        <v>326.98559864506467</v>
      </c>
      <c r="E1659">
        <v>200</v>
      </c>
      <c r="F1659">
        <v>987</v>
      </c>
      <c r="G1659">
        <v>500</v>
      </c>
      <c r="H1659">
        <f>CONVERT(G1659,"HP","kW")</f>
        <v>372.84993579113512</v>
      </c>
      <c r="I1659">
        <v>0.76590000000000003</v>
      </c>
      <c r="J1659">
        <v>2.5807000000000002</v>
      </c>
      <c r="K1659">
        <v>0.72889999999999999</v>
      </c>
      <c r="L1659">
        <v>0.18709999999999999</v>
      </c>
      <c r="M1659">
        <v>5.5500000000000001E-2</v>
      </c>
      <c r="N1659">
        <f>CONVERT(O1659,"lbf","N")</f>
        <v>1697.4413683834071</v>
      </c>
      <c r="O1659">
        <v>381.6</v>
      </c>
      <c r="P1659">
        <f t="shared" si="25"/>
        <v>0.29663281667557456</v>
      </c>
    </row>
    <row r="1660" spans="1:16" hidden="1" x14ac:dyDescent="0.25">
      <c r="A1660">
        <v>0</v>
      </c>
      <c r="B1660">
        <v>30000</v>
      </c>
      <c r="C1660">
        <f>1.225 * (1 - 0.00000687559 * B1660) ^ 4.2561</f>
        <v>0.45828836225470948</v>
      </c>
      <c r="D1660">
        <f>E1660*(SQRT($C$2/C1660))</f>
        <v>359.68415850957115</v>
      </c>
      <c r="E1660">
        <v>220</v>
      </c>
      <c r="F1660">
        <v>987</v>
      </c>
      <c r="G1660">
        <v>500</v>
      </c>
      <c r="H1660">
        <f>CONVERT(G1660,"HP","kW")</f>
        <v>372.84993579113512</v>
      </c>
      <c r="I1660">
        <v>0.55800000000000005</v>
      </c>
      <c r="J1660">
        <v>2.8386999999999998</v>
      </c>
      <c r="K1660">
        <v>0.77200000000000002</v>
      </c>
      <c r="L1660">
        <v>0.18709999999999999</v>
      </c>
      <c r="M1660">
        <v>3.6799999999999999E-2</v>
      </c>
      <c r="N1660">
        <f>CONVERT(O1660,"lbf","N")</f>
        <v>1124.5104243378546</v>
      </c>
      <c r="O1660">
        <v>252.8</v>
      </c>
      <c r="P1660">
        <f t="shared" si="25"/>
        <v>0.19668626402993053</v>
      </c>
    </row>
    <row r="1661" spans="1:16" hidden="1" x14ac:dyDescent="0.25">
      <c r="A1661">
        <v>0</v>
      </c>
      <c r="B1661">
        <v>30000</v>
      </c>
      <c r="C1661">
        <f>1.225 * (1 - 0.00000687559 * B1661) ^ 4.2561</f>
        <v>0.45828836225470948</v>
      </c>
      <c r="D1661">
        <f>E1661*(SQRT($C$2/C1661))</f>
        <v>425.08127823858405</v>
      </c>
      <c r="E1661">
        <v>260</v>
      </c>
      <c r="F1661">
        <v>987</v>
      </c>
      <c r="G1661">
        <v>500</v>
      </c>
      <c r="H1661">
        <f>CONVERT(G1661,"HP","kW")</f>
        <v>372.84993579113512</v>
      </c>
      <c r="I1661">
        <v>-0.59160000000000001</v>
      </c>
      <c r="J1661">
        <v>3.3548</v>
      </c>
      <c r="K1661">
        <v>0.86240000000000006</v>
      </c>
      <c r="L1661">
        <v>0.18729999999999999</v>
      </c>
      <c r="M1661">
        <v>-3.3000000000000002E-2</v>
      </c>
      <c r="N1661">
        <f>CONVERT(O1661,"lbf","N")</f>
        <v>-1008.8566623410815</v>
      </c>
      <c r="O1661">
        <v>-226.8</v>
      </c>
      <c r="P1661">
        <f t="shared" si="25"/>
        <v>-0.17618793379604913</v>
      </c>
    </row>
    <row r="1662" spans="1:16" hidden="1" x14ac:dyDescent="0.25">
      <c r="A1662">
        <v>0</v>
      </c>
      <c r="B1662">
        <v>0</v>
      </c>
      <c r="C1662">
        <f>1.225 * (1 - 0.00000687559 * B1662) ^ 4.2561</f>
        <v>1.2250000000000001</v>
      </c>
      <c r="D1662">
        <f>E1662*(SQRT($C$2/C1662))</f>
        <v>0</v>
      </c>
      <c r="E1662">
        <v>0</v>
      </c>
      <c r="F1662">
        <v>1215</v>
      </c>
      <c r="G1662">
        <v>2500</v>
      </c>
      <c r="H1662">
        <f>CONVERT(G1662,"HP","kW")</f>
        <v>1864.2496789556756</v>
      </c>
      <c r="I1662">
        <v>0</v>
      </c>
      <c r="J1662">
        <v>0</v>
      </c>
      <c r="K1662">
        <v>0.50309999999999999</v>
      </c>
      <c r="L1662">
        <v>0.1875</v>
      </c>
      <c r="M1662">
        <v>0.27639999999999998</v>
      </c>
      <c r="N1662">
        <f>CONVERT(O1662,"lbf","N")</f>
        <v>34239.741061306173</v>
      </c>
      <c r="O1662">
        <v>7697.4</v>
      </c>
      <c r="P1662">
        <f t="shared" si="25"/>
        <v>1.4741333333333333</v>
      </c>
    </row>
    <row r="1663" spans="1:16" hidden="1" x14ac:dyDescent="0.25">
      <c r="A1663">
        <v>0</v>
      </c>
      <c r="B1663">
        <v>0</v>
      </c>
      <c r="C1663">
        <f>1.225 * (1 - 0.00000687559 * B1663) ^ 4.2561</f>
        <v>1.2250000000000001</v>
      </c>
      <c r="D1663">
        <f>E1663*(SQRT($C$2/C1663))</f>
        <v>60</v>
      </c>
      <c r="E1663">
        <v>60</v>
      </c>
      <c r="F1663">
        <v>1215</v>
      </c>
      <c r="G1663">
        <v>2500</v>
      </c>
      <c r="H1663">
        <f>CONVERT(G1663,"HP","kW")</f>
        <v>1864.2496789556756</v>
      </c>
      <c r="I1663">
        <v>0.50770000000000004</v>
      </c>
      <c r="J1663">
        <v>0.38469999999999999</v>
      </c>
      <c r="K1663">
        <v>0.5202</v>
      </c>
      <c r="L1663">
        <v>0.1875</v>
      </c>
      <c r="M1663">
        <v>0.24740000000000001</v>
      </c>
      <c r="N1663">
        <f>CONVERT(O1663,"lbf","N")</f>
        <v>30661.146771829099</v>
      </c>
      <c r="O1663">
        <v>6892.9</v>
      </c>
      <c r="P1663">
        <f t="shared" si="25"/>
        <v>1.3194666666666668</v>
      </c>
    </row>
    <row r="1664" spans="1:16" hidden="1" x14ac:dyDescent="0.25">
      <c r="A1664">
        <v>0</v>
      </c>
      <c r="B1664">
        <v>0</v>
      </c>
      <c r="C1664">
        <f>1.225 * (1 - 0.00000687559 * B1664) ^ 4.2561</f>
        <v>1.2250000000000001</v>
      </c>
      <c r="D1664">
        <f>E1664*(SQRT($C$2/C1664))</f>
        <v>100</v>
      </c>
      <c r="E1664">
        <v>100</v>
      </c>
      <c r="F1664">
        <v>1215</v>
      </c>
      <c r="G1664">
        <v>2500</v>
      </c>
      <c r="H1664">
        <f>CONVERT(G1664,"HP","kW")</f>
        <v>1864.2496789556756</v>
      </c>
      <c r="I1664">
        <v>0.70099999999999996</v>
      </c>
      <c r="J1664">
        <v>0.6411</v>
      </c>
      <c r="K1664">
        <v>0.53720000000000001</v>
      </c>
      <c r="L1664">
        <v>0.1875</v>
      </c>
      <c r="M1664">
        <v>0.20499999999999999</v>
      </c>
      <c r="N1664">
        <f>CONVERT(O1664,"lbf","N")</f>
        <v>25404.238466914245</v>
      </c>
      <c r="O1664">
        <v>5711.1</v>
      </c>
      <c r="P1664">
        <f t="shared" si="25"/>
        <v>1.0933333333333333</v>
      </c>
    </row>
    <row r="1665" spans="1:16" hidden="1" x14ac:dyDescent="0.25">
      <c r="A1665">
        <v>0</v>
      </c>
      <c r="B1665">
        <v>0</v>
      </c>
      <c r="C1665">
        <f>1.225 * (1 - 0.00000687559 * B1665) ^ 4.2561</f>
        <v>1.2250000000000001</v>
      </c>
      <c r="D1665">
        <f>E1665*(SQRT($C$2/C1665))</f>
        <v>160</v>
      </c>
      <c r="E1665">
        <v>160</v>
      </c>
      <c r="F1665">
        <v>1215</v>
      </c>
      <c r="G1665">
        <v>2500</v>
      </c>
      <c r="H1665">
        <f>CONVERT(G1665,"HP","kW")</f>
        <v>1864.2496789556756</v>
      </c>
      <c r="I1665">
        <v>0.83579999999999999</v>
      </c>
      <c r="J1665">
        <v>1.0258</v>
      </c>
      <c r="K1665">
        <v>0.57110000000000005</v>
      </c>
      <c r="L1665">
        <v>0.1875</v>
      </c>
      <c r="M1665">
        <v>0.15279999999999999</v>
      </c>
      <c r="N1665">
        <f>CONVERT(O1665,"lbf","N")</f>
        <v>18929.851905902586</v>
      </c>
      <c r="O1665">
        <v>4255.6000000000004</v>
      </c>
      <c r="P1665">
        <f t="shared" si="25"/>
        <v>0.81493333333333329</v>
      </c>
    </row>
    <row r="1666" spans="1:16" hidden="1" x14ac:dyDescent="0.25">
      <c r="A1666">
        <v>0</v>
      </c>
      <c r="B1666">
        <v>0</v>
      </c>
      <c r="C1666">
        <f>1.225 * (1 - 0.00000687559 * B1666) ^ 4.2561</f>
        <v>1.2250000000000001</v>
      </c>
      <c r="D1666">
        <f>E1666*(SQRT($C$2/C1666))</f>
        <v>260</v>
      </c>
      <c r="E1666">
        <v>260</v>
      </c>
      <c r="F1666">
        <v>1215</v>
      </c>
      <c r="G1666">
        <v>2500</v>
      </c>
      <c r="H1666">
        <f>CONVERT(G1666,"HP","kW")</f>
        <v>1864.2496789556756</v>
      </c>
      <c r="I1666">
        <v>0.89370000000000005</v>
      </c>
      <c r="J1666">
        <v>1.667</v>
      </c>
      <c r="K1666">
        <v>0.65039999999999998</v>
      </c>
      <c r="L1666">
        <v>0.1875</v>
      </c>
      <c r="M1666">
        <v>0.10050000000000001</v>
      </c>
      <c r="N1666">
        <f>CONVERT(O1666,"lbf","N")</f>
        <v>12455.910167052452</v>
      </c>
      <c r="O1666">
        <v>2800.2</v>
      </c>
      <c r="P1666">
        <f t="shared" si="25"/>
        <v>0.53600000000000003</v>
      </c>
    </row>
    <row r="1667" spans="1:16" hidden="1" x14ac:dyDescent="0.25">
      <c r="A1667">
        <v>0</v>
      </c>
      <c r="B1667">
        <v>0</v>
      </c>
      <c r="C1667">
        <f>1.225 * (1 - 0.00000687559 * B1667) ^ 4.2561</f>
        <v>1.2250000000000001</v>
      </c>
      <c r="D1667">
        <f>E1667*(SQRT($C$2/C1667))</f>
        <v>20</v>
      </c>
      <c r="E1667">
        <v>20</v>
      </c>
      <c r="F1667">
        <v>1215</v>
      </c>
      <c r="G1667">
        <v>2500</v>
      </c>
      <c r="H1667">
        <f>CONVERT(G1667,"HP","kW")</f>
        <v>1864.2496789556756</v>
      </c>
      <c r="I1667">
        <v>0.18759999999999999</v>
      </c>
      <c r="J1667">
        <v>0.12820000000000001</v>
      </c>
      <c r="K1667">
        <v>0.50749999999999995</v>
      </c>
      <c r="L1667">
        <v>0.18759999999999999</v>
      </c>
      <c r="M1667">
        <v>0.27450000000000002</v>
      </c>
      <c r="N1667">
        <f>CONVERT(O1667,"lbf","N")</f>
        <v>33984.413140590223</v>
      </c>
      <c r="O1667">
        <v>7640</v>
      </c>
      <c r="P1667">
        <f t="shared" ref="P1667:P1730" si="26">M1667/L1667</f>
        <v>1.4632196162046911</v>
      </c>
    </row>
    <row r="1668" spans="1:16" hidden="1" x14ac:dyDescent="0.25">
      <c r="A1668">
        <v>0</v>
      </c>
      <c r="B1668">
        <v>0</v>
      </c>
      <c r="C1668">
        <f>1.225 * (1 - 0.00000687559 * B1668) ^ 4.2561</f>
        <v>1.2250000000000001</v>
      </c>
      <c r="D1668">
        <f>E1668*(SQRT($C$2/C1668))</f>
        <v>80</v>
      </c>
      <c r="E1668">
        <v>80</v>
      </c>
      <c r="F1668">
        <v>1215</v>
      </c>
      <c r="G1668">
        <v>2500</v>
      </c>
      <c r="H1668">
        <f>CONVERT(G1668,"HP","kW")</f>
        <v>1864.2496789556756</v>
      </c>
      <c r="I1668">
        <v>0.61899999999999999</v>
      </c>
      <c r="J1668">
        <v>0.51290000000000002</v>
      </c>
      <c r="K1668">
        <v>0.5282</v>
      </c>
      <c r="L1668">
        <v>0.18759999999999999</v>
      </c>
      <c r="M1668">
        <v>0.22639999999999999</v>
      </c>
      <c r="N1668">
        <f>CONVERT(O1668,"lbf","N")</f>
        <v>28037.58566314846</v>
      </c>
      <c r="O1668">
        <v>6303.1</v>
      </c>
      <c r="P1668">
        <f t="shared" si="26"/>
        <v>1.2068230277185501</v>
      </c>
    </row>
    <row r="1669" spans="1:16" hidden="1" x14ac:dyDescent="0.25">
      <c r="A1669">
        <v>0</v>
      </c>
      <c r="B1669">
        <v>0</v>
      </c>
      <c r="C1669">
        <f>1.225 * (1 - 0.00000687559 * B1669) ^ 4.2561</f>
        <v>1.2250000000000001</v>
      </c>
      <c r="D1669">
        <f>E1669*(SQRT($C$2/C1669))</f>
        <v>120</v>
      </c>
      <c r="E1669">
        <v>120</v>
      </c>
      <c r="F1669">
        <v>1215</v>
      </c>
      <c r="G1669">
        <v>2500</v>
      </c>
      <c r="H1669">
        <f>CONVERT(G1669,"HP","kW")</f>
        <v>1864.2496789556756</v>
      </c>
      <c r="I1669">
        <v>0.76100000000000001</v>
      </c>
      <c r="J1669">
        <v>0.76939999999999997</v>
      </c>
      <c r="K1669">
        <v>0.54730000000000001</v>
      </c>
      <c r="L1669">
        <v>0.18759999999999999</v>
      </c>
      <c r="M1669">
        <v>0.18559999999999999</v>
      </c>
      <c r="N1669">
        <f>CONVERT(O1669,"lbf","N")</f>
        <v>22979.95768659727</v>
      </c>
      <c r="O1669">
        <v>5166.1000000000004</v>
      </c>
      <c r="P1669">
        <f t="shared" si="26"/>
        <v>0.98933901918976541</v>
      </c>
    </row>
    <row r="1670" spans="1:16" hidden="1" x14ac:dyDescent="0.25">
      <c r="A1670">
        <v>0</v>
      </c>
      <c r="B1670">
        <v>0</v>
      </c>
      <c r="C1670">
        <f>1.225 * (1 - 0.00000687559 * B1670) ^ 4.2561</f>
        <v>1.2250000000000001</v>
      </c>
      <c r="D1670">
        <f>E1670*(SQRT($C$2/C1670))</f>
        <v>140</v>
      </c>
      <c r="E1670">
        <v>140</v>
      </c>
      <c r="F1670">
        <v>1215</v>
      </c>
      <c r="G1670">
        <v>2500</v>
      </c>
      <c r="H1670">
        <f>CONVERT(G1670,"HP","kW")</f>
        <v>1864.2496789556756</v>
      </c>
      <c r="I1670">
        <v>0.80449999999999999</v>
      </c>
      <c r="J1670">
        <v>0.89759999999999995</v>
      </c>
      <c r="K1670">
        <v>0.55859999999999999</v>
      </c>
      <c r="L1670">
        <v>0.18759999999999999</v>
      </c>
      <c r="M1670">
        <v>0.16819999999999999</v>
      </c>
      <c r="N1670">
        <f>CONVERT(O1670,"lbf","N")</f>
        <v>20823.904669680502</v>
      </c>
      <c r="O1670">
        <v>4681.3999999999996</v>
      </c>
      <c r="P1670">
        <f t="shared" si="26"/>
        <v>0.89658848614072495</v>
      </c>
    </row>
    <row r="1671" spans="1:16" hidden="1" x14ac:dyDescent="0.25">
      <c r="A1671">
        <v>0</v>
      </c>
      <c r="B1671">
        <v>0</v>
      </c>
      <c r="C1671">
        <f>1.225 * (1 - 0.00000687559 * B1671) ^ 4.2561</f>
        <v>1.2250000000000001</v>
      </c>
      <c r="D1671">
        <f>E1671*(SQRT($C$2/C1671))</f>
        <v>180</v>
      </c>
      <c r="E1671">
        <v>180</v>
      </c>
      <c r="F1671">
        <v>1215</v>
      </c>
      <c r="G1671">
        <v>2500</v>
      </c>
      <c r="H1671">
        <f>CONVERT(G1671,"HP","kW")</f>
        <v>1864.2496789556756</v>
      </c>
      <c r="I1671">
        <v>0.85799999999999998</v>
      </c>
      <c r="J1671">
        <v>1.1540999999999999</v>
      </c>
      <c r="K1671">
        <v>0.58479999999999999</v>
      </c>
      <c r="L1671">
        <v>0.18759999999999999</v>
      </c>
      <c r="M1671">
        <v>0.13950000000000001</v>
      </c>
      <c r="N1671">
        <f>CONVERT(O1671,"lbf","N")</f>
        <v>17273.334176379572</v>
      </c>
      <c r="O1671">
        <v>3883.2</v>
      </c>
      <c r="P1671">
        <f t="shared" si="26"/>
        <v>0.74360341151385934</v>
      </c>
    </row>
    <row r="1672" spans="1:16" hidden="1" x14ac:dyDescent="0.25">
      <c r="A1672">
        <v>0</v>
      </c>
      <c r="B1672">
        <v>0</v>
      </c>
      <c r="C1672">
        <f>1.225 * (1 - 0.00000687559 * B1672) ^ 4.2561</f>
        <v>1.2250000000000001</v>
      </c>
      <c r="D1672">
        <f>E1672*(SQRT($C$2/C1672))</f>
        <v>200</v>
      </c>
      <c r="E1672">
        <v>200</v>
      </c>
      <c r="F1672">
        <v>1215</v>
      </c>
      <c r="G1672">
        <v>2500</v>
      </c>
      <c r="H1672">
        <f>CONVERT(G1672,"HP","kW")</f>
        <v>1864.2496789556756</v>
      </c>
      <c r="I1672">
        <v>0.87350000000000005</v>
      </c>
      <c r="J1672">
        <v>1.2823</v>
      </c>
      <c r="K1672">
        <v>0.59970000000000001</v>
      </c>
      <c r="L1672">
        <v>0.18759999999999999</v>
      </c>
      <c r="M1672">
        <v>0.1278</v>
      </c>
      <c r="N1672">
        <f>CONVERT(O1672,"lbf","N")</f>
        <v>15826.772507096861</v>
      </c>
      <c r="O1672">
        <v>3558</v>
      </c>
      <c r="P1672">
        <f t="shared" si="26"/>
        <v>0.68123667377398722</v>
      </c>
    </row>
    <row r="1673" spans="1:16" hidden="1" x14ac:dyDescent="0.25">
      <c r="A1673">
        <v>0</v>
      </c>
      <c r="B1673">
        <v>0</v>
      </c>
      <c r="C1673">
        <f>1.225 * (1 - 0.00000687559 * B1673) ^ 4.2561</f>
        <v>1.2250000000000001</v>
      </c>
      <c r="D1673">
        <f>E1673*(SQRT($C$2/C1673))</f>
        <v>220</v>
      </c>
      <c r="E1673">
        <v>220</v>
      </c>
      <c r="F1673">
        <v>1215</v>
      </c>
      <c r="G1673">
        <v>2500</v>
      </c>
      <c r="H1673">
        <f>CONVERT(G1673,"HP","kW")</f>
        <v>1864.2496789556756</v>
      </c>
      <c r="I1673">
        <v>0.88400000000000001</v>
      </c>
      <c r="J1673">
        <v>1.4105000000000001</v>
      </c>
      <c r="K1673">
        <v>0.61560000000000004</v>
      </c>
      <c r="L1673">
        <v>0.18759999999999999</v>
      </c>
      <c r="M1673">
        <v>0.1176</v>
      </c>
      <c r="N1673">
        <f>CONVERT(O1673,"lbf","N")</f>
        <v>14560.808635393721</v>
      </c>
      <c r="O1673">
        <v>3273.4</v>
      </c>
      <c r="P1673">
        <f t="shared" si="26"/>
        <v>0.62686567164179108</v>
      </c>
    </row>
    <row r="1674" spans="1:16" hidden="1" x14ac:dyDescent="0.25">
      <c r="A1674">
        <v>0</v>
      </c>
      <c r="B1674">
        <v>0</v>
      </c>
      <c r="C1674">
        <f>1.225 * (1 - 0.00000687559 * B1674) ^ 4.2561</f>
        <v>1.2250000000000001</v>
      </c>
      <c r="D1674">
        <f>E1674*(SQRT($C$2/C1674))</f>
        <v>240</v>
      </c>
      <c r="E1674">
        <v>240</v>
      </c>
      <c r="F1674">
        <v>1215</v>
      </c>
      <c r="G1674">
        <v>2500</v>
      </c>
      <c r="H1674">
        <f>CONVERT(G1674,"HP","kW")</f>
        <v>1864.2496789556756</v>
      </c>
      <c r="I1674">
        <v>0.89049999999999996</v>
      </c>
      <c r="J1674">
        <v>1.5387</v>
      </c>
      <c r="K1674">
        <v>0.63249999999999995</v>
      </c>
      <c r="L1674">
        <v>0.18759999999999999</v>
      </c>
      <c r="M1674">
        <v>0.1086</v>
      </c>
      <c r="N1674">
        <f>CONVERT(O1674,"lbf","N")</f>
        <v>13446.529120770967</v>
      </c>
      <c r="O1674">
        <v>3022.9</v>
      </c>
      <c r="P1674">
        <f t="shared" si="26"/>
        <v>0.5788912579957356</v>
      </c>
    </row>
    <row r="1675" spans="1:16" hidden="1" x14ac:dyDescent="0.25">
      <c r="A1675">
        <v>0</v>
      </c>
      <c r="B1675">
        <v>0</v>
      </c>
      <c r="C1675">
        <f>1.225 * (1 - 0.00000687559 * B1675) ^ 4.2561</f>
        <v>1.2250000000000001</v>
      </c>
      <c r="D1675">
        <f>E1675*(SQRT($C$2/C1675))</f>
        <v>40</v>
      </c>
      <c r="E1675">
        <v>40</v>
      </c>
      <c r="F1675">
        <v>1215</v>
      </c>
      <c r="G1675">
        <v>2500</v>
      </c>
      <c r="H1675">
        <f>CONVERT(G1675,"HP","kW")</f>
        <v>1864.2496789556756</v>
      </c>
      <c r="I1675">
        <v>0.36299999999999999</v>
      </c>
      <c r="J1675">
        <v>0.25650000000000001</v>
      </c>
      <c r="K1675">
        <v>0.51319999999999999</v>
      </c>
      <c r="L1675">
        <v>0.18770000000000001</v>
      </c>
      <c r="M1675">
        <v>0.2656</v>
      </c>
      <c r="N1675">
        <f>CONVERT(O1675,"lbf","N")</f>
        <v>32883.478290813247</v>
      </c>
      <c r="O1675">
        <v>7392.5</v>
      </c>
      <c r="P1675">
        <f t="shared" si="26"/>
        <v>1.4150239744272775</v>
      </c>
    </row>
    <row r="1676" spans="1:16" hidden="1" x14ac:dyDescent="0.25">
      <c r="A1676">
        <v>0</v>
      </c>
      <c r="B1676">
        <v>10000</v>
      </c>
      <c r="C1676">
        <f>1.225 * (1 - 0.00000687559 * B1676) ^ 4.2561</f>
        <v>0.90462252368600637</v>
      </c>
      <c r="D1676">
        <f>E1676*(SQRT($C$2/C1676))</f>
        <v>0</v>
      </c>
      <c r="E1676">
        <v>0</v>
      </c>
      <c r="F1676">
        <v>987</v>
      </c>
      <c r="G1676">
        <v>1000</v>
      </c>
      <c r="H1676">
        <f>CONVERT(G1676,"HP","kW")</f>
        <v>745.69987158227025</v>
      </c>
      <c r="I1676">
        <v>0</v>
      </c>
      <c r="J1676">
        <v>0</v>
      </c>
      <c r="K1676">
        <v>0.42349999999999999</v>
      </c>
      <c r="L1676">
        <v>0.1895</v>
      </c>
      <c r="M1676">
        <v>0.2787</v>
      </c>
      <c r="N1676">
        <f>CONVERT(O1676,"lbf","N")</f>
        <v>16824.953437561315</v>
      </c>
      <c r="O1676">
        <v>3782.4</v>
      </c>
      <c r="P1676">
        <f t="shared" si="26"/>
        <v>1.4707124010554089</v>
      </c>
    </row>
    <row r="1677" spans="1:16" hidden="1" x14ac:dyDescent="0.25">
      <c r="A1677">
        <v>0</v>
      </c>
      <c r="B1677">
        <v>10000</v>
      </c>
      <c r="C1677">
        <f>1.225 * (1 - 0.00000687559 * B1677) ^ 4.2561</f>
        <v>0.90462252368600637</v>
      </c>
      <c r="D1677">
        <f>E1677*(SQRT($C$2/C1677))</f>
        <v>23.273641570654068</v>
      </c>
      <c r="E1677">
        <v>20</v>
      </c>
      <c r="F1677">
        <v>987</v>
      </c>
      <c r="G1677">
        <v>1000</v>
      </c>
      <c r="H1677">
        <f>CONVERT(G1677,"HP","kW")</f>
        <v>745.69987158227025</v>
      </c>
      <c r="I1677">
        <v>0.2661</v>
      </c>
      <c r="J1677">
        <v>0.1837</v>
      </c>
      <c r="K1677">
        <v>0.42909999999999998</v>
      </c>
      <c r="L1677">
        <v>0.1895</v>
      </c>
      <c r="M1677">
        <v>0.27450000000000002</v>
      </c>
      <c r="N1677">
        <f>CONVERT(O1677,"lbf","N")</f>
        <v>16570.959983329943</v>
      </c>
      <c r="O1677">
        <v>3725.3</v>
      </c>
      <c r="P1677">
        <f t="shared" si="26"/>
        <v>1.4485488126649078</v>
      </c>
    </row>
    <row r="1678" spans="1:16" hidden="1" x14ac:dyDescent="0.25">
      <c r="A1678">
        <v>0</v>
      </c>
      <c r="B1678">
        <v>10000</v>
      </c>
      <c r="C1678">
        <f>1.225 * (1 - 0.00000687559 * B1678) ^ 4.2561</f>
        <v>0.90462252368600637</v>
      </c>
      <c r="D1678">
        <f>E1678*(SQRT($C$2/C1678))</f>
        <v>69.820924711962206</v>
      </c>
      <c r="E1678">
        <v>60</v>
      </c>
      <c r="F1678">
        <v>987</v>
      </c>
      <c r="G1678">
        <v>1000</v>
      </c>
      <c r="H1678">
        <f>CONVERT(G1678,"HP","kW")</f>
        <v>745.69987158227025</v>
      </c>
      <c r="I1678">
        <v>0.64570000000000005</v>
      </c>
      <c r="J1678">
        <v>0.55110000000000003</v>
      </c>
      <c r="K1678">
        <v>0.44679999999999997</v>
      </c>
      <c r="L1678">
        <v>0.1895</v>
      </c>
      <c r="M1678">
        <v>0.222</v>
      </c>
      <c r="N1678">
        <f>CONVERT(O1678,"lbf","N")</f>
        <v>13405.605481910567</v>
      </c>
      <c r="O1678">
        <v>3013.7</v>
      </c>
      <c r="P1678">
        <f t="shared" si="26"/>
        <v>1.1715039577836412</v>
      </c>
    </row>
    <row r="1679" spans="1:16" hidden="1" x14ac:dyDescent="0.25">
      <c r="A1679">
        <v>0</v>
      </c>
      <c r="B1679">
        <v>10000</v>
      </c>
      <c r="C1679">
        <f>1.225 * (1 - 0.00000687559 * B1679) ^ 4.2561</f>
        <v>0.90462252368600637</v>
      </c>
      <c r="D1679">
        <f>E1679*(SQRT($C$2/C1679))</f>
        <v>116.36820785327033</v>
      </c>
      <c r="E1679">
        <v>100</v>
      </c>
      <c r="F1679">
        <v>987</v>
      </c>
      <c r="G1679">
        <v>1000</v>
      </c>
      <c r="H1679">
        <f>CONVERT(G1679,"HP","kW")</f>
        <v>745.69987158227025</v>
      </c>
      <c r="I1679">
        <v>0.81</v>
      </c>
      <c r="J1679">
        <v>0.91839999999999999</v>
      </c>
      <c r="K1679">
        <v>0.47189999999999999</v>
      </c>
      <c r="L1679">
        <v>0.1895</v>
      </c>
      <c r="M1679">
        <v>0.1671</v>
      </c>
      <c r="N1679">
        <f>CONVERT(O1679,"lbf","N")</f>
        <v>10089.456267733865</v>
      </c>
      <c r="O1679">
        <v>2268.1999999999998</v>
      </c>
      <c r="P1679">
        <f t="shared" si="26"/>
        <v>0.88179419525065961</v>
      </c>
    </row>
    <row r="1680" spans="1:16" hidden="1" x14ac:dyDescent="0.25">
      <c r="A1680">
        <v>0</v>
      </c>
      <c r="B1680">
        <v>10000</v>
      </c>
      <c r="C1680">
        <f>1.225 * (1 - 0.00000687559 * B1680) ^ 4.2561</f>
        <v>0.90462252368600637</v>
      </c>
      <c r="D1680">
        <f>E1680*(SQRT($C$2/C1680))</f>
        <v>186.18913256523254</v>
      </c>
      <c r="E1680">
        <v>160</v>
      </c>
      <c r="F1680">
        <v>987</v>
      </c>
      <c r="G1680">
        <v>1000</v>
      </c>
      <c r="H1680">
        <f>CONVERT(G1680,"HP","kW")</f>
        <v>745.69987158227025</v>
      </c>
      <c r="I1680">
        <v>0.8871</v>
      </c>
      <c r="J1680">
        <v>1.4695</v>
      </c>
      <c r="K1680">
        <v>0.52470000000000006</v>
      </c>
      <c r="L1680">
        <v>0.1895</v>
      </c>
      <c r="M1680">
        <v>0.1144</v>
      </c>
      <c r="N1680">
        <f>CONVERT(O1680,"lbf","N")</f>
        <v>6905.864057691927</v>
      </c>
      <c r="O1680">
        <v>1552.5</v>
      </c>
      <c r="P1680">
        <f t="shared" si="26"/>
        <v>0.60369393139841687</v>
      </c>
    </row>
    <row r="1681" spans="1:16" hidden="1" x14ac:dyDescent="0.25">
      <c r="A1681">
        <v>0</v>
      </c>
      <c r="B1681">
        <v>10000</v>
      </c>
      <c r="C1681">
        <f>1.225 * (1 - 0.00000687559 * B1681) ^ 4.2561</f>
        <v>0.90462252368600637</v>
      </c>
      <c r="D1681">
        <f>E1681*(SQRT($C$2/C1681))</f>
        <v>209.4627741358866</v>
      </c>
      <c r="E1681">
        <v>180</v>
      </c>
      <c r="F1681">
        <v>987</v>
      </c>
      <c r="G1681">
        <v>1000</v>
      </c>
      <c r="H1681">
        <f>CONVERT(G1681,"HP","kW")</f>
        <v>745.69987158227025</v>
      </c>
      <c r="I1681">
        <v>0.89349999999999996</v>
      </c>
      <c r="J1681">
        <v>1.6532</v>
      </c>
      <c r="K1681">
        <v>0.54590000000000005</v>
      </c>
      <c r="L1681">
        <v>0.1895</v>
      </c>
      <c r="M1681">
        <v>0.1024</v>
      </c>
      <c r="N1681">
        <f>CONVERT(O1681,"lbf","N")</f>
        <v>6183.0280452120951</v>
      </c>
      <c r="O1681">
        <v>1390</v>
      </c>
      <c r="P1681">
        <f t="shared" si="26"/>
        <v>0.54036939313984167</v>
      </c>
    </row>
    <row r="1682" spans="1:16" hidden="1" x14ac:dyDescent="0.25">
      <c r="A1682">
        <v>0</v>
      </c>
      <c r="B1682">
        <v>10000</v>
      </c>
      <c r="C1682">
        <f>1.225 * (1 - 0.00000687559 * B1682) ^ 4.2561</f>
        <v>0.90462252368600637</v>
      </c>
      <c r="D1682">
        <f>E1682*(SQRT($C$2/C1682))</f>
        <v>232.73641570654067</v>
      </c>
      <c r="E1682">
        <v>200</v>
      </c>
      <c r="F1682">
        <v>987</v>
      </c>
      <c r="G1682">
        <v>1000</v>
      </c>
      <c r="H1682">
        <f>CONVERT(G1682,"HP","kW")</f>
        <v>745.69987158227025</v>
      </c>
      <c r="I1682">
        <v>0.89370000000000005</v>
      </c>
      <c r="J1682">
        <v>1.8368</v>
      </c>
      <c r="K1682">
        <v>0.56859999999999999</v>
      </c>
      <c r="L1682">
        <v>0.1895</v>
      </c>
      <c r="M1682">
        <v>9.2200000000000004E-2</v>
      </c>
      <c r="N1682">
        <f>CONVERT(O1682,"lbf","N")</f>
        <v>5566.5045293369903</v>
      </c>
      <c r="O1682">
        <v>1251.4000000000001</v>
      </c>
      <c r="P1682">
        <f t="shared" si="26"/>
        <v>0.48654353562005281</v>
      </c>
    </row>
    <row r="1683" spans="1:16" hidden="1" x14ac:dyDescent="0.25">
      <c r="A1683">
        <v>0</v>
      </c>
      <c r="B1683">
        <v>10000</v>
      </c>
      <c r="C1683">
        <f>1.225 * (1 - 0.00000687559 * B1683) ^ 4.2561</f>
        <v>0.90462252368600637</v>
      </c>
      <c r="D1683">
        <f>E1683*(SQRT($C$2/C1683))</f>
        <v>302.55734041850286</v>
      </c>
      <c r="E1683">
        <v>260</v>
      </c>
      <c r="F1683">
        <v>987</v>
      </c>
      <c r="G1683">
        <v>1000</v>
      </c>
      <c r="H1683">
        <f>CONVERT(G1683,"HP","kW")</f>
        <v>745.69987158227025</v>
      </c>
      <c r="I1683">
        <v>0.84860000000000002</v>
      </c>
      <c r="J1683">
        <v>2.3879000000000001</v>
      </c>
      <c r="K1683">
        <v>0.64429999999999998</v>
      </c>
      <c r="L1683">
        <v>0.1895</v>
      </c>
      <c r="M1683">
        <v>6.7400000000000002E-2</v>
      </c>
      <c r="N1683">
        <f>CONVERT(O1683,"lbf","N")</f>
        <v>4065.6745563480972</v>
      </c>
      <c r="O1683">
        <v>914</v>
      </c>
      <c r="P1683">
        <f t="shared" si="26"/>
        <v>0.35567282321899735</v>
      </c>
    </row>
    <row r="1684" spans="1:16" hidden="1" x14ac:dyDescent="0.25">
      <c r="A1684">
        <v>0</v>
      </c>
      <c r="B1684">
        <v>10000</v>
      </c>
      <c r="C1684">
        <f>1.225 * (1 - 0.00000687559 * B1684) ^ 4.2561</f>
        <v>0.90462252368600637</v>
      </c>
      <c r="D1684">
        <f>E1684*(SQRT($C$2/C1684))</f>
        <v>46.547283141308135</v>
      </c>
      <c r="E1684">
        <v>40</v>
      </c>
      <c r="F1684">
        <v>987</v>
      </c>
      <c r="G1684">
        <v>1000</v>
      </c>
      <c r="H1684">
        <f>CONVERT(G1684,"HP","kW")</f>
        <v>745.69987158227025</v>
      </c>
      <c r="I1684">
        <v>0.48949999999999999</v>
      </c>
      <c r="J1684">
        <v>0.3674</v>
      </c>
      <c r="K1684">
        <v>0.437</v>
      </c>
      <c r="L1684">
        <v>0.18959999999999999</v>
      </c>
      <c r="M1684">
        <v>0.25269999999999998</v>
      </c>
      <c r="N1684">
        <f>CONVERT(O1684,"lbf","N")</f>
        <v>15245.389941982312</v>
      </c>
      <c r="O1684">
        <v>3427.3</v>
      </c>
      <c r="P1684">
        <f t="shared" si="26"/>
        <v>1.3328059071729959</v>
      </c>
    </row>
    <row r="1685" spans="1:16" hidden="1" x14ac:dyDescent="0.25">
      <c r="A1685">
        <v>0</v>
      </c>
      <c r="B1685">
        <v>10000</v>
      </c>
      <c r="C1685">
        <f>1.225 * (1 - 0.00000687559 * B1685) ^ 4.2561</f>
        <v>0.90462252368600637</v>
      </c>
      <c r="D1685">
        <f>E1685*(SQRT($C$2/C1685))</f>
        <v>93.09456628261627</v>
      </c>
      <c r="E1685">
        <v>80</v>
      </c>
      <c r="F1685">
        <v>987</v>
      </c>
      <c r="G1685">
        <v>1000</v>
      </c>
      <c r="H1685">
        <f>CONVERT(G1685,"HP","kW")</f>
        <v>745.69987158227025</v>
      </c>
      <c r="I1685">
        <v>0.74609999999999999</v>
      </c>
      <c r="J1685">
        <v>0.73470000000000002</v>
      </c>
      <c r="K1685">
        <v>0.45829999999999999</v>
      </c>
      <c r="L1685">
        <v>0.18959999999999999</v>
      </c>
      <c r="M1685">
        <v>0.1925</v>
      </c>
      <c r="N1685">
        <f>CONVERT(O1685,"lbf","N")</f>
        <v>11617.865214737374</v>
      </c>
      <c r="O1685">
        <v>2611.8000000000002</v>
      </c>
      <c r="P1685">
        <f t="shared" si="26"/>
        <v>1.015295358649789</v>
      </c>
    </row>
    <row r="1686" spans="1:16" hidden="1" x14ac:dyDescent="0.25">
      <c r="A1686">
        <v>0</v>
      </c>
      <c r="B1686">
        <v>10000</v>
      </c>
      <c r="C1686">
        <f>1.225 * (1 - 0.00000687559 * B1686) ^ 4.2561</f>
        <v>0.90462252368600637</v>
      </c>
      <c r="D1686">
        <f>E1686*(SQRT($C$2/C1686))</f>
        <v>139.64184942392441</v>
      </c>
      <c r="E1686">
        <v>120</v>
      </c>
      <c r="F1686">
        <v>987</v>
      </c>
      <c r="G1686">
        <v>1000</v>
      </c>
      <c r="H1686">
        <f>CONVERT(G1686,"HP","kW")</f>
        <v>745.69987158227025</v>
      </c>
      <c r="I1686">
        <v>0.84950000000000003</v>
      </c>
      <c r="J1686">
        <v>1.1021000000000001</v>
      </c>
      <c r="K1686">
        <v>0.48749999999999999</v>
      </c>
      <c r="L1686">
        <v>0.18959999999999999</v>
      </c>
      <c r="M1686">
        <v>0.14610000000000001</v>
      </c>
      <c r="N1686">
        <f>CONVERT(O1686,"lbf","N")</f>
        <v>8818.5993522539411</v>
      </c>
      <c r="O1686">
        <v>1982.5</v>
      </c>
      <c r="P1686">
        <f t="shared" si="26"/>
        <v>0.77056962025316467</v>
      </c>
    </row>
    <row r="1687" spans="1:16" hidden="1" x14ac:dyDescent="0.25">
      <c r="A1687">
        <v>0</v>
      </c>
      <c r="B1687">
        <v>10000</v>
      </c>
      <c r="C1687">
        <f>1.225 * (1 - 0.00000687559 * B1687) ^ 4.2561</f>
        <v>0.90462252368600637</v>
      </c>
      <c r="D1687">
        <f>E1687*(SQRT($C$2/C1687))</f>
        <v>162.91549099457848</v>
      </c>
      <c r="E1687">
        <v>140</v>
      </c>
      <c r="F1687">
        <v>987</v>
      </c>
      <c r="G1687">
        <v>1000</v>
      </c>
      <c r="H1687">
        <f>CONVERT(G1687,"HP","kW")</f>
        <v>745.69987158227025</v>
      </c>
      <c r="I1687">
        <v>0.87339999999999995</v>
      </c>
      <c r="J1687">
        <v>1.2858000000000001</v>
      </c>
      <c r="K1687">
        <v>0.50519999999999998</v>
      </c>
      <c r="L1687">
        <v>0.18959999999999999</v>
      </c>
      <c r="M1687">
        <v>0.1288</v>
      </c>
      <c r="N1687">
        <f>CONVERT(O1687,"lbf","N")</f>
        <v>7771.4879840216199</v>
      </c>
      <c r="O1687">
        <v>1747.1</v>
      </c>
      <c r="P1687">
        <f t="shared" si="26"/>
        <v>0.67932489451476796</v>
      </c>
    </row>
    <row r="1688" spans="1:16" hidden="1" x14ac:dyDescent="0.25">
      <c r="A1688">
        <v>0</v>
      </c>
      <c r="B1688">
        <v>10000</v>
      </c>
      <c r="C1688">
        <f>1.225 * (1 - 0.00000687559 * B1688) ^ 4.2561</f>
        <v>0.90462252368600637</v>
      </c>
      <c r="D1688">
        <f>E1688*(SQRT($C$2/C1688))</f>
        <v>256.01005727719473</v>
      </c>
      <c r="E1688">
        <v>220</v>
      </c>
      <c r="F1688">
        <v>987</v>
      </c>
      <c r="G1688">
        <v>1000</v>
      </c>
      <c r="H1688">
        <f>CONVERT(G1688,"HP","kW")</f>
        <v>745.69987158227025</v>
      </c>
      <c r="I1688">
        <v>0.88719999999999999</v>
      </c>
      <c r="J1688">
        <v>2.0205000000000002</v>
      </c>
      <c r="K1688">
        <v>0.5927</v>
      </c>
      <c r="L1688">
        <v>0.18959999999999999</v>
      </c>
      <c r="M1688">
        <v>8.3199999999999996E-2</v>
      </c>
      <c r="N1688">
        <f>CONVERT(O1688,"lbf","N")</f>
        <v>5023.3766701136828</v>
      </c>
      <c r="O1688">
        <v>1129.3</v>
      </c>
      <c r="P1688">
        <f t="shared" si="26"/>
        <v>0.43881856540084391</v>
      </c>
    </row>
    <row r="1689" spans="1:16" hidden="1" x14ac:dyDescent="0.25">
      <c r="A1689">
        <v>0</v>
      </c>
      <c r="B1689">
        <v>10000</v>
      </c>
      <c r="C1689">
        <f>1.225 * (1 - 0.00000687559 * B1689) ^ 4.2561</f>
        <v>0.90462252368600637</v>
      </c>
      <c r="D1689">
        <f>E1689*(SQRT($C$2/C1689))</f>
        <v>279.28369884784883</v>
      </c>
      <c r="E1689">
        <v>240</v>
      </c>
      <c r="F1689">
        <v>987</v>
      </c>
      <c r="G1689">
        <v>1000</v>
      </c>
      <c r="H1689">
        <f>CONVERT(G1689,"HP","kW")</f>
        <v>745.69987158227025</v>
      </c>
      <c r="I1689">
        <v>0.87280000000000002</v>
      </c>
      <c r="J1689">
        <v>2.2042000000000002</v>
      </c>
      <c r="K1689">
        <v>0.6179</v>
      </c>
      <c r="L1689">
        <v>0.18970000000000001</v>
      </c>
      <c r="M1689">
        <v>7.51E-2</v>
      </c>
      <c r="N1689">
        <f>CONVERT(O1689,"lbf","N")</f>
        <v>4530.0688929812932</v>
      </c>
      <c r="O1689">
        <v>1018.4</v>
      </c>
      <c r="P1689">
        <f t="shared" si="26"/>
        <v>0.39588824459673166</v>
      </c>
    </row>
    <row r="1690" spans="1:16" hidden="1" x14ac:dyDescent="0.25">
      <c r="A1690">
        <v>0</v>
      </c>
      <c r="B1690">
        <v>5000</v>
      </c>
      <c r="C1690">
        <f>1.225 * (1 - 0.00000687559 * B1690) ^ 4.2561</f>
        <v>1.0555380742846066</v>
      </c>
      <c r="D1690">
        <f>E1690*(SQRT($C$2/C1690))</f>
        <v>86.1828952243647</v>
      </c>
      <c r="E1690">
        <v>80</v>
      </c>
      <c r="F1690">
        <v>1215</v>
      </c>
      <c r="G1690">
        <v>2250</v>
      </c>
      <c r="H1690">
        <f>CONVERT(G1690,"HP","kW")</f>
        <v>1677.8247110601083</v>
      </c>
      <c r="I1690">
        <v>0.64039999999999997</v>
      </c>
      <c r="J1690">
        <v>0.55259999999999998</v>
      </c>
      <c r="K1690">
        <v>0.54</v>
      </c>
      <c r="L1690">
        <v>0.1958</v>
      </c>
      <c r="M1690">
        <v>0.22689999999999999</v>
      </c>
      <c r="N1690">
        <f>CONVERT(O1690,"lbf","N")</f>
        <v>24236.580292908362</v>
      </c>
      <c r="O1690">
        <v>5448.6</v>
      </c>
      <c r="P1690">
        <f t="shared" si="26"/>
        <v>1.1588355464759958</v>
      </c>
    </row>
    <row r="1691" spans="1:16" hidden="1" x14ac:dyDescent="0.25">
      <c r="A1691">
        <v>0</v>
      </c>
      <c r="B1691">
        <v>5000</v>
      </c>
      <c r="C1691">
        <f>1.225 * (1 - 0.00000687559 * B1691) ^ 4.2561</f>
        <v>1.0555380742846066</v>
      </c>
      <c r="D1691">
        <f>E1691*(SQRT($C$2/C1691))</f>
        <v>150.82006664263821</v>
      </c>
      <c r="E1691">
        <v>140</v>
      </c>
      <c r="F1691">
        <v>1215</v>
      </c>
      <c r="G1691">
        <v>2250</v>
      </c>
      <c r="H1691">
        <f>CONVERT(G1691,"HP","kW")</f>
        <v>1677.8247110601083</v>
      </c>
      <c r="I1691">
        <v>0.81869999999999998</v>
      </c>
      <c r="J1691">
        <v>0.96699999999999997</v>
      </c>
      <c r="K1691">
        <v>0.57509999999999994</v>
      </c>
      <c r="L1691">
        <v>0.1958</v>
      </c>
      <c r="M1691">
        <v>0.1658</v>
      </c>
      <c r="N1691">
        <f>CONVERT(O1691,"lbf","N")</f>
        <v>17703.032384413738</v>
      </c>
      <c r="O1691">
        <v>3979.8</v>
      </c>
      <c r="P1691">
        <f t="shared" si="26"/>
        <v>0.84678243105209394</v>
      </c>
    </row>
    <row r="1692" spans="1:16" hidden="1" x14ac:dyDescent="0.25">
      <c r="A1692">
        <v>0</v>
      </c>
      <c r="B1692">
        <v>5000</v>
      </c>
      <c r="C1692">
        <f>1.225 * (1 - 0.00000687559 * B1692) ^ 4.2561</f>
        <v>1.0555380742846066</v>
      </c>
      <c r="D1692">
        <f>E1692*(SQRT($C$2/C1692))</f>
        <v>0</v>
      </c>
      <c r="E1692">
        <v>0</v>
      </c>
      <c r="F1692">
        <v>1215</v>
      </c>
      <c r="G1692">
        <v>2250</v>
      </c>
      <c r="H1692">
        <f>CONVERT(G1692,"HP","kW")</f>
        <v>1677.8247110601083</v>
      </c>
      <c r="I1692">
        <v>0</v>
      </c>
      <c r="J1692">
        <v>0</v>
      </c>
      <c r="K1692">
        <v>0.51200000000000001</v>
      </c>
      <c r="L1692">
        <v>0.19589999999999999</v>
      </c>
      <c r="M1692">
        <v>0.27639999999999998</v>
      </c>
      <c r="N1692">
        <f>CONVERT(O1692,"lbf","N")</f>
        <v>29499.271285923056</v>
      </c>
      <c r="O1692">
        <v>6631.7</v>
      </c>
      <c r="P1692">
        <f t="shared" si="26"/>
        <v>1.4109239407861154</v>
      </c>
    </row>
    <row r="1693" spans="1:16" hidden="1" x14ac:dyDescent="0.25">
      <c r="A1693">
        <v>0</v>
      </c>
      <c r="B1693">
        <v>5000</v>
      </c>
      <c r="C1693">
        <f>1.225 * (1 - 0.00000687559 * B1693) ^ 4.2561</f>
        <v>1.0555380742846066</v>
      </c>
      <c r="D1693">
        <f>E1693*(SQRT($C$2/C1693))</f>
        <v>21.545723806091175</v>
      </c>
      <c r="E1693">
        <v>20</v>
      </c>
      <c r="F1693">
        <v>1215</v>
      </c>
      <c r="G1693">
        <v>2250</v>
      </c>
      <c r="H1693">
        <f>CONVERT(G1693,"HP","kW")</f>
        <v>1677.8247110601083</v>
      </c>
      <c r="I1693">
        <v>0.19500000000000001</v>
      </c>
      <c r="J1693">
        <v>0.1381</v>
      </c>
      <c r="K1693">
        <v>0.51670000000000005</v>
      </c>
      <c r="L1693">
        <v>0.19589999999999999</v>
      </c>
      <c r="M1693">
        <v>0.27639999999999998</v>
      </c>
      <c r="N1693">
        <f>CONVERT(O1693,"lbf","N")</f>
        <v>29511.281484284264</v>
      </c>
      <c r="O1693">
        <v>6634.4</v>
      </c>
      <c r="P1693">
        <f t="shared" si="26"/>
        <v>1.4109239407861154</v>
      </c>
    </row>
    <row r="1694" spans="1:16" hidden="1" x14ac:dyDescent="0.25">
      <c r="A1694">
        <v>0</v>
      </c>
      <c r="B1694">
        <v>5000</v>
      </c>
      <c r="C1694">
        <f>1.225 * (1 - 0.00000687559 * B1694) ^ 4.2561</f>
        <v>1.0555380742846066</v>
      </c>
      <c r="D1694">
        <f>E1694*(SQRT($C$2/C1694))</f>
        <v>172.3657904487294</v>
      </c>
      <c r="E1694">
        <v>160</v>
      </c>
      <c r="F1694">
        <v>1215</v>
      </c>
      <c r="G1694">
        <v>2250</v>
      </c>
      <c r="H1694">
        <f>CONVERT(G1694,"HP","kW")</f>
        <v>1677.8247110601083</v>
      </c>
      <c r="I1694">
        <v>0.84719999999999995</v>
      </c>
      <c r="J1694">
        <v>1.1051</v>
      </c>
      <c r="K1694">
        <v>0.58960000000000001</v>
      </c>
      <c r="L1694">
        <v>0.19589999999999999</v>
      </c>
      <c r="M1694">
        <v>0.1502</v>
      </c>
      <c r="N1694">
        <f>CONVERT(O1694,"lbf","N")</f>
        <v>16030.945879237315</v>
      </c>
      <c r="O1694">
        <v>3603.9</v>
      </c>
      <c r="P1694">
        <f t="shared" si="26"/>
        <v>0.76671771311893822</v>
      </c>
    </row>
    <row r="1695" spans="1:16" hidden="1" x14ac:dyDescent="0.25">
      <c r="A1695">
        <v>0</v>
      </c>
      <c r="B1695">
        <v>5000</v>
      </c>
      <c r="C1695">
        <f>1.225 * (1 - 0.00000687559 * B1695) ^ 4.2561</f>
        <v>1.0555380742846066</v>
      </c>
      <c r="D1695">
        <f>E1695*(SQRT($C$2/C1695))</f>
        <v>193.91151425482059</v>
      </c>
      <c r="E1695">
        <v>180</v>
      </c>
      <c r="F1695">
        <v>1215</v>
      </c>
      <c r="G1695">
        <v>2250</v>
      </c>
      <c r="H1695">
        <f>CONVERT(G1695,"HP","kW")</f>
        <v>1677.8247110601083</v>
      </c>
      <c r="I1695">
        <v>0.86709999999999998</v>
      </c>
      <c r="J1695">
        <v>1.2432000000000001</v>
      </c>
      <c r="K1695">
        <v>0.60550000000000004</v>
      </c>
      <c r="L1695">
        <v>0.19589999999999999</v>
      </c>
      <c r="M1695">
        <v>0.1366</v>
      </c>
      <c r="N1695">
        <f>CONVERT(O1695,"lbf","N")</f>
        <v>14583.939387793076</v>
      </c>
      <c r="O1695">
        <v>3278.6</v>
      </c>
      <c r="P1695">
        <f t="shared" si="26"/>
        <v>0.69729453802960695</v>
      </c>
    </row>
    <row r="1696" spans="1:16" hidden="1" x14ac:dyDescent="0.25">
      <c r="A1696">
        <v>0</v>
      </c>
      <c r="B1696">
        <v>5000</v>
      </c>
      <c r="C1696">
        <f>1.225 * (1 - 0.00000687559 * B1696) ^ 4.2561</f>
        <v>1.0555380742846066</v>
      </c>
      <c r="D1696">
        <f>E1696*(SQRT($C$2/C1696))</f>
        <v>215.45723806091175</v>
      </c>
      <c r="E1696">
        <v>200</v>
      </c>
      <c r="F1696">
        <v>1215</v>
      </c>
      <c r="G1696">
        <v>2250</v>
      </c>
      <c r="H1696">
        <f>CONVERT(G1696,"HP","kW")</f>
        <v>1677.8247110601083</v>
      </c>
      <c r="I1696">
        <v>0.88049999999999995</v>
      </c>
      <c r="J1696">
        <v>1.3814</v>
      </c>
      <c r="K1696">
        <v>0.62260000000000004</v>
      </c>
      <c r="L1696">
        <v>0.19589999999999999</v>
      </c>
      <c r="M1696">
        <v>0.1249</v>
      </c>
      <c r="N1696">
        <f>CONVERT(O1696,"lbf","N")</f>
        <v>13329.096070128087</v>
      </c>
      <c r="O1696">
        <v>2996.5</v>
      </c>
      <c r="P1696">
        <f t="shared" si="26"/>
        <v>0.63757018887187344</v>
      </c>
    </row>
    <row r="1697" spans="1:16" hidden="1" x14ac:dyDescent="0.25">
      <c r="A1697">
        <v>0</v>
      </c>
      <c r="B1697">
        <v>5000</v>
      </c>
      <c r="C1697">
        <f>1.225 * (1 - 0.00000687559 * B1697) ^ 4.2561</f>
        <v>1.0555380742846066</v>
      </c>
      <c r="D1697">
        <f>E1697*(SQRT($C$2/C1697))</f>
        <v>237.00296186700291</v>
      </c>
      <c r="E1697">
        <v>220</v>
      </c>
      <c r="F1697">
        <v>1215</v>
      </c>
      <c r="G1697">
        <v>2250</v>
      </c>
      <c r="H1697">
        <f>CONVERT(G1697,"HP","kW")</f>
        <v>1677.8247110601083</v>
      </c>
      <c r="I1697">
        <v>0.8891</v>
      </c>
      <c r="J1697">
        <v>1.5195000000000001</v>
      </c>
      <c r="K1697">
        <v>0.64100000000000001</v>
      </c>
      <c r="L1697">
        <v>0.19589999999999999</v>
      </c>
      <c r="M1697">
        <v>0.11459999999999999</v>
      </c>
      <c r="N1697">
        <f>CONVERT(O1697,"lbf","N")</f>
        <v>12235.723197097055</v>
      </c>
      <c r="O1697">
        <v>2750.7</v>
      </c>
      <c r="P1697">
        <f t="shared" si="26"/>
        <v>0.5849923430321593</v>
      </c>
    </row>
    <row r="1698" spans="1:16" hidden="1" x14ac:dyDescent="0.25">
      <c r="A1698">
        <v>0</v>
      </c>
      <c r="B1698">
        <v>5000</v>
      </c>
      <c r="C1698">
        <f>1.225 * (1 - 0.00000687559 * B1698) ^ 4.2561</f>
        <v>1.0555380742846066</v>
      </c>
      <c r="D1698">
        <f>E1698*(SQRT($C$2/C1698))</f>
        <v>258.5486856730941</v>
      </c>
      <c r="E1698">
        <v>240</v>
      </c>
      <c r="F1698">
        <v>1215</v>
      </c>
      <c r="G1698">
        <v>2250</v>
      </c>
      <c r="H1698">
        <f>CONVERT(G1698,"HP","kW")</f>
        <v>1677.8247110601083</v>
      </c>
      <c r="I1698">
        <v>0.89380000000000004</v>
      </c>
      <c r="J1698">
        <v>1.6577</v>
      </c>
      <c r="K1698">
        <v>0.66049999999999998</v>
      </c>
      <c r="L1698">
        <v>0.19589999999999999</v>
      </c>
      <c r="M1698">
        <v>0.1056</v>
      </c>
      <c r="N1698">
        <f>CONVERT(O1698,"lbf","N")</f>
        <v>11274.462506039265</v>
      </c>
      <c r="O1698">
        <v>2534.6</v>
      </c>
      <c r="P1698">
        <f t="shared" si="26"/>
        <v>0.53905053598774888</v>
      </c>
    </row>
    <row r="1699" spans="1:16" hidden="1" x14ac:dyDescent="0.25">
      <c r="A1699">
        <v>0</v>
      </c>
      <c r="B1699">
        <v>5000</v>
      </c>
      <c r="C1699">
        <f>1.225 * (1 - 0.00000687559 * B1699) ^ 4.2561</f>
        <v>1.0555380742846066</v>
      </c>
      <c r="D1699">
        <f>E1699*(SQRT($C$2/C1699))</f>
        <v>280.09440947918529</v>
      </c>
      <c r="E1699">
        <v>260</v>
      </c>
      <c r="F1699">
        <v>1215</v>
      </c>
      <c r="G1699">
        <v>2250</v>
      </c>
      <c r="H1699">
        <f>CONVERT(G1699,"HP","kW")</f>
        <v>1677.8247110601083</v>
      </c>
      <c r="I1699">
        <v>0.8931</v>
      </c>
      <c r="J1699">
        <v>1.7958000000000001</v>
      </c>
      <c r="K1699">
        <v>0.68100000000000005</v>
      </c>
      <c r="L1699">
        <v>0.19589999999999999</v>
      </c>
      <c r="M1699">
        <v>9.74E-2</v>
      </c>
      <c r="N1699">
        <f>CONVERT(O1699,"lbf","N")</f>
        <v>10399.942136479049</v>
      </c>
      <c r="O1699">
        <v>2338</v>
      </c>
      <c r="P1699">
        <f t="shared" si="26"/>
        <v>0.49719244512506383</v>
      </c>
    </row>
    <row r="1700" spans="1:16" hidden="1" x14ac:dyDescent="0.25">
      <c r="A1700">
        <v>0</v>
      </c>
      <c r="B1700">
        <v>5000</v>
      </c>
      <c r="C1700">
        <f>1.225 * (1 - 0.00000687559 * B1700) ^ 4.2561</f>
        <v>1.0555380742846066</v>
      </c>
      <c r="D1700">
        <f>E1700*(SQRT($C$2/C1700))</f>
        <v>43.09144761218235</v>
      </c>
      <c r="E1700">
        <v>40</v>
      </c>
      <c r="F1700">
        <v>1215</v>
      </c>
      <c r="G1700">
        <v>2250</v>
      </c>
      <c r="H1700">
        <f>CONVERT(G1700,"HP","kW")</f>
        <v>1677.8247110601083</v>
      </c>
      <c r="I1700">
        <v>0.37880000000000003</v>
      </c>
      <c r="J1700">
        <v>0.27629999999999999</v>
      </c>
      <c r="K1700">
        <v>0.52300000000000002</v>
      </c>
      <c r="L1700">
        <v>0.19600000000000001</v>
      </c>
      <c r="M1700">
        <v>0.26869999999999999</v>
      </c>
      <c r="N1700">
        <f>CONVERT(O1700,"lbf","N")</f>
        <v>28670.567599000024</v>
      </c>
      <c r="O1700">
        <v>6445.4</v>
      </c>
      <c r="P1700">
        <f t="shared" si="26"/>
        <v>1.3709183673469387</v>
      </c>
    </row>
    <row r="1701" spans="1:16" hidden="1" x14ac:dyDescent="0.25">
      <c r="A1701">
        <v>0</v>
      </c>
      <c r="B1701">
        <v>5000</v>
      </c>
      <c r="C1701">
        <f>1.225 * (1 - 0.00000687559 * B1701) ^ 4.2561</f>
        <v>1.0555380742846066</v>
      </c>
      <c r="D1701">
        <f>E1701*(SQRT($C$2/C1701))</f>
        <v>64.637171418273525</v>
      </c>
      <c r="E1701">
        <v>60</v>
      </c>
      <c r="F1701">
        <v>1215</v>
      </c>
      <c r="G1701">
        <v>2250</v>
      </c>
      <c r="H1701">
        <f>CONVERT(G1701,"HP","kW")</f>
        <v>1677.8247110601083</v>
      </c>
      <c r="I1701">
        <v>0.52880000000000005</v>
      </c>
      <c r="J1701">
        <v>0.41439999999999999</v>
      </c>
      <c r="K1701">
        <v>0.53090000000000004</v>
      </c>
      <c r="L1701">
        <v>0.19600000000000001</v>
      </c>
      <c r="M1701">
        <v>0.25009999999999999</v>
      </c>
      <c r="N1701">
        <f>CONVERT(O1701,"lbf","N")</f>
        <v>26684.436647786213</v>
      </c>
      <c r="O1701">
        <v>5998.9</v>
      </c>
      <c r="P1701">
        <f t="shared" si="26"/>
        <v>1.2760204081632651</v>
      </c>
    </row>
    <row r="1702" spans="1:16" hidden="1" x14ac:dyDescent="0.25">
      <c r="A1702">
        <v>0</v>
      </c>
      <c r="B1702">
        <v>5000</v>
      </c>
      <c r="C1702">
        <f>1.225 * (1 - 0.00000687559 * B1702) ^ 4.2561</f>
        <v>1.0555380742846066</v>
      </c>
      <c r="D1702">
        <f>E1702*(SQRT($C$2/C1702))</f>
        <v>107.72861903045587</v>
      </c>
      <c r="E1702">
        <v>100</v>
      </c>
      <c r="F1702">
        <v>1215</v>
      </c>
      <c r="G1702">
        <v>2250</v>
      </c>
      <c r="H1702">
        <f>CONVERT(G1702,"HP","kW")</f>
        <v>1677.8247110601083</v>
      </c>
      <c r="I1702">
        <v>0.72030000000000005</v>
      </c>
      <c r="J1702">
        <v>0.69069999999999998</v>
      </c>
      <c r="K1702">
        <v>0.55030000000000001</v>
      </c>
      <c r="L1702">
        <v>0.19600000000000001</v>
      </c>
      <c r="M1702">
        <v>0.2044</v>
      </c>
      <c r="N1702">
        <f>CONVERT(O1702,"lbf","N")</f>
        <v>21808.296113137654</v>
      </c>
      <c r="O1702">
        <v>4902.7</v>
      </c>
      <c r="P1702">
        <f t="shared" si="26"/>
        <v>1.0428571428571427</v>
      </c>
    </row>
    <row r="1703" spans="1:16" hidden="1" x14ac:dyDescent="0.25">
      <c r="A1703">
        <v>0</v>
      </c>
      <c r="B1703">
        <v>5000</v>
      </c>
      <c r="C1703">
        <f>1.225 * (1 - 0.00000687559 * B1703) ^ 4.2561</f>
        <v>1.0555380742846066</v>
      </c>
      <c r="D1703">
        <f>E1703*(SQRT($C$2/C1703))</f>
        <v>129.27434283654705</v>
      </c>
      <c r="E1703">
        <v>120</v>
      </c>
      <c r="F1703">
        <v>1215</v>
      </c>
      <c r="G1703">
        <v>2250</v>
      </c>
      <c r="H1703">
        <f>CONVERT(G1703,"HP","kW")</f>
        <v>1677.8247110601083</v>
      </c>
      <c r="I1703">
        <v>0.77780000000000005</v>
      </c>
      <c r="J1703">
        <v>0.82879999999999998</v>
      </c>
      <c r="K1703">
        <v>0.56200000000000006</v>
      </c>
      <c r="L1703">
        <v>0.19600000000000001</v>
      </c>
      <c r="M1703">
        <v>0.18390000000000001</v>
      </c>
      <c r="N1703">
        <f>CONVERT(O1703,"lbf","N")</f>
        <v>19623.329655721696</v>
      </c>
      <c r="O1703">
        <v>4411.5</v>
      </c>
      <c r="P1703">
        <f t="shared" si="26"/>
        <v>0.93826530612244896</v>
      </c>
    </row>
    <row r="1704" spans="1:16" hidden="1" x14ac:dyDescent="0.25">
      <c r="A1704">
        <v>0</v>
      </c>
      <c r="B1704">
        <v>20000</v>
      </c>
      <c r="C1704">
        <f>1.225 * (1 - 0.00000687559 * B1704) ^ 4.2561</f>
        <v>0.65267221054298263</v>
      </c>
      <c r="D1704">
        <f>E1704*(SQRT($C$2/C1704))</f>
        <v>82.199984164992401</v>
      </c>
      <c r="E1704">
        <v>60</v>
      </c>
      <c r="F1704">
        <v>987</v>
      </c>
      <c r="G1704">
        <v>750</v>
      </c>
      <c r="H1704">
        <f>CONVERT(G1704,"HP","kW")</f>
        <v>559.27490368670271</v>
      </c>
      <c r="I1704">
        <v>0.6996</v>
      </c>
      <c r="J1704">
        <v>0.64870000000000005</v>
      </c>
      <c r="K1704">
        <v>0.4703</v>
      </c>
      <c r="L1704">
        <v>0.1968</v>
      </c>
      <c r="M1704">
        <v>0.21229999999999999</v>
      </c>
      <c r="N1704">
        <f>CONVERT(O1704,"lbf","N")</f>
        <v>9252.7457819033662</v>
      </c>
      <c r="O1704">
        <v>2080.1</v>
      </c>
      <c r="P1704">
        <f t="shared" si="26"/>
        <v>1.0787601626016259</v>
      </c>
    </row>
    <row r="1705" spans="1:16" hidden="1" x14ac:dyDescent="0.25">
      <c r="A1705">
        <v>0</v>
      </c>
      <c r="B1705">
        <v>20000</v>
      </c>
      <c r="C1705">
        <f>1.225 * (1 - 0.00000687559 * B1705) ^ 4.2561</f>
        <v>0.65267221054298263</v>
      </c>
      <c r="D1705">
        <f>E1705*(SQRT($C$2/C1705))</f>
        <v>109.59997888665654</v>
      </c>
      <c r="E1705">
        <v>80</v>
      </c>
      <c r="F1705">
        <v>987</v>
      </c>
      <c r="G1705">
        <v>750</v>
      </c>
      <c r="H1705">
        <f>CONVERT(G1705,"HP","kW")</f>
        <v>559.27490368670271</v>
      </c>
      <c r="I1705">
        <v>0.79049999999999998</v>
      </c>
      <c r="J1705">
        <v>0.86499999999999999</v>
      </c>
      <c r="K1705">
        <v>0.4859</v>
      </c>
      <c r="L1705">
        <v>0.19689999999999999</v>
      </c>
      <c r="M1705">
        <v>0.1799</v>
      </c>
      <c r="N1705">
        <f>CONVERT(O1705,"lbf","N")</f>
        <v>7841.3250633812095</v>
      </c>
      <c r="O1705">
        <v>1762.8</v>
      </c>
      <c r="P1705">
        <f t="shared" si="26"/>
        <v>0.91366175723717624</v>
      </c>
    </row>
    <row r="1706" spans="1:16" hidden="1" x14ac:dyDescent="0.25">
      <c r="A1706">
        <v>0</v>
      </c>
      <c r="B1706">
        <v>20000</v>
      </c>
      <c r="C1706">
        <f>1.225 * (1 - 0.00000687559 * B1706) ^ 4.2561</f>
        <v>0.65267221054298263</v>
      </c>
      <c r="D1706">
        <f>E1706*(SQRT($C$2/C1706))</f>
        <v>356.19993138163375</v>
      </c>
      <c r="E1706">
        <v>260</v>
      </c>
      <c r="F1706">
        <v>987</v>
      </c>
      <c r="G1706">
        <v>750</v>
      </c>
      <c r="H1706">
        <f>CONVERT(G1706,"HP","kW")</f>
        <v>559.27490368670271</v>
      </c>
      <c r="I1706">
        <v>0.69240000000000002</v>
      </c>
      <c r="J1706">
        <v>2.8111999999999999</v>
      </c>
      <c r="K1706">
        <v>0.73609999999999998</v>
      </c>
      <c r="L1706">
        <v>0.19689999999999999</v>
      </c>
      <c r="M1706">
        <v>4.8500000000000001E-2</v>
      </c>
      <c r="N1706">
        <f>CONVERT(O1706,"lbf","N")</f>
        <v>2113.3500894102635</v>
      </c>
      <c r="O1706">
        <v>475.1</v>
      </c>
      <c r="P1706">
        <f t="shared" si="26"/>
        <v>0.24631792788217372</v>
      </c>
    </row>
    <row r="1707" spans="1:16" hidden="1" x14ac:dyDescent="0.25">
      <c r="A1707">
        <v>0</v>
      </c>
      <c r="B1707">
        <v>20000</v>
      </c>
      <c r="C1707">
        <f>1.225 * (1 - 0.00000687559 * B1707) ^ 4.2561</f>
        <v>0.65267221054298263</v>
      </c>
      <c r="D1707">
        <f>E1707*(SQRT($C$2/C1707))</f>
        <v>0</v>
      </c>
      <c r="E1707">
        <v>0</v>
      </c>
      <c r="F1707">
        <v>987</v>
      </c>
      <c r="G1707">
        <v>750</v>
      </c>
      <c r="H1707">
        <f>CONVERT(G1707,"HP","kW")</f>
        <v>559.27490368670271</v>
      </c>
      <c r="I1707">
        <v>0</v>
      </c>
      <c r="J1707">
        <v>0</v>
      </c>
      <c r="K1707">
        <v>0.44009999999999999</v>
      </c>
      <c r="L1707">
        <v>0.19700000000000001</v>
      </c>
      <c r="M1707">
        <v>0.2787</v>
      </c>
      <c r="N1707">
        <f>CONVERT(O1707,"lbf","N")</f>
        <v>12140.976076692008</v>
      </c>
      <c r="O1707">
        <v>2729.4</v>
      </c>
      <c r="P1707">
        <f t="shared" si="26"/>
        <v>1.414720812182741</v>
      </c>
    </row>
    <row r="1708" spans="1:16" hidden="1" x14ac:dyDescent="0.25">
      <c r="A1708">
        <v>0</v>
      </c>
      <c r="B1708">
        <v>20000</v>
      </c>
      <c r="C1708">
        <f>1.225 * (1 - 0.00000687559 * B1708) ^ 4.2561</f>
        <v>0.65267221054298263</v>
      </c>
      <c r="D1708">
        <f>E1708*(SQRT($C$2/C1708))</f>
        <v>164.3999683299848</v>
      </c>
      <c r="E1708">
        <v>120</v>
      </c>
      <c r="F1708">
        <v>987</v>
      </c>
      <c r="G1708">
        <v>750</v>
      </c>
      <c r="H1708">
        <f>CONVERT(G1708,"HP","kW")</f>
        <v>559.27490368670271</v>
      </c>
      <c r="I1708">
        <v>0.873</v>
      </c>
      <c r="J1708">
        <v>1.2975000000000001</v>
      </c>
      <c r="K1708">
        <v>0.52610000000000001</v>
      </c>
      <c r="L1708">
        <v>0.19700000000000001</v>
      </c>
      <c r="M1708">
        <v>0.1326</v>
      </c>
      <c r="N1708">
        <f>CONVERT(O1708,"lbf","N")</f>
        <v>5773.3468344466028</v>
      </c>
      <c r="O1708">
        <v>1297.9000000000001</v>
      </c>
      <c r="P1708">
        <f t="shared" si="26"/>
        <v>0.67309644670050761</v>
      </c>
    </row>
    <row r="1709" spans="1:16" hidden="1" x14ac:dyDescent="0.25">
      <c r="A1709">
        <v>0</v>
      </c>
      <c r="B1709">
        <v>20000</v>
      </c>
      <c r="C1709">
        <f>1.225 * (1 - 0.00000687559 * B1709) ^ 4.2561</f>
        <v>0.65267221054298263</v>
      </c>
      <c r="D1709">
        <f>E1709*(SQRT($C$2/C1709))</f>
        <v>191.79996305164894</v>
      </c>
      <c r="E1709">
        <v>140</v>
      </c>
      <c r="F1709">
        <v>987</v>
      </c>
      <c r="G1709">
        <v>750</v>
      </c>
      <c r="H1709">
        <f>CONVERT(G1709,"HP","kW")</f>
        <v>559.27490368670271</v>
      </c>
      <c r="I1709">
        <v>0.88859999999999995</v>
      </c>
      <c r="J1709">
        <v>1.5137</v>
      </c>
      <c r="K1709">
        <v>0.55030000000000001</v>
      </c>
      <c r="L1709">
        <v>0.19700000000000001</v>
      </c>
      <c r="M1709">
        <v>0.1157</v>
      </c>
      <c r="N1709">
        <f>CONVERT(O1709,"lbf","N")</f>
        <v>5036.721334959464</v>
      </c>
      <c r="O1709">
        <v>1132.3</v>
      </c>
      <c r="P1709">
        <f t="shared" si="26"/>
        <v>0.58730964467005076</v>
      </c>
    </row>
    <row r="1710" spans="1:16" hidden="1" x14ac:dyDescent="0.25">
      <c r="A1710">
        <v>0</v>
      </c>
      <c r="B1710">
        <v>20000</v>
      </c>
      <c r="C1710">
        <f>1.225 * (1 - 0.00000687559 * B1710) ^ 4.2561</f>
        <v>0.65267221054298263</v>
      </c>
      <c r="D1710">
        <f>E1710*(SQRT($C$2/C1710))</f>
        <v>219.19995777331309</v>
      </c>
      <c r="E1710">
        <v>160</v>
      </c>
      <c r="F1710">
        <v>987</v>
      </c>
      <c r="G1710">
        <v>750</v>
      </c>
      <c r="H1710">
        <f>CONVERT(G1710,"HP","kW")</f>
        <v>559.27490368670271</v>
      </c>
      <c r="I1710">
        <v>0.89470000000000005</v>
      </c>
      <c r="J1710">
        <v>1.73</v>
      </c>
      <c r="K1710">
        <v>0.57689999999999997</v>
      </c>
      <c r="L1710">
        <v>0.19700000000000001</v>
      </c>
      <c r="M1710">
        <v>0.1019</v>
      </c>
      <c r="N1710">
        <f>CONVERT(O1710,"lbf","N")</f>
        <v>4437.5458833838748</v>
      </c>
      <c r="O1710">
        <v>997.6</v>
      </c>
      <c r="P1710">
        <f t="shared" si="26"/>
        <v>0.51725888324873093</v>
      </c>
    </row>
    <row r="1711" spans="1:16" hidden="1" x14ac:dyDescent="0.25">
      <c r="A1711">
        <v>0</v>
      </c>
      <c r="B1711">
        <v>20000</v>
      </c>
      <c r="C1711">
        <f>1.225 * (1 - 0.00000687559 * B1711) ^ 4.2561</f>
        <v>0.65267221054298263</v>
      </c>
      <c r="D1711">
        <f>E1711*(SQRT($C$2/C1711))</f>
        <v>246.59995249497723</v>
      </c>
      <c r="E1711">
        <v>180</v>
      </c>
      <c r="F1711">
        <v>987</v>
      </c>
      <c r="G1711">
        <v>750</v>
      </c>
      <c r="H1711">
        <f>CONVERT(G1711,"HP","kW")</f>
        <v>559.27490368670271</v>
      </c>
      <c r="I1711">
        <v>0.89219999999999999</v>
      </c>
      <c r="J1711">
        <v>1.9461999999999999</v>
      </c>
      <c r="K1711">
        <v>0.60550000000000004</v>
      </c>
      <c r="L1711">
        <v>0.19700000000000001</v>
      </c>
      <c r="M1711">
        <v>9.0300000000000005E-2</v>
      </c>
      <c r="N1711">
        <f>CONVERT(O1711,"lbf","N")</f>
        <v>3933.5623743748602</v>
      </c>
      <c r="O1711">
        <v>884.3</v>
      </c>
      <c r="P1711">
        <f t="shared" si="26"/>
        <v>0.45837563451776653</v>
      </c>
    </row>
    <row r="1712" spans="1:16" hidden="1" x14ac:dyDescent="0.25">
      <c r="A1712">
        <v>0</v>
      </c>
      <c r="B1712">
        <v>20000</v>
      </c>
      <c r="C1712">
        <f>1.225 * (1 - 0.00000687559 * B1712) ^ 4.2561</f>
        <v>0.65267221054298263</v>
      </c>
      <c r="D1712">
        <f>E1712*(SQRT($C$2/C1712))</f>
        <v>301.39994193830552</v>
      </c>
      <c r="E1712">
        <v>220</v>
      </c>
      <c r="F1712">
        <v>987</v>
      </c>
      <c r="G1712">
        <v>750</v>
      </c>
      <c r="H1712">
        <f>CONVERT(G1712,"HP","kW")</f>
        <v>559.27490368670271</v>
      </c>
      <c r="I1712">
        <v>0.85299999999999998</v>
      </c>
      <c r="J1712">
        <v>2.3786999999999998</v>
      </c>
      <c r="K1712">
        <v>0.66810000000000003</v>
      </c>
      <c r="L1712">
        <v>0.19700000000000001</v>
      </c>
      <c r="M1712">
        <v>7.0699999999999999E-2</v>
      </c>
      <c r="N1712">
        <f>CONVERT(O1712,"lbf","N")</f>
        <v>3076.8348912756883</v>
      </c>
      <c r="O1712">
        <v>691.7</v>
      </c>
      <c r="P1712">
        <f t="shared" si="26"/>
        <v>0.35888324873096444</v>
      </c>
    </row>
    <row r="1713" spans="1:16" hidden="1" x14ac:dyDescent="0.25">
      <c r="A1713">
        <v>0</v>
      </c>
      <c r="B1713">
        <v>20000</v>
      </c>
      <c r="C1713">
        <f>1.225 * (1 - 0.00000687559 * B1713) ^ 4.2561</f>
        <v>0.65267221054298263</v>
      </c>
      <c r="D1713">
        <f>E1713*(SQRT($C$2/C1713))</f>
        <v>27.399994721664136</v>
      </c>
      <c r="E1713">
        <v>20</v>
      </c>
      <c r="F1713">
        <v>987</v>
      </c>
      <c r="G1713">
        <v>750</v>
      </c>
      <c r="H1713">
        <f>CONVERT(G1713,"HP","kW")</f>
        <v>559.27490368670271</v>
      </c>
      <c r="I1713">
        <v>0.30280000000000001</v>
      </c>
      <c r="J1713">
        <v>0.2162</v>
      </c>
      <c r="K1713">
        <v>0.44700000000000001</v>
      </c>
      <c r="L1713">
        <v>0.1971</v>
      </c>
      <c r="M1713">
        <v>0.27589999999999998</v>
      </c>
      <c r="N1713">
        <f>CONVERT(O1713,"lbf","N")</f>
        <v>12012.867294172507</v>
      </c>
      <c r="O1713">
        <v>2700.6</v>
      </c>
      <c r="P1713">
        <f t="shared" si="26"/>
        <v>1.3997970573313039</v>
      </c>
    </row>
    <row r="1714" spans="1:16" hidden="1" x14ac:dyDescent="0.25">
      <c r="A1714">
        <v>0</v>
      </c>
      <c r="B1714">
        <v>20000</v>
      </c>
      <c r="C1714">
        <f>1.225 * (1 - 0.00000687559 * B1714) ^ 4.2561</f>
        <v>0.65267221054298263</v>
      </c>
      <c r="D1714">
        <f>E1714*(SQRT($C$2/C1714))</f>
        <v>136.99997360832069</v>
      </c>
      <c r="E1714">
        <v>100</v>
      </c>
      <c r="F1714">
        <v>987</v>
      </c>
      <c r="G1714">
        <v>750</v>
      </c>
      <c r="H1714">
        <f>CONVERT(G1714,"HP","kW")</f>
        <v>559.27490368670271</v>
      </c>
      <c r="I1714">
        <v>0.84330000000000005</v>
      </c>
      <c r="J1714">
        <v>1.0811999999999999</v>
      </c>
      <c r="K1714">
        <v>0.50460000000000005</v>
      </c>
      <c r="L1714">
        <v>0.1971</v>
      </c>
      <c r="M1714">
        <v>0.1537</v>
      </c>
      <c r="N1714">
        <f>CONVERT(O1714,"lbf","N")</f>
        <v>6691.9045979978964</v>
      </c>
      <c r="O1714">
        <v>1504.4</v>
      </c>
      <c r="P1714">
        <f t="shared" si="26"/>
        <v>0.77980720446473872</v>
      </c>
    </row>
    <row r="1715" spans="1:16" hidden="1" x14ac:dyDescent="0.25">
      <c r="A1715">
        <v>0</v>
      </c>
      <c r="B1715">
        <v>20000</v>
      </c>
      <c r="C1715">
        <f>1.225 * (1 - 0.00000687559 * B1715) ^ 4.2561</f>
        <v>0.65267221054298263</v>
      </c>
      <c r="D1715">
        <f>E1715*(SQRT($C$2/C1715))</f>
        <v>273.99994721664137</v>
      </c>
      <c r="E1715">
        <v>200</v>
      </c>
      <c r="F1715">
        <v>987</v>
      </c>
      <c r="G1715">
        <v>750</v>
      </c>
      <c r="H1715">
        <f>CONVERT(G1715,"HP","kW")</f>
        <v>559.27490368670271</v>
      </c>
      <c r="I1715">
        <v>0.87919999999999998</v>
      </c>
      <c r="J1715">
        <v>2.1625000000000001</v>
      </c>
      <c r="K1715">
        <v>0.63600000000000001</v>
      </c>
      <c r="L1715">
        <v>0.1971</v>
      </c>
      <c r="M1715">
        <v>8.0100000000000005E-2</v>
      </c>
      <c r="N1715">
        <f>CONVERT(O1715,"lbf","N")</f>
        <v>3488.2953906872845</v>
      </c>
      <c r="O1715">
        <v>784.2</v>
      </c>
      <c r="P1715">
        <f t="shared" si="26"/>
        <v>0.40639269406392697</v>
      </c>
    </row>
    <row r="1716" spans="1:16" hidden="1" x14ac:dyDescent="0.25">
      <c r="A1716">
        <v>0</v>
      </c>
      <c r="B1716">
        <v>20000</v>
      </c>
      <c r="C1716">
        <f>1.225 * (1 - 0.00000687559 * B1716) ^ 4.2561</f>
        <v>0.65267221054298263</v>
      </c>
      <c r="D1716">
        <f>E1716*(SQRT($C$2/C1716))</f>
        <v>328.7999366599696</v>
      </c>
      <c r="E1716">
        <v>240</v>
      </c>
      <c r="F1716">
        <v>987</v>
      </c>
      <c r="G1716">
        <v>750</v>
      </c>
      <c r="H1716">
        <f>CONVERT(G1716,"HP","kW")</f>
        <v>559.27490368670271</v>
      </c>
      <c r="I1716">
        <v>0.80310000000000004</v>
      </c>
      <c r="J1716">
        <v>2.5950000000000002</v>
      </c>
      <c r="K1716">
        <v>0.70150000000000001</v>
      </c>
      <c r="L1716">
        <v>0.1971</v>
      </c>
      <c r="M1716">
        <v>6.0999999999999999E-2</v>
      </c>
      <c r="N1716">
        <f>CONVERT(O1716,"lbf","N")</f>
        <v>2655.1434821489925</v>
      </c>
      <c r="O1716">
        <v>596.9</v>
      </c>
      <c r="P1716">
        <f t="shared" si="26"/>
        <v>0.30948756976154235</v>
      </c>
    </row>
    <row r="1717" spans="1:16" hidden="1" x14ac:dyDescent="0.25">
      <c r="A1717">
        <v>0</v>
      </c>
      <c r="B1717">
        <v>20000</v>
      </c>
      <c r="C1717">
        <f>1.225 * (1 - 0.00000687559 * B1717) ^ 4.2561</f>
        <v>0.65267221054298263</v>
      </c>
      <c r="D1717">
        <f>E1717*(SQRT($C$2/C1717))</f>
        <v>54.799989443328272</v>
      </c>
      <c r="E1717">
        <v>40</v>
      </c>
      <c r="F1717">
        <v>987</v>
      </c>
      <c r="G1717">
        <v>750</v>
      </c>
      <c r="H1717">
        <f>CONVERT(G1717,"HP","kW")</f>
        <v>559.27490368670271</v>
      </c>
      <c r="I1717">
        <v>0.54579999999999995</v>
      </c>
      <c r="J1717">
        <v>0.4325</v>
      </c>
      <c r="K1717">
        <v>0.45729999999999998</v>
      </c>
      <c r="L1717">
        <v>0.19719999999999999</v>
      </c>
      <c r="M1717">
        <v>0.24879999999999999</v>
      </c>
      <c r="N1717">
        <f>CONVERT(O1717,"lbf","N")</f>
        <v>10828.305878028636</v>
      </c>
      <c r="O1717">
        <v>2434.3000000000002</v>
      </c>
      <c r="P1717">
        <f t="shared" si="26"/>
        <v>1.2616632860040569</v>
      </c>
    </row>
    <row r="1718" spans="1:16" hidden="1" x14ac:dyDescent="0.25">
      <c r="A1718">
        <v>0</v>
      </c>
      <c r="B1718">
        <v>25000</v>
      </c>
      <c r="C1718">
        <f>1.225 * (1 - 0.00000687559 * B1718) ^ 4.2561</f>
        <v>0.54892259437885793</v>
      </c>
      <c r="D1718">
        <f>E1718*(SQRT($C$2/C1718))</f>
        <v>209.14164825274472</v>
      </c>
      <c r="E1718">
        <v>140</v>
      </c>
      <c r="F1718">
        <v>1150</v>
      </c>
      <c r="G1718">
        <v>1000</v>
      </c>
      <c r="H1718">
        <f>CONVERT(G1718,"HP","kW")</f>
        <v>745.69987158227025</v>
      </c>
      <c r="I1718">
        <v>0.88290000000000002</v>
      </c>
      <c r="J1718">
        <v>1.4166000000000001</v>
      </c>
      <c r="K1718">
        <v>0.64100000000000001</v>
      </c>
      <c r="L1718">
        <v>0.19739999999999999</v>
      </c>
      <c r="M1718">
        <v>0.123</v>
      </c>
      <c r="N1718">
        <f>CONVERT(O1718,"lbf","N")</f>
        <v>6118.9736539523437</v>
      </c>
      <c r="O1718">
        <v>1375.6</v>
      </c>
      <c r="P1718">
        <f t="shared" si="26"/>
        <v>0.62310030395136784</v>
      </c>
    </row>
    <row r="1719" spans="1:16" hidden="1" x14ac:dyDescent="0.25">
      <c r="A1719">
        <v>0</v>
      </c>
      <c r="B1719">
        <v>25000</v>
      </c>
      <c r="C1719">
        <f>1.225 * (1 - 0.00000687559 * B1719) ^ 4.2561</f>
        <v>0.54892259437885793</v>
      </c>
      <c r="D1719">
        <f>E1719*(SQRT($C$2/C1719))</f>
        <v>239.01902657456537</v>
      </c>
      <c r="E1719">
        <v>160</v>
      </c>
      <c r="F1719">
        <v>1150</v>
      </c>
      <c r="G1719">
        <v>1000</v>
      </c>
      <c r="H1719">
        <f>CONVERT(G1719,"HP","kW")</f>
        <v>745.69987158227025</v>
      </c>
      <c r="I1719">
        <v>0.89239999999999997</v>
      </c>
      <c r="J1719">
        <v>1.619</v>
      </c>
      <c r="K1719">
        <v>0.6694</v>
      </c>
      <c r="L1719">
        <v>0.19739999999999999</v>
      </c>
      <c r="M1719">
        <v>0.10879999999999999</v>
      </c>
      <c r="N1719">
        <f>CONVERT(O1719,"lbf","N")</f>
        <v>5412.1512392874502</v>
      </c>
      <c r="O1719">
        <v>1216.7</v>
      </c>
      <c r="P1719">
        <f t="shared" si="26"/>
        <v>0.55116514690982776</v>
      </c>
    </row>
    <row r="1720" spans="1:16" hidden="1" x14ac:dyDescent="0.25">
      <c r="A1720">
        <v>0</v>
      </c>
      <c r="B1720">
        <v>25000</v>
      </c>
      <c r="C1720">
        <f>1.225 * (1 - 0.00000687559 * B1720) ^ 4.2561</f>
        <v>0.54892259437885793</v>
      </c>
      <c r="D1720">
        <f>E1720*(SQRT($C$2/C1720))</f>
        <v>268.89640489638606</v>
      </c>
      <c r="E1720">
        <v>180</v>
      </c>
      <c r="F1720">
        <v>1150</v>
      </c>
      <c r="G1720">
        <v>1000</v>
      </c>
      <c r="H1720">
        <f>CONVERT(G1720,"HP","kW")</f>
        <v>745.69987158227025</v>
      </c>
      <c r="I1720">
        <v>0.88690000000000002</v>
      </c>
      <c r="J1720">
        <v>1.8213999999999999</v>
      </c>
      <c r="K1720">
        <v>0.70009999999999994</v>
      </c>
      <c r="L1720">
        <v>0.19739999999999999</v>
      </c>
      <c r="M1720">
        <v>9.6100000000000005E-2</v>
      </c>
      <c r="N1720">
        <f>CONVERT(O1720,"lbf","N")</f>
        <v>4781.3934142435119</v>
      </c>
      <c r="O1720">
        <v>1074.9000000000001</v>
      </c>
      <c r="P1720">
        <f t="shared" si="26"/>
        <v>0.48682877406281666</v>
      </c>
    </row>
    <row r="1721" spans="1:16" hidden="1" x14ac:dyDescent="0.25">
      <c r="A1721">
        <v>0</v>
      </c>
      <c r="B1721">
        <v>25000</v>
      </c>
      <c r="C1721">
        <f>1.225 * (1 - 0.00000687559 * B1721) ^ 4.2561</f>
        <v>0.54892259437885793</v>
      </c>
      <c r="D1721">
        <f>E1721*(SQRT($C$2/C1721))</f>
        <v>328.65116154002743</v>
      </c>
      <c r="E1721">
        <v>220</v>
      </c>
      <c r="F1721">
        <v>1150</v>
      </c>
      <c r="G1721">
        <v>1000</v>
      </c>
      <c r="H1721">
        <f>CONVERT(G1721,"HP","kW")</f>
        <v>745.69987158227025</v>
      </c>
      <c r="I1721">
        <v>0.79010000000000002</v>
      </c>
      <c r="J1721">
        <v>2.2262</v>
      </c>
      <c r="K1721">
        <v>0.76729999999999998</v>
      </c>
      <c r="L1721">
        <v>0.19739999999999999</v>
      </c>
      <c r="M1721">
        <v>7.0099999999999996E-2</v>
      </c>
      <c r="N1721">
        <f>CONVERT(O1721,"lbf","N")</f>
        <v>3484.7368133950758</v>
      </c>
      <c r="O1721">
        <v>783.4</v>
      </c>
      <c r="P1721">
        <f t="shared" si="26"/>
        <v>0.35511651469098277</v>
      </c>
    </row>
    <row r="1722" spans="1:16" hidden="1" x14ac:dyDescent="0.25">
      <c r="A1722">
        <v>0</v>
      </c>
      <c r="B1722">
        <v>25000</v>
      </c>
      <c r="C1722">
        <f>1.225 * (1 - 0.00000687559 * B1722) ^ 4.2561</f>
        <v>0.54892259437885793</v>
      </c>
      <c r="D1722">
        <f>E1722*(SQRT($C$2/C1722))</f>
        <v>0</v>
      </c>
      <c r="E1722">
        <v>0</v>
      </c>
      <c r="F1722">
        <v>1150</v>
      </c>
      <c r="G1722">
        <v>1000</v>
      </c>
      <c r="H1722">
        <f>CONVERT(G1722,"HP","kW")</f>
        <v>745.69987158227025</v>
      </c>
      <c r="I1722">
        <v>0</v>
      </c>
      <c r="J1722">
        <v>0</v>
      </c>
      <c r="K1722">
        <v>0.52329999999999999</v>
      </c>
      <c r="L1722">
        <v>0.19750000000000001</v>
      </c>
      <c r="M1722">
        <v>0.27679999999999999</v>
      </c>
      <c r="N1722">
        <f>CONVERT(O1722,"lbf","N")</f>
        <v>13763.68732193904</v>
      </c>
      <c r="O1722">
        <v>3094.2</v>
      </c>
      <c r="P1722">
        <f t="shared" si="26"/>
        <v>1.4015189873417719</v>
      </c>
    </row>
    <row r="1723" spans="1:16" hidden="1" x14ac:dyDescent="0.25">
      <c r="A1723">
        <v>0</v>
      </c>
      <c r="B1723">
        <v>25000</v>
      </c>
      <c r="C1723">
        <f>1.225 * (1 - 0.00000687559 * B1723) ^ 4.2561</f>
        <v>0.54892259437885793</v>
      </c>
      <c r="D1723">
        <f>E1723*(SQRT($C$2/C1723))</f>
        <v>59.754756643641343</v>
      </c>
      <c r="E1723">
        <v>40</v>
      </c>
      <c r="F1723">
        <v>1150</v>
      </c>
      <c r="G1723">
        <v>1000</v>
      </c>
      <c r="H1723">
        <f>CONVERT(G1723,"HP","kW")</f>
        <v>745.69987158227025</v>
      </c>
      <c r="I1723">
        <v>0.5181</v>
      </c>
      <c r="J1723">
        <v>0.40479999999999999</v>
      </c>
      <c r="K1723">
        <v>0.54190000000000005</v>
      </c>
      <c r="L1723">
        <v>0.19750000000000001</v>
      </c>
      <c r="M1723">
        <v>0.25290000000000001</v>
      </c>
      <c r="N1723">
        <f>CONVERT(O1723,"lbf","N")</f>
        <v>12569.339818241593</v>
      </c>
      <c r="O1723">
        <v>2825.7</v>
      </c>
      <c r="P1723">
        <f t="shared" si="26"/>
        <v>1.280506329113924</v>
      </c>
    </row>
    <row r="1724" spans="1:16" hidden="1" x14ac:dyDescent="0.25">
      <c r="A1724">
        <v>0</v>
      </c>
      <c r="B1724">
        <v>25000</v>
      </c>
      <c r="C1724">
        <f>1.225 * (1 - 0.00000687559 * B1724) ^ 4.2561</f>
        <v>0.54892259437885793</v>
      </c>
      <c r="D1724">
        <f>E1724*(SQRT($C$2/C1724))</f>
        <v>89.632134965462015</v>
      </c>
      <c r="E1724">
        <v>60</v>
      </c>
      <c r="F1724">
        <v>1150</v>
      </c>
      <c r="G1724">
        <v>1000</v>
      </c>
      <c r="H1724">
        <f>CONVERT(G1724,"HP","kW")</f>
        <v>745.69987158227025</v>
      </c>
      <c r="I1724">
        <v>0.67349999999999999</v>
      </c>
      <c r="J1724">
        <v>0.60709999999999997</v>
      </c>
      <c r="K1724">
        <v>0.55589999999999995</v>
      </c>
      <c r="L1724">
        <v>0.19750000000000001</v>
      </c>
      <c r="M1724">
        <v>0.21909999999999999</v>
      </c>
      <c r="N1724">
        <f>CONVERT(O1724,"lbf","N")</f>
        <v>10891.470624965334</v>
      </c>
      <c r="O1724">
        <v>2448.5</v>
      </c>
      <c r="P1724">
        <f t="shared" si="26"/>
        <v>1.1093670886075948</v>
      </c>
    </row>
    <row r="1725" spans="1:16" hidden="1" x14ac:dyDescent="0.25">
      <c r="A1725">
        <v>0</v>
      </c>
      <c r="B1725">
        <v>25000</v>
      </c>
      <c r="C1725">
        <f>1.225 * (1 - 0.00000687559 * B1725) ^ 4.2561</f>
        <v>0.54892259437885793</v>
      </c>
      <c r="D1725">
        <f>E1725*(SQRT($C$2/C1725))</f>
        <v>119.50951328728269</v>
      </c>
      <c r="E1725">
        <v>80</v>
      </c>
      <c r="F1725">
        <v>1150</v>
      </c>
      <c r="G1725">
        <v>1000</v>
      </c>
      <c r="H1725">
        <f>CONVERT(G1725,"HP","kW")</f>
        <v>745.69987158227025</v>
      </c>
      <c r="I1725">
        <v>0.76949999999999996</v>
      </c>
      <c r="J1725">
        <v>0.8095</v>
      </c>
      <c r="K1725">
        <v>0.5726</v>
      </c>
      <c r="L1725">
        <v>0.19750000000000001</v>
      </c>
      <c r="M1725">
        <v>0.18779999999999999</v>
      </c>
      <c r="N1725">
        <f>CONVERT(O1725,"lbf","N")</f>
        <v>9333.7034153011082</v>
      </c>
      <c r="O1725">
        <v>2098.3000000000002</v>
      </c>
      <c r="P1725">
        <f t="shared" si="26"/>
        <v>0.95088607594936703</v>
      </c>
    </row>
    <row r="1726" spans="1:16" hidden="1" x14ac:dyDescent="0.25">
      <c r="A1726">
        <v>0</v>
      </c>
      <c r="B1726">
        <v>25000</v>
      </c>
      <c r="C1726">
        <f>1.225 * (1 - 0.00000687559 * B1726) ^ 4.2561</f>
        <v>0.54892259437885793</v>
      </c>
      <c r="D1726">
        <f>E1726*(SQRT($C$2/C1726))</f>
        <v>149.38689160910337</v>
      </c>
      <c r="E1726">
        <v>100</v>
      </c>
      <c r="F1726">
        <v>1150</v>
      </c>
      <c r="G1726">
        <v>1000</v>
      </c>
      <c r="H1726">
        <f>CONVERT(G1726,"HP","kW")</f>
        <v>745.69987158227025</v>
      </c>
      <c r="I1726">
        <v>0.82809999999999995</v>
      </c>
      <c r="J1726">
        <v>1.0119</v>
      </c>
      <c r="K1726">
        <v>0.59240000000000004</v>
      </c>
      <c r="L1726">
        <v>0.19750000000000001</v>
      </c>
      <c r="M1726">
        <v>0.16159999999999999</v>
      </c>
      <c r="N1726">
        <f>CONVERT(O1726,"lbf","N")</f>
        <v>8035.2675258065674</v>
      </c>
      <c r="O1726">
        <v>1806.4</v>
      </c>
      <c r="P1726">
        <f t="shared" si="26"/>
        <v>0.81822784810126581</v>
      </c>
    </row>
    <row r="1727" spans="1:16" hidden="1" x14ac:dyDescent="0.25">
      <c r="A1727">
        <v>0</v>
      </c>
      <c r="B1727">
        <v>25000</v>
      </c>
      <c r="C1727">
        <f>1.225 * (1 - 0.00000687559 * B1727) ^ 4.2561</f>
        <v>0.54892259437885793</v>
      </c>
      <c r="D1727">
        <f>E1727*(SQRT($C$2/C1727))</f>
        <v>179.26426993092403</v>
      </c>
      <c r="E1727">
        <v>120</v>
      </c>
      <c r="F1727">
        <v>1150</v>
      </c>
      <c r="G1727">
        <v>1000</v>
      </c>
      <c r="H1727">
        <f>CONVERT(G1727,"HP","kW")</f>
        <v>745.69987158227025</v>
      </c>
      <c r="I1727">
        <v>0.86299999999999999</v>
      </c>
      <c r="J1727">
        <v>1.2142999999999999</v>
      </c>
      <c r="K1727">
        <v>0.61529999999999996</v>
      </c>
      <c r="L1727">
        <v>0.19750000000000001</v>
      </c>
      <c r="M1727">
        <v>0.14030000000000001</v>
      </c>
      <c r="N1727">
        <f>CONVERT(O1727,"lbf","N")</f>
        <v>6978.3700700206718</v>
      </c>
      <c r="O1727">
        <v>1568.8</v>
      </c>
      <c r="P1727">
        <f t="shared" si="26"/>
        <v>0.71037974683544303</v>
      </c>
    </row>
    <row r="1728" spans="1:16" hidden="1" x14ac:dyDescent="0.25">
      <c r="A1728">
        <v>0</v>
      </c>
      <c r="B1728">
        <v>25000</v>
      </c>
      <c r="C1728">
        <f>1.225 * (1 - 0.00000687559 * B1728) ^ 4.2561</f>
        <v>0.54892259437885793</v>
      </c>
      <c r="D1728">
        <f>E1728*(SQRT($C$2/C1728))</f>
        <v>298.77378321820675</v>
      </c>
      <c r="E1728">
        <v>200</v>
      </c>
      <c r="F1728">
        <v>1150</v>
      </c>
      <c r="G1728">
        <v>1000</v>
      </c>
      <c r="H1728">
        <f>CONVERT(G1728,"HP","kW")</f>
        <v>745.69987158227025</v>
      </c>
      <c r="I1728">
        <v>0.85250000000000004</v>
      </c>
      <c r="J1728">
        <v>2.0238</v>
      </c>
      <c r="K1728">
        <v>0.73280000000000001</v>
      </c>
      <c r="L1728">
        <v>0.19750000000000001</v>
      </c>
      <c r="M1728">
        <v>8.3199999999999996E-2</v>
      </c>
      <c r="N1728">
        <f>CONVERT(O1728,"lbf","N")</f>
        <v>4136.4012800307391</v>
      </c>
      <c r="O1728">
        <v>929.9</v>
      </c>
      <c r="P1728">
        <f t="shared" si="26"/>
        <v>0.42126582278481006</v>
      </c>
    </row>
    <row r="1729" spans="1:16" hidden="1" x14ac:dyDescent="0.25">
      <c r="A1729">
        <v>0</v>
      </c>
      <c r="B1729">
        <v>25000</v>
      </c>
      <c r="C1729">
        <f>1.225 * (1 - 0.00000687559 * B1729) ^ 4.2561</f>
        <v>0.54892259437885793</v>
      </c>
      <c r="D1729">
        <f>E1729*(SQRT($C$2/C1729))</f>
        <v>358.52853986184806</v>
      </c>
      <c r="E1729">
        <v>240</v>
      </c>
      <c r="F1729">
        <v>1150</v>
      </c>
      <c r="G1729">
        <v>1000</v>
      </c>
      <c r="H1729">
        <f>CONVERT(G1729,"HP","kW")</f>
        <v>745.69987158227025</v>
      </c>
      <c r="I1729">
        <v>0.66820000000000002</v>
      </c>
      <c r="J1729">
        <v>2.4285000000000001</v>
      </c>
      <c r="K1729">
        <v>0.8034</v>
      </c>
      <c r="L1729">
        <v>0.19750000000000001</v>
      </c>
      <c r="M1729">
        <v>5.4399999999999997E-2</v>
      </c>
      <c r="N1729">
        <f>CONVERT(O1729,"lbf","N")</f>
        <v>2701.4049869477017</v>
      </c>
      <c r="O1729">
        <v>607.29999999999995</v>
      </c>
      <c r="P1729">
        <f t="shared" si="26"/>
        <v>0.2754430379746835</v>
      </c>
    </row>
    <row r="1730" spans="1:16" hidden="1" x14ac:dyDescent="0.25">
      <c r="A1730">
        <v>0</v>
      </c>
      <c r="B1730">
        <v>25000</v>
      </c>
      <c r="C1730">
        <f>1.225 * (1 - 0.00000687559 * B1730) ^ 4.2561</f>
        <v>0.54892259437885793</v>
      </c>
      <c r="D1730">
        <f>E1730*(SQRT($C$2/C1730))</f>
        <v>29.877378321820672</v>
      </c>
      <c r="E1730">
        <v>20</v>
      </c>
      <c r="F1730">
        <v>1150</v>
      </c>
      <c r="G1730">
        <v>1000</v>
      </c>
      <c r="H1730">
        <f>CONVERT(G1730,"HP","kW")</f>
        <v>745.69987158227025</v>
      </c>
      <c r="I1730">
        <v>0.28100000000000003</v>
      </c>
      <c r="J1730">
        <v>0.2024</v>
      </c>
      <c r="K1730">
        <v>0.53090000000000004</v>
      </c>
      <c r="L1730">
        <v>0.1976</v>
      </c>
      <c r="M1730">
        <v>0.27429999999999999</v>
      </c>
      <c r="N1730">
        <f>CONVERT(O1730,"lbf","N")</f>
        <v>13632.464784288855</v>
      </c>
      <c r="O1730">
        <v>3064.7</v>
      </c>
      <c r="P1730">
        <f t="shared" si="26"/>
        <v>1.388157894736842</v>
      </c>
    </row>
    <row r="1731" spans="1:16" hidden="1" x14ac:dyDescent="0.25">
      <c r="A1731">
        <v>0</v>
      </c>
      <c r="B1731">
        <v>25000</v>
      </c>
      <c r="C1731">
        <f>1.225 * (1 - 0.00000687559 * B1731) ^ 4.2561</f>
        <v>0.54892259437885793</v>
      </c>
      <c r="D1731">
        <f>E1731*(SQRT($C$2/C1731))</f>
        <v>388.40591818366875</v>
      </c>
      <c r="E1731">
        <v>260</v>
      </c>
      <c r="F1731">
        <v>1150</v>
      </c>
      <c r="G1731">
        <v>1000</v>
      </c>
      <c r="H1731">
        <f>CONVERT(G1731,"HP","kW")</f>
        <v>745.69987158227025</v>
      </c>
      <c r="I1731">
        <v>0.45750000000000002</v>
      </c>
      <c r="J1731">
        <v>2.6309</v>
      </c>
      <c r="K1731">
        <v>0.84089999999999998</v>
      </c>
      <c r="L1731">
        <v>0.19769999999999999</v>
      </c>
      <c r="M1731">
        <v>3.44E-2</v>
      </c>
      <c r="N1731">
        <f>CONVERT(O1731,"lbf","N")</f>
        <v>1707.22745593698</v>
      </c>
      <c r="O1731">
        <v>383.8</v>
      </c>
      <c r="P1731">
        <f t="shared" ref="P1731:P1794" si="27">M1731/L1731</f>
        <v>0.17400101163378859</v>
      </c>
    </row>
    <row r="1732" spans="1:16" hidden="1" x14ac:dyDescent="0.25">
      <c r="A1732">
        <v>0</v>
      </c>
      <c r="B1732">
        <v>0</v>
      </c>
      <c r="C1732">
        <f>1.225 * (1 - 0.00000687559 * B1732) ^ 4.2561</f>
        <v>1.2250000000000001</v>
      </c>
      <c r="D1732">
        <f>E1732*(SQRT($C$2/C1732))</f>
        <v>20</v>
      </c>
      <c r="E1732">
        <v>20</v>
      </c>
      <c r="F1732">
        <v>1150</v>
      </c>
      <c r="G1732">
        <v>2250</v>
      </c>
      <c r="H1732">
        <f>CONVERT(G1732,"HP","kW")</f>
        <v>1677.8247110601083</v>
      </c>
      <c r="I1732">
        <v>0.18990000000000001</v>
      </c>
      <c r="J1732">
        <v>0.13550000000000001</v>
      </c>
      <c r="K1732">
        <v>0.48039999999999999</v>
      </c>
      <c r="L1732">
        <v>0.19889999999999999</v>
      </c>
      <c r="M1732">
        <v>0.27889999999999998</v>
      </c>
      <c r="N1732">
        <f>CONVERT(O1732,"lbf","N")</f>
        <v>30974.301573543438</v>
      </c>
      <c r="O1732">
        <v>6963.3</v>
      </c>
      <c r="P1732">
        <f t="shared" si="27"/>
        <v>1.4022121669180492</v>
      </c>
    </row>
    <row r="1733" spans="1:16" hidden="1" x14ac:dyDescent="0.25">
      <c r="A1733">
        <v>0</v>
      </c>
      <c r="B1733">
        <v>0</v>
      </c>
      <c r="C1733">
        <f>1.225 * (1 - 0.00000687559 * B1733) ^ 4.2561</f>
        <v>1.2250000000000001</v>
      </c>
      <c r="D1733">
        <f>E1733*(SQRT($C$2/C1733))</f>
        <v>40</v>
      </c>
      <c r="E1733">
        <v>40</v>
      </c>
      <c r="F1733">
        <v>1150</v>
      </c>
      <c r="G1733">
        <v>2250</v>
      </c>
      <c r="H1733">
        <f>CONVERT(G1733,"HP","kW")</f>
        <v>1677.8247110601083</v>
      </c>
      <c r="I1733">
        <v>0.37059999999999998</v>
      </c>
      <c r="J1733">
        <v>0.27100000000000002</v>
      </c>
      <c r="K1733">
        <v>0.48609999999999998</v>
      </c>
      <c r="L1733">
        <v>0.19900000000000001</v>
      </c>
      <c r="M1733">
        <v>0.27210000000000001</v>
      </c>
      <c r="N1733">
        <f>CONVERT(O1733,"lbf","N")</f>
        <v>30214.545321656948</v>
      </c>
      <c r="O1733">
        <v>6792.5</v>
      </c>
      <c r="P1733">
        <f t="shared" si="27"/>
        <v>1.3673366834170855</v>
      </c>
    </row>
    <row r="1734" spans="1:16" hidden="1" x14ac:dyDescent="0.25">
      <c r="A1734">
        <v>0</v>
      </c>
      <c r="B1734">
        <v>0</v>
      </c>
      <c r="C1734">
        <f>1.225 * (1 - 0.00000687559 * B1734) ^ 4.2561</f>
        <v>1.2250000000000001</v>
      </c>
      <c r="D1734">
        <f>E1734*(SQRT($C$2/C1734))</f>
        <v>140</v>
      </c>
      <c r="E1734">
        <v>140</v>
      </c>
      <c r="F1734">
        <v>1150</v>
      </c>
      <c r="G1734">
        <v>2250</v>
      </c>
      <c r="H1734">
        <f>CONVERT(G1734,"HP","kW")</f>
        <v>1677.8247110601083</v>
      </c>
      <c r="I1734">
        <v>0.81320000000000003</v>
      </c>
      <c r="J1734">
        <v>0.94830000000000003</v>
      </c>
      <c r="K1734">
        <v>0.53320000000000001</v>
      </c>
      <c r="L1734">
        <v>0.19900000000000001</v>
      </c>
      <c r="M1734">
        <v>0.1706</v>
      </c>
      <c r="N1734">
        <f>CONVERT(O1734,"lbf","N")</f>
        <v>18943.196570748369</v>
      </c>
      <c r="O1734">
        <v>4258.6000000000004</v>
      </c>
      <c r="P1734">
        <f t="shared" si="27"/>
        <v>0.85728643216080402</v>
      </c>
    </row>
    <row r="1735" spans="1:16" hidden="1" x14ac:dyDescent="0.25">
      <c r="A1735">
        <v>0</v>
      </c>
      <c r="B1735">
        <v>0</v>
      </c>
      <c r="C1735">
        <f>1.225 * (1 - 0.00000687559 * B1735) ^ 4.2561</f>
        <v>1.2250000000000001</v>
      </c>
      <c r="D1735">
        <f>E1735*(SQRT($C$2/C1735))</f>
        <v>0</v>
      </c>
      <c r="E1735">
        <v>0</v>
      </c>
      <c r="F1735">
        <v>1150</v>
      </c>
      <c r="G1735">
        <v>2250</v>
      </c>
      <c r="H1735">
        <f>CONVERT(G1735,"HP","kW")</f>
        <v>1677.8247110601083</v>
      </c>
      <c r="I1735">
        <v>0</v>
      </c>
      <c r="J1735">
        <v>0</v>
      </c>
      <c r="K1735">
        <v>0.4763</v>
      </c>
      <c r="L1735">
        <v>0.1991</v>
      </c>
      <c r="M1735">
        <v>0.27829999999999999</v>
      </c>
      <c r="N1735">
        <f>CONVERT(O1735,"lbf","N")</f>
        <v>30882.668208269071</v>
      </c>
      <c r="O1735">
        <v>6942.7</v>
      </c>
      <c r="P1735">
        <f t="shared" si="27"/>
        <v>1.3977900552486187</v>
      </c>
    </row>
    <row r="1736" spans="1:16" hidden="1" x14ac:dyDescent="0.25">
      <c r="A1736">
        <v>0</v>
      </c>
      <c r="B1736">
        <v>0</v>
      </c>
      <c r="C1736">
        <f>1.225 * (1 - 0.00000687559 * B1736) ^ 4.2561</f>
        <v>1.2250000000000001</v>
      </c>
      <c r="D1736">
        <f>E1736*(SQRT($C$2/C1736))</f>
        <v>60</v>
      </c>
      <c r="E1736">
        <v>60</v>
      </c>
      <c r="F1736">
        <v>1150</v>
      </c>
      <c r="G1736">
        <v>2250</v>
      </c>
      <c r="H1736">
        <f>CONVERT(G1736,"HP","kW")</f>
        <v>1677.8247110601083</v>
      </c>
      <c r="I1736">
        <v>0.51990000000000003</v>
      </c>
      <c r="J1736">
        <v>0.40639999999999998</v>
      </c>
      <c r="K1736">
        <v>0.49330000000000002</v>
      </c>
      <c r="L1736">
        <v>0.1991</v>
      </c>
      <c r="M1736">
        <v>0.25459999999999999</v>
      </c>
      <c r="N1736">
        <f>CONVERT(O1736,"lbf","N")</f>
        <v>28258.662277426905</v>
      </c>
      <c r="O1736">
        <v>6352.8</v>
      </c>
      <c r="P1736">
        <f t="shared" si="27"/>
        <v>1.2787543947764941</v>
      </c>
    </row>
    <row r="1737" spans="1:16" hidden="1" x14ac:dyDescent="0.25">
      <c r="A1737">
        <v>0</v>
      </c>
      <c r="B1737">
        <v>0</v>
      </c>
      <c r="C1737">
        <f>1.225 * (1 - 0.00000687559 * B1737) ^ 4.2561</f>
        <v>1.2250000000000001</v>
      </c>
      <c r="D1737">
        <f>E1737*(SQRT($C$2/C1737))</f>
        <v>80</v>
      </c>
      <c r="E1737">
        <v>80</v>
      </c>
      <c r="F1737">
        <v>1150</v>
      </c>
      <c r="G1737">
        <v>2250</v>
      </c>
      <c r="H1737">
        <f>CONVERT(G1737,"HP","kW")</f>
        <v>1677.8247110601083</v>
      </c>
      <c r="I1737">
        <v>0.63170000000000004</v>
      </c>
      <c r="J1737">
        <v>0.54190000000000005</v>
      </c>
      <c r="K1737">
        <v>0.50149999999999995</v>
      </c>
      <c r="L1737">
        <v>0.1991</v>
      </c>
      <c r="M1737">
        <v>0.2321</v>
      </c>
      <c r="N1737">
        <f>CONVERT(O1737,"lbf","N")</f>
        <v>25755.203152358292</v>
      </c>
      <c r="O1737">
        <v>5790</v>
      </c>
      <c r="P1737">
        <f t="shared" si="27"/>
        <v>1.1657458563535912</v>
      </c>
    </row>
    <row r="1738" spans="1:16" hidden="1" x14ac:dyDescent="0.25">
      <c r="A1738">
        <v>0</v>
      </c>
      <c r="B1738">
        <v>0</v>
      </c>
      <c r="C1738">
        <f>1.225 * (1 - 0.00000687559 * B1738) ^ 4.2561</f>
        <v>1.2250000000000001</v>
      </c>
      <c r="D1738">
        <f>E1738*(SQRT($C$2/C1738))</f>
        <v>160</v>
      </c>
      <c r="E1738">
        <v>160</v>
      </c>
      <c r="F1738">
        <v>1150</v>
      </c>
      <c r="G1738">
        <v>2250</v>
      </c>
      <c r="H1738">
        <f>CONVERT(G1738,"HP","kW")</f>
        <v>1677.8247110601083</v>
      </c>
      <c r="I1738">
        <v>0.84279999999999999</v>
      </c>
      <c r="J1738">
        <v>1.0838000000000001</v>
      </c>
      <c r="K1738">
        <v>0.54620000000000002</v>
      </c>
      <c r="L1738">
        <v>0.1991</v>
      </c>
      <c r="M1738">
        <v>0.15479999999999999</v>
      </c>
      <c r="N1738">
        <f>CONVERT(O1738,"lbf","N")</f>
        <v>17179.476700297579</v>
      </c>
      <c r="O1738">
        <v>3862.1</v>
      </c>
      <c r="P1738">
        <f t="shared" si="27"/>
        <v>0.777498744349573</v>
      </c>
    </row>
    <row r="1739" spans="1:16" hidden="1" x14ac:dyDescent="0.25">
      <c r="A1739">
        <v>0</v>
      </c>
      <c r="B1739">
        <v>0</v>
      </c>
      <c r="C1739">
        <f>1.225 * (1 - 0.00000687559 * B1739) ^ 4.2561</f>
        <v>1.2250000000000001</v>
      </c>
      <c r="D1739">
        <f>E1739*(SQRT($C$2/C1739))</f>
        <v>180</v>
      </c>
      <c r="E1739">
        <v>180</v>
      </c>
      <c r="F1739">
        <v>1150</v>
      </c>
      <c r="G1739">
        <v>2250</v>
      </c>
      <c r="H1739">
        <f>CONVERT(G1739,"HP","kW")</f>
        <v>1677.8247110601083</v>
      </c>
      <c r="I1739">
        <v>0.86360000000000003</v>
      </c>
      <c r="J1739">
        <v>1.2193000000000001</v>
      </c>
      <c r="K1739">
        <v>0.5605</v>
      </c>
      <c r="L1739">
        <v>0.1991</v>
      </c>
      <c r="M1739">
        <v>0.14099999999999999</v>
      </c>
      <c r="N1739">
        <f>CONVERT(O1739,"lbf","N")</f>
        <v>15647.50917600186</v>
      </c>
      <c r="O1739">
        <v>3517.7</v>
      </c>
      <c r="P1739">
        <f t="shared" si="27"/>
        <v>0.70818684078352578</v>
      </c>
    </row>
    <row r="1740" spans="1:16" hidden="1" x14ac:dyDescent="0.25">
      <c r="A1740">
        <v>0</v>
      </c>
      <c r="B1740">
        <v>0</v>
      </c>
      <c r="C1740">
        <f>1.225 * (1 - 0.00000687559 * B1740) ^ 4.2561</f>
        <v>1.2250000000000001</v>
      </c>
      <c r="D1740">
        <f>E1740*(SQRT($C$2/C1740))</f>
        <v>200</v>
      </c>
      <c r="E1740">
        <v>200</v>
      </c>
      <c r="F1740">
        <v>1150</v>
      </c>
      <c r="G1740">
        <v>2250</v>
      </c>
      <c r="H1740">
        <f>CONVERT(G1740,"HP","kW")</f>
        <v>1677.8247110601083</v>
      </c>
      <c r="I1740">
        <v>0.87790000000000001</v>
      </c>
      <c r="J1740">
        <v>1.3548</v>
      </c>
      <c r="K1740">
        <v>0.57589999999999997</v>
      </c>
      <c r="L1740">
        <v>0.1991</v>
      </c>
      <c r="M1740">
        <v>0.129</v>
      </c>
      <c r="N1740">
        <f>CONVERT(O1740,"lbf","N")</f>
        <v>14315.266802231341</v>
      </c>
      <c r="O1740">
        <v>3218.2</v>
      </c>
      <c r="P1740">
        <f t="shared" si="27"/>
        <v>0.64791562029131089</v>
      </c>
    </row>
    <row r="1741" spans="1:16" hidden="1" x14ac:dyDescent="0.25">
      <c r="A1741">
        <v>0</v>
      </c>
      <c r="B1741">
        <v>0</v>
      </c>
      <c r="C1741">
        <f>1.225 * (1 - 0.00000687559 * B1741) ^ 4.2561</f>
        <v>1.2250000000000001</v>
      </c>
      <c r="D1741">
        <f>E1741*(SQRT($C$2/C1741))</f>
        <v>220</v>
      </c>
      <c r="E1741">
        <v>220</v>
      </c>
      <c r="F1741">
        <v>1150</v>
      </c>
      <c r="G1741">
        <v>2250</v>
      </c>
      <c r="H1741">
        <f>CONVERT(G1741,"HP","kW")</f>
        <v>1677.8247110601083</v>
      </c>
      <c r="I1741">
        <v>0.88729999999999998</v>
      </c>
      <c r="J1741">
        <v>1.4902</v>
      </c>
      <c r="K1741">
        <v>0.59250000000000003</v>
      </c>
      <c r="L1741">
        <v>0.1991</v>
      </c>
      <c r="M1741">
        <v>0.11849999999999999</v>
      </c>
      <c r="N1741">
        <f>CONVERT(O1741,"lbf","N")</f>
        <v>13153.3913163253</v>
      </c>
      <c r="O1741">
        <v>2957</v>
      </c>
      <c r="P1741">
        <f t="shared" si="27"/>
        <v>0.59517830236062275</v>
      </c>
    </row>
    <row r="1742" spans="1:16" hidden="1" x14ac:dyDescent="0.25">
      <c r="A1742">
        <v>0</v>
      </c>
      <c r="B1742">
        <v>0</v>
      </c>
      <c r="C1742">
        <f>1.225 * (1 - 0.00000687559 * B1742) ^ 4.2561</f>
        <v>1.2250000000000001</v>
      </c>
      <c r="D1742">
        <f>E1742*(SQRT($C$2/C1742))</f>
        <v>240</v>
      </c>
      <c r="E1742">
        <v>240</v>
      </c>
      <c r="F1742">
        <v>1150</v>
      </c>
      <c r="G1742">
        <v>2250</v>
      </c>
      <c r="H1742">
        <f>CONVERT(G1742,"HP","kW")</f>
        <v>1677.8247110601083</v>
      </c>
      <c r="I1742">
        <v>0.89290000000000003</v>
      </c>
      <c r="J1742">
        <v>1.6256999999999999</v>
      </c>
      <c r="K1742">
        <v>0.61</v>
      </c>
      <c r="L1742">
        <v>0.1991</v>
      </c>
      <c r="M1742">
        <v>0.10929999999999999</v>
      </c>
      <c r="N1742">
        <f>CONVERT(O1742,"lbf","N")</f>
        <v>12133.414099946065</v>
      </c>
      <c r="O1742">
        <v>2727.7</v>
      </c>
      <c r="P1742">
        <f t="shared" si="27"/>
        <v>0.5489703666499246</v>
      </c>
    </row>
    <row r="1743" spans="1:16" hidden="1" x14ac:dyDescent="0.25">
      <c r="A1743">
        <v>0</v>
      </c>
      <c r="B1743">
        <v>0</v>
      </c>
      <c r="C1743">
        <f>1.225 * (1 - 0.00000687559 * B1743) ^ 4.2561</f>
        <v>1.2250000000000001</v>
      </c>
      <c r="D1743">
        <f>E1743*(SQRT($C$2/C1743))</f>
        <v>260</v>
      </c>
      <c r="E1743">
        <v>260</v>
      </c>
      <c r="F1743">
        <v>1150</v>
      </c>
      <c r="G1743">
        <v>2250</v>
      </c>
      <c r="H1743">
        <f>CONVERT(G1743,"HP","kW")</f>
        <v>1677.8247110601083</v>
      </c>
      <c r="I1743">
        <v>0.89510000000000001</v>
      </c>
      <c r="J1743">
        <v>1.7612000000000001</v>
      </c>
      <c r="K1743">
        <v>0.62849999999999995</v>
      </c>
      <c r="L1743">
        <v>0.1991</v>
      </c>
      <c r="M1743">
        <v>0.1012</v>
      </c>
      <c r="N1743">
        <f>CONVERT(O1743,"lbf","N")</f>
        <v>11227.756179079028</v>
      </c>
      <c r="O1743">
        <v>2524.1</v>
      </c>
      <c r="P1743">
        <f t="shared" si="27"/>
        <v>0.50828729281767959</v>
      </c>
    </row>
    <row r="1744" spans="1:16" hidden="1" x14ac:dyDescent="0.25">
      <c r="A1744">
        <v>0</v>
      </c>
      <c r="B1744">
        <v>0</v>
      </c>
      <c r="C1744">
        <f>1.225 * (1 - 0.00000687559 * B1744) ^ 4.2561</f>
        <v>1.2250000000000001</v>
      </c>
      <c r="D1744">
        <f>E1744*(SQRT($C$2/C1744))</f>
        <v>100</v>
      </c>
      <c r="E1744">
        <v>100</v>
      </c>
      <c r="F1744">
        <v>1150</v>
      </c>
      <c r="G1744">
        <v>2250</v>
      </c>
      <c r="H1744">
        <f>CONVERT(G1744,"HP","kW")</f>
        <v>1677.8247110601083</v>
      </c>
      <c r="I1744">
        <v>0.7127</v>
      </c>
      <c r="J1744">
        <v>0.6774</v>
      </c>
      <c r="K1744">
        <v>0.51090000000000002</v>
      </c>
      <c r="L1744">
        <v>0.19919999999999999</v>
      </c>
      <c r="M1744">
        <v>0.20949999999999999</v>
      </c>
      <c r="N1744">
        <f>CONVERT(O1744,"lbf","N")</f>
        <v>23243.292406220695</v>
      </c>
      <c r="O1744">
        <v>5225.3</v>
      </c>
      <c r="P1744">
        <f t="shared" si="27"/>
        <v>1.0517068273092369</v>
      </c>
    </row>
    <row r="1745" spans="1:16" hidden="1" x14ac:dyDescent="0.25">
      <c r="A1745">
        <v>0</v>
      </c>
      <c r="B1745">
        <v>0</v>
      </c>
      <c r="C1745">
        <f>1.225 * (1 - 0.00000687559 * B1745) ^ 4.2561</f>
        <v>1.2250000000000001</v>
      </c>
      <c r="D1745">
        <f>E1745*(SQRT($C$2/C1745))</f>
        <v>120</v>
      </c>
      <c r="E1745">
        <v>120</v>
      </c>
      <c r="F1745">
        <v>1150</v>
      </c>
      <c r="G1745">
        <v>2250</v>
      </c>
      <c r="H1745">
        <f>CONVERT(G1745,"HP","kW")</f>
        <v>1677.8247110601083</v>
      </c>
      <c r="I1745">
        <v>0.7712</v>
      </c>
      <c r="J1745">
        <v>0.81289999999999996</v>
      </c>
      <c r="K1745">
        <v>0.52139999999999997</v>
      </c>
      <c r="L1745">
        <v>0.19919999999999999</v>
      </c>
      <c r="M1745">
        <v>0.18890000000000001</v>
      </c>
      <c r="N1745">
        <f>CONVERT(O1745,"lbf","N")</f>
        <v>20960.020251107475</v>
      </c>
      <c r="O1745">
        <v>4712</v>
      </c>
      <c r="P1745">
        <f t="shared" si="27"/>
        <v>0.94829317269076319</v>
      </c>
    </row>
    <row r="1746" spans="1:16" hidden="1" x14ac:dyDescent="0.25">
      <c r="A1746">
        <v>0</v>
      </c>
      <c r="B1746">
        <v>30000</v>
      </c>
      <c r="C1746">
        <f>1.225 * (1 - 0.00000687559 * B1746) ^ 4.2561</f>
        <v>0.45828836225470948</v>
      </c>
      <c r="D1746">
        <f>E1746*(SQRT($C$2/C1746))</f>
        <v>196.19135918703881</v>
      </c>
      <c r="E1746">
        <v>120</v>
      </c>
      <c r="F1746">
        <v>1215</v>
      </c>
      <c r="G1746">
        <v>1000</v>
      </c>
      <c r="H1746">
        <f>CONVERT(G1746,"HP","kW")</f>
        <v>745.69987158227025</v>
      </c>
      <c r="I1746">
        <v>0.86539999999999995</v>
      </c>
      <c r="J1746">
        <v>1.2578</v>
      </c>
      <c r="K1746">
        <v>0.66969999999999996</v>
      </c>
      <c r="L1746">
        <v>0.20039999999999999</v>
      </c>
      <c r="M1746">
        <v>0.13789999999999999</v>
      </c>
      <c r="N1746">
        <f>CONVERT(O1746,"lbf","N")</f>
        <v>6394.3185719369685</v>
      </c>
      <c r="O1746">
        <v>1437.5</v>
      </c>
      <c r="P1746">
        <f t="shared" si="27"/>
        <v>0.68812375249501001</v>
      </c>
    </row>
    <row r="1747" spans="1:16" hidden="1" x14ac:dyDescent="0.25">
      <c r="A1747">
        <v>0</v>
      </c>
      <c r="B1747">
        <v>30000</v>
      </c>
      <c r="C1747">
        <f>1.225 * (1 - 0.00000687559 * B1747) ^ 4.2561</f>
        <v>0.45828836225470948</v>
      </c>
      <c r="D1747">
        <f>E1747*(SQRT($C$2/C1747))</f>
        <v>294.28703878055819</v>
      </c>
      <c r="E1747">
        <v>180</v>
      </c>
      <c r="F1747">
        <v>1215</v>
      </c>
      <c r="G1747">
        <v>1000</v>
      </c>
      <c r="H1747">
        <f>CONVERT(G1747,"HP","kW")</f>
        <v>745.69987158227025</v>
      </c>
      <c r="I1747">
        <v>0.83160000000000001</v>
      </c>
      <c r="J1747">
        <v>1.8867</v>
      </c>
      <c r="K1747">
        <v>0.76659999999999995</v>
      </c>
      <c r="L1747">
        <v>0.20039999999999999</v>
      </c>
      <c r="M1747">
        <v>8.8300000000000003E-2</v>
      </c>
      <c r="N1747">
        <f>CONVERT(O1747,"lbf","N")</f>
        <v>4096.3672854933948</v>
      </c>
      <c r="O1747">
        <v>920.9</v>
      </c>
      <c r="P1747">
        <f t="shared" si="27"/>
        <v>0.44061876247504994</v>
      </c>
    </row>
    <row r="1748" spans="1:16" hidden="1" x14ac:dyDescent="0.25">
      <c r="A1748">
        <v>0</v>
      </c>
      <c r="B1748">
        <v>30000</v>
      </c>
      <c r="C1748">
        <f>1.225 * (1 - 0.00000687559 * B1748) ^ 4.2561</f>
        <v>0.45828836225470948</v>
      </c>
      <c r="D1748">
        <f>E1748*(SQRT($C$2/C1748))</f>
        <v>0</v>
      </c>
      <c r="E1748">
        <v>0</v>
      </c>
      <c r="F1748">
        <v>1215</v>
      </c>
      <c r="G1748">
        <v>1000</v>
      </c>
      <c r="H1748">
        <f>CONVERT(G1748,"HP","kW")</f>
        <v>745.69987158227025</v>
      </c>
      <c r="I1748">
        <v>0</v>
      </c>
      <c r="J1748">
        <v>0</v>
      </c>
      <c r="K1748">
        <v>0.56459999999999999</v>
      </c>
      <c r="L1748">
        <v>0.20050000000000001</v>
      </c>
      <c r="M1748">
        <v>0.27450000000000002</v>
      </c>
      <c r="N1748">
        <f>CONVERT(O1748,"lbf","N")</f>
        <v>12722.358641806555</v>
      </c>
      <c r="O1748">
        <v>2860.1</v>
      </c>
      <c r="P1748">
        <f t="shared" si="27"/>
        <v>1.3690773067331672</v>
      </c>
    </row>
    <row r="1749" spans="1:16" hidden="1" x14ac:dyDescent="0.25">
      <c r="A1749">
        <v>0</v>
      </c>
      <c r="B1749">
        <v>30000</v>
      </c>
      <c r="C1749">
        <f>1.225 * (1 - 0.00000687559 * B1749) ^ 4.2561</f>
        <v>0.45828836225470948</v>
      </c>
      <c r="D1749">
        <f>E1749*(SQRT($C$2/C1749))</f>
        <v>32.698559864506464</v>
      </c>
      <c r="E1749">
        <v>20</v>
      </c>
      <c r="F1749">
        <v>1215</v>
      </c>
      <c r="G1749">
        <v>1000</v>
      </c>
      <c r="H1749">
        <f>CONVERT(G1749,"HP","kW")</f>
        <v>745.69987158227025</v>
      </c>
      <c r="I1749">
        <v>0.2843</v>
      </c>
      <c r="J1749">
        <v>0.20960000000000001</v>
      </c>
      <c r="K1749">
        <v>0.57310000000000005</v>
      </c>
      <c r="L1749">
        <v>0.20050000000000001</v>
      </c>
      <c r="M1749">
        <v>0.27189999999999998</v>
      </c>
      <c r="N1749">
        <f>CONVERT(O1749,"lbf","N")</f>
        <v>12602.256658194523</v>
      </c>
      <c r="O1749">
        <v>2833.1</v>
      </c>
      <c r="P1749">
        <f t="shared" si="27"/>
        <v>1.3561097256857852</v>
      </c>
    </row>
    <row r="1750" spans="1:16" hidden="1" x14ac:dyDescent="0.25">
      <c r="A1750">
        <v>0</v>
      </c>
      <c r="B1750">
        <v>30000</v>
      </c>
      <c r="C1750">
        <f>1.225 * (1 - 0.00000687559 * B1750) ^ 4.2561</f>
        <v>0.45828836225470948</v>
      </c>
      <c r="D1750">
        <f>E1750*(SQRT($C$2/C1750))</f>
        <v>65.397119729012928</v>
      </c>
      <c r="E1750">
        <v>40</v>
      </c>
      <c r="F1750">
        <v>1215</v>
      </c>
      <c r="G1750">
        <v>1000</v>
      </c>
      <c r="H1750">
        <f>CONVERT(G1750,"HP","kW")</f>
        <v>745.69987158227025</v>
      </c>
      <c r="I1750">
        <v>0.52769999999999995</v>
      </c>
      <c r="J1750">
        <v>0.41930000000000001</v>
      </c>
      <c r="K1750">
        <v>0.5857</v>
      </c>
      <c r="L1750">
        <v>0.20050000000000001</v>
      </c>
      <c r="M1750">
        <v>0.25230000000000002</v>
      </c>
      <c r="N1750">
        <f>CONVERT(O1750,"lbf","N")</f>
        <v>11697.488381650535</v>
      </c>
      <c r="O1750">
        <v>2629.7</v>
      </c>
      <c r="P1750">
        <f t="shared" si="27"/>
        <v>1.2583541147132169</v>
      </c>
    </row>
    <row r="1751" spans="1:16" hidden="1" x14ac:dyDescent="0.25">
      <c r="A1751">
        <v>0</v>
      </c>
      <c r="B1751">
        <v>30000</v>
      </c>
      <c r="C1751">
        <f>1.225 * (1 - 0.00000687559 * B1751) ^ 4.2561</f>
        <v>0.45828836225470948</v>
      </c>
      <c r="D1751">
        <f>E1751*(SQRT($C$2/C1751))</f>
        <v>163.49279932253233</v>
      </c>
      <c r="E1751">
        <v>100</v>
      </c>
      <c r="F1751">
        <v>1215</v>
      </c>
      <c r="G1751">
        <v>1000</v>
      </c>
      <c r="H1751">
        <f>CONVERT(G1751,"HP","kW")</f>
        <v>745.69987158227025</v>
      </c>
      <c r="I1751">
        <v>0.83350000000000002</v>
      </c>
      <c r="J1751">
        <v>1.0482</v>
      </c>
      <c r="K1751">
        <v>0.64339999999999997</v>
      </c>
      <c r="L1751">
        <v>0.20050000000000001</v>
      </c>
      <c r="M1751">
        <v>0.15939999999999999</v>
      </c>
      <c r="N1751">
        <f>CONVERT(O1751,"lbf","N")</f>
        <v>7390.2753915937947</v>
      </c>
      <c r="O1751">
        <v>1661.4</v>
      </c>
      <c r="P1751">
        <f t="shared" si="27"/>
        <v>0.79501246882793009</v>
      </c>
    </row>
    <row r="1752" spans="1:16" hidden="1" x14ac:dyDescent="0.25">
      <c r="A1752">
        <v>0</v>
      </c>
      <c r="B1752">
        <v>30000</v>
      </c>
      <c r="C1752">
        <f>1.225 * (1 - 0.00000687559 * B1752) ^ 4.2561</f>
        <v>0.45828836225470948</v>
      </c>
      <c r="D1752">
        <f>E1752*(SQRT($C$2/C1752))</f>
        <v>98.095679593519407</v>
      </c>
      <c r="E1752">
        <v>60</v>
      </c>
      <c r="F1752">
        <v>1215</v>
      </c>
      <c r="G1752">
        <v>1000</v>
      </c>
      <c r="H1752">
        <f>CONVERT(G1752,"HP","kW")</f>
        <v>745.69987158227025</v>
      </c>
      <c r="I1752">
        <v>0.68279999999999996</v>
      </c>
      <c r="J1752">
        <v>0.62890000000000001</v>
      </c>
      <c r="K1752">
        <v>0.60160000000000002</v>
      </c>
      <c r="L1752">
        <v>0.2006</v>
      </c>
      <c r="M1752">
        <v>0.21779999999999999</v>
      </c>
      <c r="N1752">
        <f>CONVERT(O1752,"lbf","N")</f>
        <v>10089.456267733865</v>
      </c>
      <c r="O1752">
        <v>2268.1999999999998</v>
      </c>
      <c r="P1752">
        <f t="shared" si="27"/>
        <v>1.085742771684945</v>
      </c>
    </row>
    <row r="1753" spans="1:16" hidden="1" x14ac:dyDescent="0.25">
      <c r="A1753">
        <v>0</v>
      </c>
      <c r="B1753">
        <v>30000</v>
      </c>
      <c r="C1753">
        <f>1.225 * (1 - 0.00000687559 * B1753) ^ 4.2561</f>
        <v>0.45828836225470948</v>
      </c>
      <c r="D1753">
        <f>E1753*(SQRT($C$2/C1753))</f>
        <v>130.79423945802586</v>
      </c>
      <c r="E1753">
        <v>80</v>
      </c>
      <c r="F1753">
        <v>1215</v>
      </c>
      <c r="G1753">
        <v>1000</v>
      </c>
      <c r="H1753">
        <f>CONVERT(G1753,"HP","kW")</f>
        <v>745.69987158227025</v>
      </c>
      <c r="I1753">
        <v>0.77680000000000005</v>
      </c>
      <c r="J1753">
        <v>0.83860000000000001</v>
      </c>
      <c r="K1753">
        <v>0.62070000000000003</v>
      </c>
      <c r="L1753">
        <v>0.2006</v>
      </c>
      <c r="M1753">
        <v>0.18579999999999999</v>
      </c>
      <c r="N1753">
        <f>CONVERT(O1753,"lbf","N")</f>
        <v>8609.0881141751724</v>
      </c>
      <c r="O1753">
        <v>1935.4</v>
      </c>
      <c r="P1753">
        <f t="shared" si="27"/>
        <v>0.92622133599202394</v>
      </c>
    </row>
    <row r="1754" spans="1:16" hidden="1" x14ac:dyDescent="0.25">
      <c r="A1754">
        <v>0</v>
      </c>
      <c r="B1754">
        <v>30000</v>
      </c>
      <c r="C1754">
        <f>1.225 * (1 - 0.00000687559 * B1754) ^ 4.2561</f>
        <v>0.45828836225470948</v>
      </c>
      <c r="D1754">
        <f>E1754*(SQRT($C$2/C1754))</f>
        <v>228.88991905154526</v>
      </c>
      <c r="E1754">
        <v>140</v>
      </c>
      <c r="F1754">
        <v>1215</v>
      </c>
      <c r="G1754">
        <v>1000</v>
      </c>
      <c r="H1754">
        <f>CONVERT(G1754,"HP","kW")</f>
        <v>745.69987158227025</v>
      </c>
      <c r="I1754">
        <v>0.875</v>
      </c>
      <c r="J1754">
        <v>1.4675</v>
      </c>
      <c r="K1754">
        <v>0.69920000000000004</v>
      </c>
      <c r="L1754">
        <v>0.2006</v>
      </c>
      <c r="M1754">
        <v>0.1196</v>
      </c>
      <c r="N1754">
        <f>CONVERT(O1754,"lbf","N")</f>
        <v>5541.594488291531</v>
      </c>
      <c r="O1754">
        <v>1245.8</v>
      </c>
      <c r="P1754">
        <f t="shared" si="27"/>
        <v>0.59621136590229307</v>
      </c>
    </row>
    <row r="1755" spans="1:16" hidden="1" x14ac:dyDescent="0.25">
      <c r="A1755">
        <v>0</v>
      </c>
      <c r="B1755">
        <v>30000</v>
      </c>
      <c r="C1755">
        <f>1.225 * (1 - 0.00000687559 * B1755) ^ 4.2561</f>
        <v>0.45828836225470948</v>
      </c>
      <c r="D1755">
        <f>E1755*(SQRT($C$2/C1755))</f>
        <v>261.58847891605171</v>
      </c>
      <c r="E1755">
        <v>160</v>
      </c>
      <c r="F1755">
        <v>1215</v>
      </c>
      <c r="G1755">
        <v>1000</v>
      </c>
      <c r="H1755">
        <f>CONVERT(G1755,"HP","kW")</f>
        <v>745.69987158227025</v>
      </c>
      <c r="I1755">
        <v>0.8629</v>
      </c>
      <c r="J1755">
        <v>1.6771</v>
      </c>
      <c r="K1755">
        <v>0.73160000000000003</v>
      </c>
      <c r="L1755">
        <v>0.2006</v>
      </c>
      <c r="M1755">
        <v>0.1032</v>
      </c>
      <c r="N1755">
        <f>CONVERT(O1755,"lbf","N")</f>
        <v>4781.8382364050376</v>
      </c>
      <c r="O1755">
        <v>1075</v>
      </c>
      <c r="P1755">
        <f t="shared" si="27"/>
        <v>0.51445663010967102</v>
      </c>
    </row>
    <row r="1756" spans="1:16" hidden="1" x14ac:dyDescent="0.25">
      <c r="A1756">
        <v>0</v>
      </c>
      <c r="B1756">
        <v>30000</v>
      </c>
      <c r="C1756">
        <f>1.225 * (1 - 0.00000687559 * B1756) ^ 4.2561</f>
        <v>0.45828836225470948</v>
      </c>
      <c r="D1756">
        <f>E1756*(SQRT($C$2/C1756))</f>
        <v>326.98559864506467</v>
      </c>
      <c r="E1756">
        <v>200</v>
      </c>
      <c r="F1756">
        <v>1215</v>
      </c>
      <c r="G1756">
        <v>1000</v>
      </c>
      <c r="H1756">
        <f>CONVERT(G1756,"HP","kW")</f>
        <v>745.69987158227025</v>
      </c>
      <c r="I1756">
        <v>0.76349999999999996</v>
      </c>
      <c r="J1756">
        <v>2.0964</v>
      </c>
      <c r="K1756">
        <v>0.80389999999999995</v>
      </c>
      <c r="L1756">
        <v>0.2006</v>
      </c>
      <c r="M1756">
        <v>7.3099999999999998E-2</v>
      </c>
      <c r="N1756">
        <f>CONVERT(O1756,"lbf","N")</f>
        <v>3384.6518270517145</v>
      </c>
      <c r="O1756">
        <v>760.9</v>
      </c>
      <c r="P1756">
        <f t="shared" si="27"/>
        <v>0.36440677966101692</v>
      </c>
    </row>
    <row r="1757" spans="1:16" hidden="1" x14ac:dyDescent="0.25">
      <c r="A1757">
        <v>0</v>
      </c>
      <c r="B1757">
        <v>30000</v>
      </c>
      <c r="C1757">
        <f>1.225 * (1 - 0.00000687559 * B1757) ^ 4.2561</f>
        <v>0.45828836225470948</v>
      </c>
      <c r="D1757">
        <f>E1757*(SQRT($C$2/C1757))</f>
        <v>359.68415850957115</v>
      </c>
      <c r="E1757">
        <v>220</v>
      </c>
      <c r="F1757">
        <v>1215</v>
      </c>
      <c r="G1757">
        <v>1000</v>
      </c>
      <c r="H1757">
        <f>CONVERT(G1757,"HP","kW")</f>
        <v>745.69987158227025</v>
      </c>
      <c r="I1757">
        <v>0.62490000000000001</v>
      </c>
      <c r="J1757">
        <v>2.306</v>
      </c>
      <c r="K1757">
        <v>0.84319999999999995</v>
      </c>
      <c r="L1757">
        <v>0.2006</v>
      </c>
      <c r="M1757">
        <v>5.4399999999999997E-2</v>
      </c>
      <c r="N1757">
        <f>CONVERT(O1757,"lbf","N")</f>
        <v>2518.5830785604953</v>
      </c>
      <c r="O1757">
        <v>566.20000000000005</v>
      </c>
      <c r="P1757">
        <f t="shared" si="27"/>
        <v>0.2711864406779661</v>
      </c>
    </row>
    <row r="1758" spans="1:16" hidden="1" x14ac:dyDescent="0.25">
      <c r="A1758">
        <v>0</v>
      </c>
      <c r="B1758">
        <v>30000</v>
      </c>
      <c r="C1758">
        <f>1.225 * (1 - 0.00000687559 * B1758) ^ 4.2561</f>
        <v>0.45828836225470948</v>
      </c>
      <c r="D1758">
        <f>E1758*(SQRT($C$2/C1758))</f>
        <v>392.38271837407763</v>
      </c>
      <c r="E1758">
        <v>240</v>
      </c>
      <c r="F1758">
        <v>1215</v>
      </c>
      <c r="G1758">
        <v>1000</v>
      </c>
      <c r="H1758">
        <f>CONVERT(G1758,"HP","kW")</f>
        <v>745.69987158227025</v>
      </c>
      <c r="I1758">
        <v>0.37809999999999999</v>
      </c>
      <c r="J1758">
        <v>2.5156999999999998</v>
      </c>
      <c r="K1758">
        <v>0.88419999999999999</v>
      </c>
      <c r="L1758">
        <v>0.2006</v>
      </c>
      <c r="M1758">
        <v>3.0200000000000001E-2</v>
      </c>
      <c r="N1758">
        <f>CONVERT(O1758,"lbf","N")</f>
        <v>1396.741587191797</v>
      </c>
      <c r="O1758">
        <v>314</v>
      </c>
      <c r="P1758">
        <f t="shared" si="27"/>
        <v>0.15054835493519442</v>
      </c>
    </row>
    <row r="1759" spans="1:16" hidden="1" x14ac:dyDescent="0.25">
      <c r="A1759">
        <v>0</v>
      </c>
      <c r="B1759">
        <v>30000</v>
      </c>
      <c r="C1759">
        <f>1.225 * (1 - 0.00000687559 * B1759) ^ 4.2561</f>
        <v>0.45828836225470948</v>
      </c>
      <c r="D1759">
        <f>E1759*(SQRT($C$2/C1759))</f>
        <v>425.08127823858405</v>
      </c>
      <c r="E1759">
        <v>260</v>
      </c>
      <c r="F1759">
        <v>1215</v>
      </c>
      <c r="G1759">
        <v>1000</v>
      </c>
      <c r="H1759">
        <f>CONVERT(G1759,"HP","kW")</f>
        <v>745.69987158227025</v>
      </c>
      <c r="I1759">
        <v>0</v>
      </c>
      <c r="J1759">
        <v>2.7252999999999998</v>
      </c>
      <c r="K1759">
        <v>0.92679999999999996</v>
      </c>
      <c r="L1759">
        <v>0.2006</v>
      </c>
      <c r="M1759">
        <v>0</v>
      </c>
      <c r="N1759">
        <f>CONVERT(O1759,"lbf","N")</f>
        <v>0</v>
      </c>
      <c r="O1759">
        <v>0</v>
      </c>
      <c r="P1759">
        <f t="shared" si="27"/>
        <v>0</v>
      </c>
    </row>
    <row r="1760" spans="1:16" hidden="1" x14ac:dyDescent="0.25">
      <c r="A1760">
        <v>0</v>
      </c>
      <c r="B1760">
        <v>5000</v>
      </c>
      <c r="C1760">
        <f>1.225 * (1 - 0.00000687559 * B1760) ^ 4.2561</f>
        <v>1.0555380742846066</v>
      </c>
      <c r="D1760">
        <f>E1760*(SQRT($C$2/C1760))</f>
        <v>86.1828952243647</v>
      </c>
      <c r="E1760">
        <v>80</v>
      </c>
      <c r="F1760">
        <v>987</v>
      </c>
      <c r="G1760">
        <v>1250</v>
      </c>
      <c r="H1760">
        <f>CONVERT(G1760,"HP","kW")</f>
        <v>932.12483947783778</v>
      </c>
      <c r="I1760">
        <v>0.71189999999999998</v>
      </c>
      <c r="J1760">
        <v>0.68020000000000003</v>
      </c>
      <c r="K1760">
        <v>0.44629999999999997</v>
      </c>
      <c r="L1760">
        <v>0.2029</v>
      </c>
      <c r="M1760">
        <v>0.21229999999999999</v>
      </c>
      <c r="N1760">
        <f>CONVERT(O1760,"lbf","N")</f>
        <v>14966.931268867003</v>
      </c>
      <c r="O1760">
        <v>3364.7</v>
      </c>
      <c r="P1760">
        <f t="shared" si="27"/>
        <v>1.0463282405125678</v>
      </c>
    </row>
    <row r="1761" spans="1:16" hidden="1" x14ac:dyDescent="0.25">
      <c r="A1761">
        <v>0</v>
      </c>
      <c r="B1761">
        <v>5000</v>
      </c>
      <c r="C1761">
        <f>1.225 * (1 - 0.00000687559 * B1761) ^ 4.2561</f>
        <v>1.0555380742846066</v>
      </c>
      <c r="D1761">
        <f>E1761*(SQRT($C$2/C1761))</f>
        <v>0</v>
      </c>
      <c r="E1761">
        <v>0</v>
      </c>
      <c r="F1761">
        <v>987</v>
      </c>
      <c r="G1761">
        <v>1250</v>
      </c>
      <c r="H1761">
        <f>CONVERT(G1761,"HP","kW")</f>
        <v>932.12483947783778</v>
      </c>
      <c r="I1761">
        <v>0</v>
      </c>
      <c r="J1761">
        <v>0</v>
      </c>
      <c r="K1761">
        <v>0.41589999999999999</v>
      </c>
      <c r="L1761">
        <v>0.20300000000000001</v>
      </c>
      <c r="M1761">
        <v>0.27829999999999999</v>
      </c>
      <c r="N1761">
        <f>CONVERT(O1761,"lbf","N")</f>
        <v>19604.647124937605</v>
      </c>
      <c r="O1761">
        <v>4407.3</v>
      </c>
      <c r="P1761">
        <f t="shared" si="27"/>
        <v>1.3709359605911329</v>
      </c>
    </row>
    <row r="1762" spans="1:16" hidden="1" x14ac:dyDescent="0.25">
      <c r="A1762">
        <v>0</v>
      </c>
      <c r="B1762">
        <v>5000</v>
      </c>
      <c r="C1762">
        <f>1.225 * (1 - 0.00000687559 * B1762) ^ 4.2561</f>
        <v>1.0555380742846066</v>
      </c>
      <c r="D1762">
        <f>E1762*(SQRT($C$2/C1762))</f>
        <v>21.545723806091175</v>
      </c>
      <c r="E1762">
        <v>20</v>
      </c>
      <c r="F1762">
        <v>987</v>
      </c>
      <c r="G1762">
        <v>1250</v>
      </c>
      <c r="H1762">
        <f>CONVERT(G1762,"HP","kW")</f>
        <v>932.12483947783778</v>
      </c>
      <c r="I1762">
        <v>0.23499999999999999</v>
      </c>
      <c r="J1762">
        <v>0.17</v>
      </c>
      <c r="K1762">
        <v>0.42059999999999997</v>
      </c>
      <c r="L1762">
        <v>0.20300000000000001</v>
      </c>
      <c r="M1762">
        <v>0.28050000000000003</v>
      </c>
      <c r="N1762">
        <f>CONVERT(O1762,"lbf","N")</f>
        <v>19760.779703633245</v>
      </c>
      <c r="O1762">
        <v>4442.3999999999996</v>
      </c>
      <c r="P1762">
        <f t="shared" si="27"/>
        <v>1.3817733990147785</v>
      </c>
    </row>
    <row r="1763" spans="1:16" hidden="1" x14ac:dyDescent="0.25">
      <c r="A1763">
        <v>0</v>
      </c>
      <c r="B1763">
        <v>5000</v>
      </c>
      <c r="C1763">
        <f>1.225 * (1 - 0.00000687559 * B1763) ^ 4.2561</f>
        <v>1.0555380742846066</v>
      </c>
      <c r="D1763">
        <f>E1763*(SQRT($C$2/C1763))</f>
        <v>107.72861903045587</v>
      </c>
      <c r="E1763">
        <v>100</v>
      </c>
      <c r="F1763">
        <v>987</v>
      </c>
      <c r="G1763">
        <v>1250</v>
      </c>
      <c r="H1763">
        <f>CONVERT(G1763,"HP","kW")</f>
        <v>932.12483947783778</v>
      </c>
      <c r="I1763">
        <v>0.7823</v>
      </c>
      <c r="J1763">
        <v>0.85019999999999996</v>
      </c>
      <c r="K1763">
        <v>0.45810000000000001</v>
      </c>
      <c r="L1763">
        <v>0.20300000000000001</v>
      </c>
      <c r="M1763">
        <v>0.18679999999999999</v>
      </c>
      <c r="N1763">
        <f>CONVERT(O1763,"lbf","N")</f>
        <v>13156.949893617508</v>
      </c>
      <c r="O1763">
        <v>2957.8</v>
      </c>
      <c r="P1763">
        <f t="shared" si="27"/>
        <v>0.92019704433497529</v>
      </c>
    </row>
    <row r="1764" spans="1:16" hidden="1" x14ac:dyDescent="0.25">
      <c r="A1764">
        <v>0</v>
      </c>
      <c r="B1764">
        <v>5000</v>
      </c>
      <c r="C1764">
        <f>1.225 * (1 - 0.00000687559 * B1764) ^ 4.2561</f>
        <v>1.0555380742846066</v>
      </c>
      <c r="D1764">
        <f>E1764*(SQRT($C$2/C1764))</f>
        <v>43.09144761218235</v>
      </c>
      <c r="E1764">
        <v>40</v>
      </c>
      <c r="F1764">
        <v>987</v>
      </c>
      <c r="G1764">
        <v>1250</v>
      </c>
      <c r="H1764">
        <f>CONVERT(G1764,"HP","kW")</f>
        <v>932.12483947783778</v>
      </c>
      <c r="I1764">
        <v>0.44919999999999999</v>
      </c>
      <c r="J1764">
        <v>0.34010000000000001</v>
      </c>
      <c r="K1764">
        <v>0.42749999999999999</v>
      </c>
      <c r="L1764">
        <v>0.2031</v>
      </c>
      <c r="M1764">
        <v>0.26819999999999999</v>
      </c>
      <c r="N1764">
        <f>CONVERT(O1764,"lbf","N")</f>
        <v>18887.59380055761</v>
      </c>
      <c r="O1764">
        <v>4246.1000000000004</v>
      </c>
      <c r="P1764">
        <f t="shared" si="27"/>
        <v>1.3205317577548006</v>
      </c>
    </row>
    <row r="1765" spans="1:16" hidden="1" x14ac:dyDescent="0.25">
      <c r="A1765">
        <v>0</v>
      </c>
      <c r="B1765">
        <v>5000</v>
      </c>
      <c r="C1765">
        <f>1.225 * (1 - 0.00000687559 * B1765) ^ 4.2561</f>
        <v>1.0555380742846066</v>
      </c>
      <c r="D1765">
        <f>E1765*(SQRT($C$2/C1765))</f>
        <v>64.637171418273525</v>
      </c>
      <c r="E1765">
        <v>60</v>
      </c>
      <c r="F1765">
        <v>987</v>
      </c>
      <c r="G1765">
        <v>1250</v>
      </c>
      <c r="H1765">
        <f>CONVERT(G1765,"HP","kW")</f>
        <v>932.12483947783778</v>
      </c>
      <c r="I1765">
        <v>0.60580000000000001</v>
      </c>
      <c r="J1765">
        <v>0.5101</v>
      </c>
      <c r="K1765">
        <v>0.43619999999999998</v>
      </c>
      <c r="L1765">
        <v>0.2031</v>
      </c>
      <c r="M1765">
        <v>0.24110000000000001</v>
      </c>
      <c r="N1765">
        <f>CONVERT(O1765,"lbf","N")</f>
        <v>16981.086016256959</v>
      </c>
      <c r="O1765">
        <v>3817.5</v>
      </c>
      <c r="P1765">
        <f t="shared" si="27"/>
        <v>1.187099950763171</v>
      </c>
    </row>
    <row r="1766" spans="1:16" hidden="1" x14ac:dyDescent="0.25">
      <c r="A1766">
        <v>0</v>
      </c>
      <c r="B1766">
        <v>5000</v>
      </c>
      <c r="C1766">
        <f>1.225 * (1 - 0.00000687559 * B1766) ^ 4.2561</f>
        <v>1.0555380742846066</v>
      </c>
      <c r="D1766">
        <f>E1766*(SQRT($C$2/C1766))</f>
        <v>129.27434283654705</v>
      </c>
      <c r="E1766">
        <v>120</v>
      </c>
      <c r="F1766">
        <v>987</v>
      </c>
      <c r="G1766">
        <v>1250</v>
      </c>
      <c r="H1766">
        <f>CONVERT(G1766,"HP","kW")</f>
        <v>932.12483947783778</v>
      </c>
      <c r="I1766">
        <v>0.82850000000000001</v>
      </c>
      <c r="J1766">
        <v>1.0203</v>
      </c>
      <c r="K1766">
        <v>0.47160000000000002</v>
      </c>
      <c r="L1766">
        <v>0.2031</v>
      </c>
      <c r="M1766">
        <v>0.16489999999999999</v>
      </c>
      <c r="N1766">
        <f>CONVERT(O1766,"lbf","N")</f>
        <v>11612.972170960586</v>
      </c>
      <c r="O1766">
        <v>2610.6999999999998</v>
      </c>
      <c r="P1766">
        <f t="shared" si="27"/>
        <v>0.81191531265386507</v>
      </c>
    </row>
    <row r="1767" spans="1:16" hidden="1" x14ac:dyDescent="0.25">
      <c r="A1767">
        <v>0</v>
      </c>
      <c r="B1767">
        <v>5000</v>
      </c>
      <c r="C1767">
        <f>1.225 * (1 - 0.00000687559 * B1767) ^ 4.2561</f>
        <v>1.0555380742846066</v>
      </c>
      <c r="D1767">
        <f>E1767*(SQRT($C$2/C1767))</f>
        <v>150.82006664263821</v>
      </c>
      <c r="E1767">
        <v>140</v>
      </c>
      <c r="F1767">
        <v>987</v>
      </c>
      <c r="G1767">
        <v>1250</v>
      </c>
      <c r="H1767">
        <f>CONVERT(G1767,"HP","kW")</f>
        <v>932.12483947783778</v>
      </c>
      <c r="I1767">
        <v>0.85850000000000004</v>
      </c>
      <c r="J1767">
        <v>1.1902999999999999</v>
      </c>
      <c r="K1767">
        <v>0.48680000000000001</v>
      </c>
      <c r="L1767">
        <v>0.2031</v>
      </c>
      <c r="M1767">
        <v>0.14649999999999999</v>
      </c>
      <c r="N1767">
        <f>CONVERT(O1767,"lbf","N")</f>
        <v>10314.091459304522</v>
      </c>
      <c r="O1767">
        <v>2318.6999999999998</v>
      </c>
      <c r="P1767">
        <f t="shared" si="27"/>
        <v>0.72131954702117174</v>
      </c>
    </row>
    <row r="1768" spans="1:16" hidden="1" x14ac:dyDescent="0.25">
      <c r="A1768">
        <v>0</v>
      </c>
      <c r="B1768">
        <v>5000</v>
      </c>
      <c r="C1768">
        <f>1.225 * (1 - 0.00000687559 * B1768) ^ 4.2561</f>
        <v>1.0555380742846066</v>
      </c>
      <c r="D1768">
        <f>E1768*(SQRT($C$2/C1768))</f>
        <v>172.3657904487294</v>
      </c>
      <c r="E1768">
        <v>160</v>
      </c>
      <c r="F1768">
        <v>987</v>
      </c>
      <c r="G1768">
        <v>1250</v>
      </c>
      <c r="H1768">
        <f>CONVERT(G1768,"HP","kW")</f>
        <v>932.12483947783778</v>
      </c>
      <c r="I1768">
        <v>0.87739999999999996</v>
      </c>
      <c r="J1768">
        <v>1.3604000000000001</v>
      </c>
      <c r="K1768">
        <v>0.50360000000000005</v>
      </c>
      <c r="L1768">
        <v>0.2031</v>
      </c>
      <c r="M1768">
        <v>0.13100000000000001</v>
      </c>
      <c r="N1768">
        <f>CONVERT(O1768,"lbf","N")</f>
        <v>9223.3875192426458</v>
      </c>
      <c r="O1768">
        <v>2073.5</v>
      </c>
      <c r="P1768">
        <f t="shared" si="27"/>
        <v>0.64500246184145738</v>
      </c>
    </row>
    <row r="1769" spans="1:16" hidden="1" x14ac:dyDescent="0.25">
      <c r="A1769">
        <v>0</v>
      </c>
      <c r="B1769">
        <v>5000</v>
      </c>
      <c r="C1769">
        <f>1.225 * (1 - 0.00000687559 * B1769) ^ 4.2561</f>
        <v>1.0555380742846066</v>
      </c>
      <c r="D1769">
        <f>E1769*(SQRT($C$2/C1769))</f>
        <v>193.91151425482059</v>
      </c>
      <c r="E1769">
        <v>180</v>
      </c>
      <c r="F1769">
        <v>987</v>
      </c>
      <c r="G1769">
        <v>1250</v>
      </c>
      <c r="H1769">
        <f>CONVERT(G1769,"HP","kW")</f>
        <v>932.12483947783778</v>
      </c>
      <c r="I1769">
        <v>0.88859999999999995</v>
      </c>
      <c r="J1769">
        <v>1.5304</v>
      </c>
      <c r="K1769">
        <v>0.52190000000000003</v>
      </c>
      <c r="L1769">
        <v>0.2031</v>
      </c>
      <c r="M1769">
        <v>0.1179</v>
      </c>
      <c r="N1769">
        <f>CONVERT(O1769,"lbf","N")</f>
        <v>8303.4952892067759</v>
      </c>
      <c r="O1769">
        <v>1866.7</v>
      </c>
      <c r="P1769">
        <f t="shared" si="27"/>
        <v>0.58050221565731164</v>
      </c>
    </row>
    <row r="1770" spans="1:16" hidden="1" x14ac:dyDescent="0.25">
      <c r="A1770">
        <v>0</v>
      </c>
      <c r="B1770">
        <v>5000</v>
      </c>
      <c r="C1770">
        <f>1.225 * (1 - 0.00000687559 * B1770) ^ 4.2561</f>
        <v>1.0555380742846066</v>
      </c>
      <c r="D1770">
        <f>E1770*(SQRT($C$2/C1770))</f>
        <v>215.45723806091175</v>
      </c>
      <c r="E1770">
        <v>200</v>
      </c>
      <c r="F1770">
        <v>987</v>
      </c>
      <c r="G1770">
        <v>1250</v>
      </c>
      <c r="H1770">
        <f>CONVERT(G1770,"HP","kW")</f>
        <v>932.12483947783778</v>
      </c>
      <c r="I1770">
        <v>0.89429999999999998</v>
      </c>
      <c r="J1770">
        <v>1.7004999999999999</v>
      </c>
      <c r="K1770">
        <v>0.54159999999999997</v>
      </c>
      <c r="L1770">
        <v>0.2031</v>
      </c>
      <c r="M1770">
        <v>0.10680000000000001</v>
      </c>
      <c r="N1770">
        <f>CONVERT(O1770,"lbf","N")</f>
        <v>7520.608284920927</v>
      </c>
      <c r="O1770">
        <v>1690.7</v>
      </c>
      <c r="P1770">
        <f t="shared" si="27"/>
        <v>0.52584933530280653</v>
      </c>
    </row>
    <row r="1771" spans="1:16" hidden="1" x14ac:dyDescent="0.25">
      <c r="A1771">
        <v>0</v>
      </c>
      <c r="B1771">
        <v>5000</v>
      </c>
      <c r="C1771">
        <f>1.225 * (1 - 0.00000687559 * B1771) ^ 4.2561</f>
        <v>1.0555380742846066</v>
      </c>
      <c r="D1771">
        <f>E1771*(SQRT($C$2/C1771))</f>
        <v>237.00296186700291</v>
      </c>
      <c r="E1771">
        <v>220</v>
      </c>
      <c r="F1771">
        <v>987</v>
      </c>
      <c r="G1771">
        <v>1250</v>
      </c>
      <c r="H1771">
        <f>CONVERT(G1771,"HP","kW")</f>
        <v>932.12483947783778</v>
      </c>
      <c r="I1771">
        <v>0.89500000000000002</v>
      </c>
      <c r="J1771">
        <v>1.8705000000000001</v>
      </c>
      <c r="K1771">
        <v>0.56259999999999999</v>
      </c>
      <c r="L1771">
        <v>0.2031</v>
      </c>
      <c r="M1771">
        <v>9.7199999999999995E-2</v>
      </c>
      <c r="N1771">
        <f>CONVERT(O1771,"lbf","N")</f>
        <v>6842.6993107552262</v>
      </c>
      <c r="O1771">
        <v>1538.3</v>
      </c>
      <c r="P1771">
        <f t="shared" si="27"/>
        <v>0.4785819793205317</v>
      </c>
    </row>
    <row r="1772" spans="1:16" hidden="1" x14ac:dyDescent="0.25">
      <c r="A1772">
        <v>0</v>
      </c>
      <c r="B1772">
        <v>5000</v>
      </c>
      <c r="C1772">
        <f>1.225 * (1 - 0.00000687559 * B1772) ^ 4.2561</f>
        <v>1.0555380742846066</v>
      </c>
      <c r="D1772">
        <f>E1772*(SQRT($C$2/C1772))</f>
        <v>258.5486856730941</v>
      </c>
      <c r="E1772">
        <v>240</v>
      </c>
      <c r="F1772">
        <v>987</v>
      </c>
      <c r="G1772">
        <v>1250</v>
      </c>
      <c r="H1772">
        <f>CONVERT(G1772,"HP","kW")</f>
        <v>932.12483947783778</v>
      </c>
      <c r="I1772">
        <v>0.89039999999999997</v>
      </c>
      <c r="J1772">
        <v>2.0406</v>
      </c>
      <c r="K1772">
        <v>0.5847</v>
      </c>
      <c r="L1772">
        <v>0.2031</v>
      </c>
      <c r="M1772">
        <v>8.8599999999999998E-2</v>
      </c>
      <c r="N1772">
        <f>CONVERT(O1772,"lbf","N")</f>
        <v>6240.4101040489559</v>
      </c>
      <c r="O1772">
        <v>1402.9</v>
      </c>
      <c r="P1772">
        <f t="shared" si="27"/>
        <v>0.4362383062530773</v>
      </c>
    </row>
    <row r="1773" spans="1:16" hidden="1" x14ac:dyDescent="0.25">
      <c r="A1773">
        <v>0</v>
      </c>
      <c r="B1773">
        <v>10000</v>
      </c>
      <c r="C1773">
        <f>1.225 * (1 - 0.00000687559 * B1773) ^ 4.2561</f>
        <v>0.90462252368600637</v>
      </c>
      <c r="D1773">
        <f>E1773*(SQRT($C$2/C1773))</f>
        <v>69.820924711962206</v>
      </c>
      <c r="E1773">
        <v>60</v>
      </c>
      <c r="F1773">
        <v>1215</v>
      </c>
      <c r="G1773">
        <v>2000</v>
      </c>
      <c r="H1773">
        <f>CONVERT(G1773,"HP","kW")</f>
        <v>1491.3997431645405</v>
      </c>
      <c r="I1773">
        <v>0.55289999999999995</v>
      </c>
      <c r="J1773">
        <v>0.4476</v>
      </c>
      <c r="K1773">
        <v>0.54249999999999998</v>
      </c>
      <c r="L1773">
        <v>0.2031</v>
      </c>
      <c r="M1773">
        <v>0.25080000000000002</v>
      </c>
      <c r="N1773">
        <f>CONVERT(O1773,"lbf","N")</f>
        <v>22956.826934197914</v>
      </c>
      <c r="O1773">
        <v>5160.8999999999996</v>
      </c>
      <c r="P1773">
        <f t="shared" si="27"/>
        <v>1.2348596750369276</v>
      </c>
    </row>
    <row r="1774" spans="1:16" hidden="1" x14ac:dyDescent="0.25">
      <c r="A1774">
        <v>0</v>
      </c>
      <c r="B1774">
        <v>10000</v>
      </c>
      <c r="C1774">
        <f>1.225 * (1 - 0.00000687559 * B1774) ^ 4.2561</f>
        <v>0.90462252368600637</v>
      </c>
      <c r="D1774">
        <f>E1774*(SQRT($C$2/C1774))</f>
        <v>279.28369884784883</v>
      </c>
      <c r="E1774">
        <v>240</v>
      </c>
      <c r="F1774">
        <v>1215</v>
      </c>
      <c r="G1774">
        <v>2000</v>
      </c>
      <c r="H1774">
        <f>CONVERT(G1774,"HP","kW")</f>
        <v>1491.3997431645405</v>
      </c>
      <c r="I1774">
        <v>0.89149999999999996</v>
      </c>
      <c r="J1774">
        <v>1.7906</v>
      </c>
      <c r="K1774">
        <v>0.69269999999999998</v>
      </c>
      <c r="L1774">
        <v>0.2031</v>
      </c>
      <c r="M1774">
        <v>0.1011</v>
      </c>
      <c r="N1774">
        <f>CONVERT(O1774,"lbf","N")</f>
        <v>9254.5250705494709</v>
      </c>
      <c r="O1774">
        <v>2080.5</v>
      </c>
      <c r="P1774">
        <f t="shared" si="27"/>
        <v>0.49778434268833083</v>
      </c>
    </row>
    <row r="1775" spans="1:16" hidden="1" x14ac:dyDescent="0.25">
      <c r="A1775">
        <v>0</v>
      </c>
      <c r="B1775">
        <v>5000</v>
      </c>
      <c r="C1775">
        <f>1.225 * (1 - 0.00000687559 * B1775) ^ 4.2561</f>
        <v>1.0555380742846066</v>
      </c>
      <c r="D1775">
        <f>E1775*(SQRT($C$2/C1775))</f>
        <v>280.09440947918529</v>
      </c>
      <c r="E1775">
        <v>260</v>
      </c>
      <c r="F1775">
        <v>987</v>
      </c>
      <c r="G1775">
        <v>1250</v>
      </c>
      <c r="H1775">
        <f>CONVERT(G1775,"HP","kW")</f>
        <v>932.12483947783778</v>
      </c>
      <c r="I1775">
        <v>0.87939999999999996</v>
      </c>
      <c r="J1775">
        <v>2.2105999999999999</v>
      </c>
      <c r="K1775">
        <v>0.60770000000000002</v>
      </c>
      <c r="L1775">
        <v>0.20319999999999999</v>
      </c>
      <c r="M1775">
        <v>8.09E-2</v>
      </c>
      <c r="N1775">
        <f>CONVERT(O1775,"lbf","N")</f>
        <v>5689.2754459181797</v>
      </c>
      <c r="O1775">
        <v>1279</v>
      </c>
      <c r="P1775">
        <f t="shared" si="27"/>
        <v>0.39812992125984253</v>
      </c>
    </row>
    <row r="1776" spans="1:16" hidden="1" x14ac:dyDescent="0.25">
      <c r="A1776">
        <v>0</v>
      </c>
      <c r="B1776">
        <v>10000</v>
      </c>
      <c r="C1776">
        <f>1.225 * (1 - 0.00000687559 * B1776) ^ 4.2561</f>
        <v>0.90462252368600637</v>
      </c>
      <c r="D1776">
        <f>E1776*(SQRT($C$2/C1776))</f>
        <v>0</v>
      </c>
      <c r="E1776">
        <v>0</v>
      </c>
      <c r="F1776">
        <v>1215</v>
      </c>
      <c r="G1776">
        <v>2000</v>
      </c>
      <c r="H1776">
        <f>CONVERT(G1776,"HP","kW")</f>
        <v>1491.3997431645405</v>
      </c>
      <c r="I1776">
        <v>0</v>
      </c>
      <c r="J1776">
        <v>0</v>
      </c>
      <c r="K1776">
        <v>0.52139999999999997</v>
      </c>
      <c r="L1776">
        <v>0.20319999999999999</v>
      </c>
      <c r="M1776">
        <v>0.2767</v>
      </c>
      <c r="N1776">
        <f>CONVERT(O1776,"lbf","N")</f>
        <v>25313.939568124457</v>
      </c>
      <c r="O1776">
        <v>5690.8</v>
      </c>
      <c r="P1776">
        <f t="shared" si="27"/>
        <v>1.361712598425197</v>
      </c>
    </row>
    <row r="1777" spans="1:16" hidden="1" x14ac:dyDescent="0.25">
      <c r="A1777">
        <v>0</v>
      </c>
      <c r="B1777">
        <v>10000</v>
      </c>
      <c r="C1777">
        <f>1.225 * (1 - 0.00000687559 * B1777) ^ 4.2561</f>
        <v>0.90462252368600637</v>
      </c>
      <c r="D1777">
        <f>E1777*(SQRT($C$2/C1777))</f>
        <v>23.273641570654068</v>
      </c>
      <c r="E1777">
        <v>20</v>
      </c>
      <c r="F1777">
        <v>1215</v>
      </c>
      <c r="G1777">
        <v>2000</v>
      </c>
      <c r="H1777">
        <f>CONVERT(G1777,"HP","kW")</f>
        <v>1491.3997431645405</v>
      </c>
      <c r="I1777">
        <v>0.2036</v>
      </c>
      <c r="J1777">
        <v>0.1492</v>
      </c>
      <c r="K1777">
        <v>0.52649999999999997</v>
      </c>
      <c r="L1777">
        <v>0.20319999999999999</v>
      </c>
      <c r="M1777">
        <v>0.27729999999999999</v>
      </c>
      <c r="N1777">
        <f>CONVERT(O1777,"lbf","N")</f>
        <v>25358.866606438583</v>
      </c>
      <c r="O1777">
        <v>5700.9</v>
      </c>
      <c r="P1777">
        <f t="shared" si="27"/>
        <v>1.3646653543307086</v>
      </c>
    </row>
    <row r="1778" spans="1:16" hidden="1" x14ac:dyDescent="0.25">
      <c r="A1778">
        <v>0</v>
      </c>
      <c r="B1778">
        <v>10000</v>
      </c>
      <c r="C1778">
        <f>1.225 * (1 - 0.00000687559 * B1778) ^ 4.2561</f>
        <v>0.90462252368600637</v>
      </c>
      <c r="D1778">
        <f>E1778*(SQRT($C$2/C1778))</f>
        <v>46.547283141308135</v>
      </c>
      <c r="E1778">
        <v>40</v>
      </c>
      <c r="F1778">
        <v>1215</v>
      </c>
      <c r="G1778">
        <v>2000</v>
      </c>
      <c r="H1778">
        <f>CONVERT(G1778,"HP","kW")</f>
        <v>1491.3997431645405</v>
      </c>
      <c r="I1778">
        <v>0.39760000000000001</v>
      </c>
      <c r="J1778">
        <v>0.2984</v>
      </c>
      <c r="K1778">
        <v>0.53359999999999996</v>
      </c>
      <c r="L1778">
        <v>0.20319999999999999</v>
      </c>
      <c r="M1778">
        <v>0.2707</v>
      </c>
      <c r="N1778">
        <f>CONVERT(O1778,"lbf","N")</f>
        <v>24765.029020801307</v>
      </c>
      <c r="O1778">
        <v>5567.4</v>
      </c>
      <c r="P1778">
        <f t="shared" si="27"/>
        <v>1.3321850393700787</v>
      </c>
    </row>
    <row r="1779" spans="1:16" hidden="1" x14ac:dyDescent="0.25">
      <c r="A1779">
        <v>0</v>
      </c>
      <c r="B1779">
        <v>10000</v>
      </c>
      <c r="C1779">
        <f>1.225 * (1 - 0.00000687559 * B1779) ^ 4.2561</f>
        <v>0.90462252368600637</v>
      </c>
      <c r="D1779">
        <f>E1779*(SQRT($C$2/C1779))</f>
        <v>139.64184942392441</v>
      </c>
      <c r="E1779">
        <v>120</v>
      </c>
      <c r="F1779">
        <v>1215</v>
      </c>
      <c r="G1779">
        <v>2000</v>
      </c>
      <c r="H1779">
        <f>CONVERT(G1779,"HP","kW")</f>
        <v>1491.3997431645405</v>
      </c>
      <c r="I1779">
        <v>0.79500000000000004</v>
      </c>
      <c r="J1779">
        <v>0.89529999999999998</v>
      </c>
      <c r="K1779">
        <v>0.57840000000000003</v>
      </c>
      <c r="L1779">
        <v>0.20319999999999999</v>
      </c>
      <c r="M1779">
        <v>0.1804</v>
      </c>
      <c r="N1779">
        <f>CONVERT(O1779,"lbf","N")</f>
        <v>16505.571125585611</v>
      </c>
      <c r="O1779">
        <v>3710.6</v>
      </c>
      <c r="P1779">
        <f t="shared" si="27"/>
        <v>0.88779527559055127</v>
      </c>
    </row>
    <row r="1780" spans="1:16" hidden="1" x14ac:dyDescent="0.25">
      <c r="A1780">
        <v>0</v>
      </c>
      <c r="B1780">
        <v>10000</v>
      </c>
      <c r="C1780">
        <f>1.225 * (1 - 0.00000687559 * B1780) ^ 4.2561</f>
        <v>0.90462252368600637</v>
      </c>
      <c r="D1780">
        <f>E1780*(SQRT($C$2/C1780))</f>
        <v>162.91549099457848</v>
      </c>
      <c r="E1780">
        <v>140</v>
      </c>
      <c r="F1780">
        <v>1215</v>
      </c>
      <c r="G1780">
        <v>2000</v>
      </c>
      <c r="H1780">
        <f>CONVERT(G1780,"HP","kW")</f>
        <v>1491.3997431645405</v>
      </c>
      <c r="I1780">
        <v>0.8327</v>
      </c>
      <c r="J1780">
        <v>1.0445</v>
      </c>
      <c r="K1780">
        <v>0.59370000000000001</v>
      </c>
      <c r="L1780">
        <v>0.20319999999999999</v>
      </c>
      <c r="M1780">
        <v>0.16200000000000001</v>
      </c>
      <c r="N1780">
        <f>CONVERT(O1780,"lbf","N")</f>
        <v>14817.026200432725</v>
      </c>
      <c r="O1780">
        <v>3331</v>
      </c>
      <c r="P1780">
        <f t="shared" si="27"/>
        <v>0.797244094488189</v>
      </c>
    </row>
    <row r="1781" spans="1:16" hidden="1" x14ac:dyDescent="0.25">
      <c r="A1781">
        <v>0</v>
      </c>
      <c r="B1781">
        <v>10000</v>
      </c>
      <c r="C1781">
        <f>1.225 * (1 - 0.00000687559 * B1781) ^ 4.2561</f>
        <v>0.90462252368600637</v>
      </c>
      <c r="D1781">
        <f>E1781*(SQRT($C$2/C1781))</f>
        <v>186.18913256523254</v>
      </c>
      <c r="E1781">
        <v>160</v>
      </c>
      <c r="F1781">
        <v>1215</v>
      </c>
      <c r="G1781">
        <v>2000</v>
      </c>
      <c r="H1781">
        <f>CONVERT(G1781,"HP","kW")</f>
        <v>1491.3997431645405</v>
      </c>
      <c r="I1781">
        <v>0.85840000000000005</v>
      </c>
      <c r="J1781">
        <v>1.1937</v>
      </c>
      <c r="K1781">
        <v>0.61050000000000004</v>
      </c>
      <c r="L1781">
        <v>0.20319999999999999</v>
      </c>
      <c r="M1781">
        <v>0.14610000000000001</v>
      </c>
      <c r="N1781">
        <f>CONVERT(O1781,"lbf","N")</f>
        <v>13366.461131696276</v>
      </c>
      <c r="O1781">
        <v>3004.9</v>
      </c>
      <c r="P1781">
        <f t="shared" si="27"/>
        <v>0.71899606299212604</v>
      </c>
    </row>
    <row r="1782" spans="1:16" hidden="1" x14ac:dyDescent="0.25">
      <c r="A1782">
        <v>0</v>
      </c>
      <c r="B1782">
        <v>10000</v>
      </c>
      <c r="C1782">
        <f>1.225 * (1 - 0.00000687559 * B1782) ^ 4.2561</f>
        <v>0.90462252368600637</v>
      </c>
      <c r="D1782">
        <f>E1782*(SQRT($C$2/C1782))</f>
        <v>209.4627741358866</v>
      </c>
      <c r="E1782">
        <v>180</v>
      </c>
      <c r="F1782">
        <v>1215</v>
      </c>
      <c r="G1782">
        <v>2000</v>
      </c>
      <c r="H1782">
        <f>CONVERT(G1782,"HP","kW")</f>
        <v>1491.3997431645405</v>
      </c>
      <c r="I1782">
        <v>0.87570000000000003</v>
      </c>
      <c r="J1782">
        <v>1.3429</v>
      </c>
      <c r="K1782">
        <v>0.629</v>
      </c>
      <c r="L1782">
        <v>0.20319999999999999</v>
      </c>
      <c r="M1782">
        <v>0.13250000000000001</v>
      </c>
      <c r="N1782">
        <f>CONVERT(O1782,"lbf","N")</f>
        <v>12120.959079423337</v>
      </c>
      <c r="O1782">
        <v>2724.9</v>
      </c>
      <c r="P1782">
        <f t="shared" si="27"/>
        <v>0.65206692913385833</v>
      </c>
    </row>
    <row r="1783" spans="1:16" hidden="1" x14ac:dyDescent="0.25">
      <c r="A1783">
        <v>0</v>
      </c>
      <c r="B1783">
        <v>10000</v>
      </c>
      <c r="C1783">
        <f>1.225 * (1 - 0.00000687559 * B1783) ^ 4.2561</f>
        <v>0.90462252368600637</v>
      </c>
      <c r="D1783">
        <f>E1783*(SQRT($C$2/C1783))</f>
        <v>232.73641570654067</v>
      </c>
      <c r="E1783">
        <v>200</v>
      </c>
      <c r="F1783">
        <v>1215</v>
      </c>
      <c r="G1783">
        <v>2000</v>
      </c>
      <c r="H1783">
        <f>CONVERT(G1783,"HP","kW")</f>
        <v>1491.3997431645405</v>
      </c>
      <c r="I1783">
        <v>0.88680000000000003</v>
      </c>
      <c r="J1783">
        <v>1.4922</v>
      </c>
      <c r="K1783">
        <v>0.64890000000000003</v>
      </c>
      <c r="L1783">
        <v>0.20319999999999999</v>
      </c>
      <c r="M1783">
        <v>0.1207</v>
      </c>
      <c r="N1783">
        <f>CONVERT(O1783,"lbf","N")</f>
        <v>11046.713559337926</v>
      </c>
      <c r="O1783">
        <v>2483.4</v>
      </c>
      <c r="P1783">
        <f t="shared" si="27"/>
        <v>0.59399606299212604</v>
      </c>
    </row>
    <row r="1784" spans="1:16" hidden="1" x14ac:dyDescent="0.25">
      <c r="A1784">
        <v>0</v>
      </c>
      <c r="B1784">
        <v>10000</v>
      </c>
      <c r="C1784">
        <f>1.225 * (1 - 0.00000687559 * B1784) ^ 4.2561</f>
        <v>0.90462252368600637</v>
      </c>
      <c r="D1784">
        <f>E1784*(SQRT($C$2/C1784))</f>
        <v>256.01005727719473</v>
      </c>
      <c r="E1784">
        <v>220</v>
      </c>
      <c r="F1784">
        <v>1215</v>
      </c>
      <c r="G1784">
        <v>2000</v>
      </c>
      <c r="H1784">
        <f>CONVERT(G1784,"HP","kW")</f>
        <v>1491.3997431645405</v>
      </c>
      <c r="I1784">
        <v>0.89290000000000003</v>
      </c>
      <c r="J1784">
        <v>1.6414</v>
      </c>
      <c r="K1784">
        <v>0.67010000000000003</v>
      </c>
      <c r="L1784">
        <v>0.20319999999999999</v>
      </c>
      <c r="M1784">
        <v>0.1105</v>
      </c>
      <c r="N1784">
        <f>CONVERT(O1784,"lbf","N")</f>
        <v>10111.697375810169</v>
      </c>
      <c r="O1784">
        <v>2273.1999999999998</v>
      </c>
      <c r="P1784">
        <f t="shared" si="27"/>
        <v>0.54379921259842523</v>
      </c>
    </row>
    <row r="1785" spans="1:16" hidden="1" x14ac:dyDescent="0.25">
      <c r="A1785">
        <v>0</v>
      </c>
      <c r="B1785">
        <v>10000</v>
      </c>
      <c r="C1785">
        <f>1.225 * (1 - 0.00000687559 * B1785) ^ 4.2561</f>
        <v>0.90462252368600637</v>
      </c>
      <c r="D1785">
        <f>E1785*(SQRT($C$2/C1785))</f>
        <v>302.55734041850286</v>
      </c>
      <c r="E1785">
        <v>260</v>
      </c>
      <c r="F1785">
        <v>1215</v>
      </c>
      <c r="G1785">
        <v>2000</v>
      </c>
      <c r="H1785">
        <f>CONVERT(G1785,"HP","kW")</f>
        <v>1491.3997431645405</v>
      </c>
      <c r="I1785">
        <v>0.87619999999999998</v>
      </c>
      <c r="J1785">
        <v>1.9398</v>
      </c>
      <c r="K1785">
        <v>0.71630000000000005</v>
      </c>
      <c r="L1785">
        <v>0.20319999999999999</v>
      </c>
      <c r="M1785">
        <v>9.1800000000000007E-2</v>
      </c>
      <c r="N1785">
        <f>CONVERT(O1785,"lbf","N")</f>
        <v>8396.0182988041943</v>
      </c>
      <c r="O1785">
        <v>1887.5</v>
      </c>
      <c r="P1785">
        <f t="shared" si="27"/>
        <v>0.45177165354330712</v>
      </c>
    </row>
    <row r="1786" spans="1:16" hidden="1" x14ac:dyDescent="0.25">
      <c r="A1786">
        <v>0</v>
      </c>
      <c r="B1786">
        <v>10000</v>
      </c>
      <c r="C1786">
        <f>1.225 * (1 - 0.00000687559 * B1786) ^ 4.2561</f>
        <v>0.90462252368600637</v>
      </c>
      <c r="D1786">
        <f>E1786*(SQRT($C$2/C1786))</f>
        <v>93.09456628261627</v>
      </c>
      <c r="E1786">
        <v>80</v>
      </c>
      <c r="F1786">
        <v>1215</v>
      </c>
      <c r="G1786">
        <v>2000</v>
      </c>
      <c r="H1786">
        <f>CONVERT(G1786,"HP","kW")</f>
        <v>1491.3997431645405</v>
      </c>
      <c r="I1786">
        <v>0.66320000000000001</v>
      </c>
      <c r="J1786">
        <v>0.59689999999999999</v>
      </c>
      <c r="K1786">
        <v>0.55289999999999995</v>
      </c>
      <c r="L1786">
        <v>0.20330000000000001</v>
      </c>
      <c r="M1786">
        <v>0.22589999999999999</v>
      </c>
      <c r="N1786">
        <f>CONVERT(O1786,"lbf","N")</f>
        <v>20652.203315331451</v>
      </c>
      <c r="O1786">
        <v>4642.8</v>
      </c>
      <c r="P1786">
        <f t="shared" si="27"/>
        <v>1.1111657648794884</v>
      </c>
    </row>
    <row r="1787" spans="1:16" hidden="1" x14ac:dyDescent="0.25">
      <c r="A1787">
        <v>0</v>
      </c>
      <c r="B1787">
        <v>10000</v>
      </c>
      <c r="C1787">
        <f>1.225 * (1 - 0.00000687559 * B1787) ^ 4.2561</f>
        <v>0.90462252368600637</v>
      </c>
      <c r="D1787">
        <f>E1787*(SQRT($C$2/C1787))</f>
        <v>116.36820785327033</v>
      </c>
      <c r="E1787">
        <v>100</v>
      </c>
      <c r="F1787">
        <v>1215</v>
      </c>
      <c r="G1787">
        <v>2000</v>
      </c>
      <c r="H1787">
        <f>CONVERT(G1787,"HP","kW")</f>
        <v>1491.3997431645405</v>
      </c>
      <c r="I1787">
        <v>0.74060000000000004</v>
      </c>
      <c r="J1787">
        <v>0.74609999999999999</v>
      </c>
      <c r="K1787">
        <v>0.56489999999999996</v>
      </c>
      <c r="L1787">
        <v>0.20330000000000001</v>
      </c>
      <c r="M1787">
        <v>0.20180000000000001</v>
      </c>
      <c r="N1787">
        <f>CONVERT(O1787,"lbf","N")</f>
        <v>18451.668082262084</v>
      </c>
      <c r="O1787">
        <v>4148.1000000000004</v>
      </c>
      <c r="P1787">
        <f t="shared" si="27"/>
        <v>0.99262174126906044</v>
      </c>
    </row>
    <row r="1788" spans="1:16" hidden="1" x14ac:dyDescent="0.25">
      <c r="A1788">
        <v>0</v>
      </c>
      <c r="B1788">
        <v>5000</v>
      </c>
      <c r="C1788">
        <f>1.225 * (1 - 0.00000687559 * B1788) ^ 4.2561</f>
        <v>1.0555380742846066</v>
      </c>
      <c r="D1788">
        <f>E1788*(SQRT($C$2/C1788))</f>
        <v>0</v>
      </c>
      <c r="E1788">
        <v>0</v>
      </c>
      <c r="F1788">
        <v>1150</v>
      </c>
      <c r="G1788">
        <v>2000</v>
      </c>
      <c r="H1788">
        <f>CONVERT(G1788,"HP","kW")</f>
        <v>1491.3997431645405</v>
      </c>
      <c r="I1788">
        <v>0</v>
      </c>
      <c r="J1788">
        <v>0</v>
      </c>
      <c r="K1788">
        <v>0.48470000000000002</v>
      </c>
      <c r="L1788">
        <v>0.20530000000000001</v>
      </c>
      <c r="M1788">
        <v>0.2777</v>
      </c>
      <c r="N1788">
        <f>CONVERT(O1788,"lbf","N")</f>
        <v>26558.107153912817</v>
      </c>
      <c r="O1788">
        <v>5970.5</v>
      </c>
      <c r="P1788">
        <f t="shared" si="27"/>
        <v>1.3526546517291766</v>
      </c>
    </row>
    <row r="1789" spans="1:16" hidden="1" x14ac:dyDescent="0.25">
      <c r="A1789">
        <v>0</v>
      </c>
      <c r="B1789">
        <v>5000</v>
      </c>
      <c r="C1789">
        <f>1.225 * (1 - 0.00000687559 * B1789) ^ 4.2561</f>
        <v>1.0555380742846066</v>
      </c>
      <c r="D1789">
        <f>E1789*(SQRT($C$2/C1789))</f>
        <v>64.637171418273525</v>
      </c>
      <c r="E1789">
        <v>60</v>
      </c>
      <c r="F1789">
        <v>1150</v>
      </c>
      <c r="G1789">
        <v>2000</v>
      </c>
      <c r="H1789">
        <f>CONVERT(G1789,"HP","kW")</f>
        <v>1491.3997431645405</v>
      </c>
      <c r="I1789">
        <v>0.54349999999999998</v>
      </c>
      <c r="J1789">
        <v>0.43780000000000002</v>
      </c>
      <c r="K1789">
        <v>0.50360000000000005</v>
      </c>
      <c r="L1789">
        <v>0.20530000000000001</v>
      </c>
      <c r="M1789">
        <v>0.25480000000000003</v>
      </c>
      <c r="N1789">
        <f>CONVERT(O1789,"lbf","N")</f>
        <v>24378.478562435168</v>
      </c>
      <c r="O1789">
        <v>5480.5</v>
      </c>
      <c r="P1789">
        <f t="shared" si="27"/>
        <v>1.2411105698977107</v>
      </c>
    </row>
    <row r="1790" spans="1:16" hidden="1" x14ac:dyDescent="0.25">
      <c r="A1790">
        <v>0</v>
      </c>
      <c r="B1790">
        <v>5000</v>
      </c>
      <c r="C1790">
        <f>1.225 * (1 - 0.00000687559 * B1790) ^ 4.2561</f>
        <v>1.0555380742846066</v>
      </c>
      <c r="D1790">
        <f>E1790*(SQRT($C$2/C1790))</f>
        <v>86.1828952243647</v>
      </c>
      <c r="E1790">
        <v>80</v>
      </c>
      <c r="F1790">
        <v>1150</v>
      </c>
      <c r="G1790">
        <v>2000</v>
      </c>
      <c r="H1790">
        <f>CONVERT(G1790,"HP","kW")</f>
        <v>1491.3997431645405</v>
      </c>
      <c r="I1790">
        <v>0.65490000000000004</v>
      </c>
      <c r="J1790">
        <v>0.58379999999999999</v>
      </c>
      <c r="K1790">
        <v>0.51300000000000001</v>
      </c>
      <c r="L1790">
        <v>0.20530000000000001</v>
      </c>
      <c r="M1790">
        <v>0.2303</v>
      </c>
      <c r="N1790">
        <f>CONVERT(O1790,"lbf","N")</f>
        <v>22030.262371739154</v>
      </c>
      <c r="O1790">
        <v>4952.6000000000004</v>
      </c>
      <c r="P1790">
        <f t="shared" si="27"/>
        <v>1.1217730150998539</v>
      </c>
    </row>
    <row r="1791" spans="1:16" hidden="1" x14ac:dyDescent="0.25">
      <c r="A1791">
        <v>0</v>
      </c>
      <c r="B1791">
        <v>5000</v>
      </c>
      <c r="C1791">
        <f>1.225 * (1 - 0.00000687559 * B1791) ^ 4.2561</f>
        <v>1.0555380742846066</v>
      </c>
      <c r="D1791">
        <f>E1791*(SQRT($C$2/C1791))</f>
        <v>21.545723806091175</v>
      </c>
      <c r="E1791">
        <v>20</v>
      </c>
      <c r="F1791">
        <v>1150</v>
      </c>
      <c r="G1791">
        <v>2000</v>
      </c>
      <c r="H1791">
        <f>CONVERT(G1791,"HP","kW")</f>
        <v>1491.3997431645405</v>
      </c>
      <c r="I1791">
        <v>0.19889999999999999</v>
      </c>
      <c r="J1791">
        <v>0.1459</v>
      </c>
      <c r="K1791">
        <v>0.48930000000000001</v>
      </c>
      <c r="L1791">
        <v>0.2054</v>
      </c>
      <c r="M1791">
        <v>0.27989999999999998</v>
      </c>
      <c r="N1791">
        <f>CONVERT(O1791,"lbf","N")</f>
        <v>26757.832304438009</v>
      </c>
      <c r="O1791">
        <v>6015.4</v>
      </c>
      <c r="P1791">
        <f t="shared" si="27"/>
        <v>1.3627069133398246</v>
      </c>
    </row>
    <row r="1792" spans="1:16" hidden="1" x14ac:dyDescent="0.25">
      <c r="A1792">
        <v>0</v>
      </c>
      <c r="B1792">
        <v>5000</v>
      </c>
      <c r="C1792">
        <f>1.225 * (1 - 0.00000687559 * B1792) ^ 4.2561</f>
        <v>1.0555380742846066</v>
      </c>
      <c r="D1792">
        <f>E1792*(SQRT($C$2/C1792))</f>
        <v>43.09144761218235</v>
      </c>
      <c r="E1792">
        <v>40</v>
      </c>
      <c r="F1792">
        <v>1150</v>
      </c>
      <c r="G1792">
        <v>2000</v>
      </c>
      <c r="H1792">
        <f>CONVERT(G1792,"HP","kW")</f>
        <v>1491.3997431645405</v>
      </c>
      <c r="I1792">
        <v>0.38900000000000001</v>
      </c>
      <c r="J1792">
        <v>0.29189999999999999</v>
      </c>
      <c r="K1792">
        <v>0.49559999999999998</v>
      </c>
      <c r="L1792">
        <v>0.2054</v>
      </c>
      <c r="M1792">
        <v>0.27379999999999999</v>
      </c>
      <c r="N1792">
        <f>CONVERT(O1792,"lbf","N")</f>
        <v>26173.780806354309</v>
      </c>
      <c r="O1792">
        <v>5884.1</v>
      </c>
      <c r="P1792">
        <f t="shared" si="27"/>
        <v>1.3330087633885102</v>
      </c>
    </row>
    <row r="1793" spans="1:16" hidden="1" x14ac:dyDescent="0.25">
      <c r="A1793">
        <v>0</v>
      </c>
      <c r="B1793">
        <v>5000</v>
      </c>
      <c r="C1793">
        <f>1.225 * (1 - 0.00000687559 * B1793) ^ 4.2561</f>
        <v>1.0555380742846066</v>
      </c>
      <c r="D1793">
        <f>E1793*(SQRT($C$2/C1793))</f>
        <v>107.72861903045587</v>
      </c>
      <c r="E1793">
        <v>100</v>
      </c>
      <c r="F1793">
        <v>1150</v>
      </c>
      <c r="G1793">
        <v>2000</v>
      </c>
      <c r="H1793">
        <f>CONVERT(G1793,"HP","kW")</f>
        <v>1491.3997431645405</v>
      </c>
      <c r="I1793">
        <v>0.73329999999999995</v>
      </c>
      <c r="J1793">
        <v>0.72970000000000002</v>
      </c>
      <c r="K1793">
        <v>0.52380000000000004</v>
      </c>
      <c r="L1793">
        <v>0.2054</v>
      </c>
      <c r="M1793">
        <v>0.20649999999999999</v>
      </c>
      <c r="N1793">
        <f>CONVERT(O1793,"lbf","N")</f>
        <v>19734.980018264738</v>
      </c>
      <c r="O1793">
        <v>4436.6000000000004</v>
      </c>
      <c r="P1793">
        <f t="shared" si="27"/>
        <v>1.0053554040895814</v>
      </c>
    </row>
    <row r="1794" spans="1:16" hidden="1" x14ac:dyDescent="0.25">
      <c r="A1794">
        <v>0</v>
      </c>
      <c r="B1794">
        <v>5000</v>
      </c>
      <c r="C1794">
        <f>1.225 * (1 - 0.00000687559 * B1794) ^ 4.2561</f>
        <v>1.0555380742846066</v>
      </c>
      <c r="D1794">
        <f>E1794*(SQRT($C$2/C1794))</f>
        <v>129.27434283654705</v>
      </c>
      <c r="E1794">
        <v>120</v>
      </c>
      <c r="F1794">
        <v>1150</v>
      </c>
      <c r="G1794">
        <v>2000</v>
      </c>
      <c r="H1794">
        <f>CONVERT(G1794,"HP","kW")</f>
        <v>1491.3997431645405</v>
      </c>
      <c r="I1794">
        <v>0.78890000000000005</v>
      </c>
      <c r="J1794">
        <v>0.87570000000000003</v>
      </c>
      <c r="K1794">
        <v>0.53590000000000004</v>
      </c>
      <c r="L1794">
        <v>0.2054</v>
      </c>
      <c r="M1794">
        <v>0.185</v>
      </c>
      <c r="N1794">
        <f>CONVERT(O1794,"lbf","N")</f>
        <v>17691.467008214062</v>
      </c>
      <c r="O1794">
        <v>3977.2</v>
      </c>
      <c r="P1794">
        <f t="shared" si="27"/>
        <v>0.90068159688412852</v>
      </c>
    </row>
    <row r="1795" spans="1:16" hidden="1" x14ac:dyDescent="0.25">
      <c r="A1795">
        <v>0</v>
      </c>
      <c r="B1795">
        <v>5000</v>
      </c>
      <c r="C1795">
        <f>1.225 * (1 - 0.00000687559 * B1795) ^ 4.2561</f>
        <v>1.0555380742846066</v>
      </c>
      <c r="D1795">
        <f>E1795*(SQRT($C$2/C1795))</f>
        <v>150.82006664263821</v>
      </c>
      <c r="E1795">
        <v>140</v>
      </c>
      <c r="F1795">
        <v>1150</v>
      </c>
      <c r="G1795">
        <v>2000</v>
      </c>
      <c r="H1795">
        <f>CONVERT(G1795,"HP","kW")</f>
        <v>1491.3997431645405</v>
      </c>
      <c r="I1795">
        <v>0.8276</v>
      </c>
      <c r="J1795">
        <v>1.0216000000000001</v>
      </c>
      <c r="K1795">
        <v>0.54949999999999999</v>
      </c>
      <c r="L1795">
        <v>0.2054</v>
      </c>
      <c r="M1795">
        <v>0.16639999999999999</v>
      </c>
      <c r="N1795">
        <f>CONVERT(O1795,"lbf","N")</f>
        <v>15908.619784817653</v>
      </c>
      <c r="O1795">
        <v>3576.4</v>
      </c>
      <c r="P1795">
        <f t="shared" ref="P1795:P1858" si="28">M1795/L1795</f>
        <v>0.810126582278481</v>
      </c>
    </row>
    <row r="1796" spans="1:16" hidden="1" x14ac:dyDescent="0.25">
      <c r="A1796">
        <v>0</v>
      </c>
      <c r="B1796">
        <v>5000</v>
      </c>
      <c r="C1796">
        <f>1.225 * (1 - 0.00000687559 * B1796) ^ 4.2561</f>
        <v>1.0555380742846066</v>
      </c>
      <c r="D1796">
        <f>E1796*(SQRT($C$2/C1796))</f>
        <v>172.3657904487294</v>
      </c>
      <c r="E1796">
        <v>160</v>
      </c>
      <c r="F1796">
        <v>1150</v>
      </c>
      <c r="G1796">
        <v>2000</v>
      </c>
      <c r="H1796">
        <f>CONVERT(G1796,"HP","kW")</f>
        <v>1491.3997431645405</v>
      </c>
      <c r="I1796">
        <v>0.85440000000000005</v>
      </c>
      <c r="J1796">
        <v>1.1676</v>
      </c>
      <c r="K1796">
        <v>0.56459999999999999</v>
      </c>
      <c r="L1796">
        <v>0.2054</v>
      </c>
      <c r="M1796">
        <v>0.15029999999999999</v>
      </c>
      <c r="N1796">
        <f>CONVERT(O1796,"lbf","N")</f>
        <v>14370.424750260572</v>
      </c>
      <c r="O1796">
        <v>3230.6</v>
      </c>
      <c r="P1796">
        <f t="shared" si="28"/>
        <v>0.73174294060370004</v>
      </c>
    </row>
    <row r="1797" spans="1:16" hidden="1" x14ac:dyDescent="0.25">
      <c r="A1797">
        <v>0</v>
      </c>
      <c r="B1797">
        <v>5000</v>
      </c>
      <c r="C1797">
        <f>1.225 * (1 - 0.00000687559 * B1797) ^ 4.2561</f>
        <v>1.0555380742846066</v>
      </c>
      <c r="D1797">
        <f>E1797*(SQRT($C$2/C1797))</f>
        <v>193.91151425482059</v>
      </c>
      <c r="E1797">
        <v>180</v>
      </c>
      <c r="F1797">
        <v>1150</v>
      </c>
      <c r="G1797">
        <v>2000</v>
      </c>
      <c r="H1797">
        <f>CONVERT(G1797,"HP","kW")</f>
        <v>1491.3997431645405</v>
      </c>
      <c r="I1797">
        <v>0.87260000000000004</v>
      </c>
      <c r="J1797">
        <v>1.3134999999999999</v>
      </c>
      <c r="K1797">
        <v>0.58109999999999995</v>
      </c>
      <c r="L1797">
        <v>0.2054</v>
      </c>
      <c r="M1797">
        <v>0.13650000000000001</v>
      </c>
      <c r="N1797">
        <f>CONVERT(O1797,"lbf","N")</f>
        <v>13045.744353235996</v>
      </c>
      <c r="O1797">
        <v>2932.8</v>
      </c>
      <c r="P1797">
        <f t="shared" si="28"/>
        <v>0.66455696202531656</v>
      </c>
    </row>
    <row r="1798" spans="1:16" hidden="1" x14ac:dyDescent="0.25">
      <c r="A1798">
        <v>0</v>
      </c>
      <c r="B1798">
        <v>5000</v>
      </c>
      <c r="C1798">
        <f>1.225 * (1 - 0.00000687559 * B1798) ^ 4.2561</f>
        <v>1.0555380742846066</v>
      </c>
      <c r="D1798">
        <f>E1798*(SQRT($C$2/C1798))</f>
        <v>215.45723806091175</v>
      </c>
      <c r="E1798">
        <v>200</v>
      </c>
      <c r="F1798">
        <v>1150</v>
      </c>
      <c r="G1798">
        <v>2000</v>
      </c>
      <c r="H1798">
        <f>CONVERT(G1798,"HP","kW")</f>
        <v>1491.3997431645405</v>
      </c>
      <c r="I1798">
        <v>0.88449999999999995</v>
      </c>
      <c r="J1798">
        <v>1.4595</v>
      </c>
      <c r="K1798">
        <v>0.59899999999999998</v>
      </c>
      <c r="L1798">
        <v>0.2054</v>
      </c>
      <c r="M1798">
        <v>0.1245</v>
      </c>
      <c r="N1798">
        <f>CONVERT(O1798,"lbf","N")</f>
        <v>11902.106575952521</v>
      </c>
      <c r="O1798">
        <v>2675.7</v>
      </c>
      <c r="P1798">
        <f t="shared" si="28"/>
        <v>0.6061343719571568</v>
      </c>
    </row>
    <row r="1799" spans="1:16" hidden="1" x14ac:dyDescent="0.25">
      <c r="A1799">
        <v>0</v>
      </c>
      <c r="B1799">
        <v>5000</v>
      </c>
      <c r="C1799">
        <f>1.225 * (1 - 0.00000687559 * B1799) ^ 4.2561</f>
        <v>1.0555380742846066</v>
      </c>
      <c r="D1799">
        <f>E1799*(SQRT($C$2/C1799))</f>
        <v>237.00296186700291</v>
      </c>
      <c r="E1799">
        <v>220</v>
      </c>
      <c r="F1799">
        <v>1150</v>
      </c>
      <c r="G1799">
        <v>2000</v>
      </c>
      <c r="H1799">
        <f>CONVERT(G1799,"HP","kW")</f>
        <v>1491.3997431645405</v>
      </c>
      <c r="I1799">
        <v>0.89190000000000003</v>
      </c>
      <c r="J1799">
        <v>1.6053999999999999</v>
      </c>
      <c r="K1799">
        <v>0.61799999999999999</v>
      </c>
      <c r="L1799">
        <v>0.2054</v>
      </c>
      <c r="M1799">
        <v>0.11409999999999999</v>
      </c>
      <c r="N1799">
        <f>CONVERT(O1799,"lbf","N")</f>
        <v>10909.263511426378</v>
      </c>
      <c r="O1799">
        <v>2452.5</v>
      </c>
      <c r="P1799">
        <f t="shared" si="28"/>
        <v>0.55550146056475169</v>
      </c>
    </row>
    <row r="1800" spans="1:16" hidden="1" x14ac:dyDescent="0.25">
      <c r="A1800">
        <v>0</v>
      </c>
      <c r="B1800">
        <v>5000</v>
      </c>
      <c r="C1800">
        <f>1.225 * (1 - 0.00000687559 * B1800) ^ 4.2561</f>
        <v>1.0555380742846066</v>
      </c>
      <c r="D1800">
        <f>E1800*(SQRT($C$2/C1800))</f>
        <v>258.5486856730941</v>
      </c>
      <c r="E1800">
        <v>240</v>
      </c>
      <c r="F1800">
        <v>1150</v>
      </c>
      <c r="G1800">
        <v>2000</v>
      </c>
      <c r="H1800">
        <f>CONVERT(G1800,"HP","kW")</f>
        <v>1491.3997431645405</v>
      </c>
      <c r="I1800">
        <v>0.89529999999999998</v>
      </c>
      <c r="J1800">
        <v>1.7513000000000001</v>
      </c>
      <c r="K1800">
        <v>0.63819999999999999</v>
      </c>
      <c r="L1800">
        <v>0.2054</v>
      </c>
      <c r="M1800">
        <v>0.105</v>
      </c>
      <c r="N1800">
        <f>CONVERT(O1800,"lbf","N")</f>
        <v>10038.746541319897</v>
      </c>
      <c r="O1800">
        <v>2256.8000000000002</v>
      </c>
      <c r="P1800">
        <f t="shared" si="28"/>
        <v>0.51119766309639725</v>
      </c>
    </row>
    <row r="1801" spans="1:16" hidden="1" x14ac:dyDescent="0.25">
      <c r="A1801">
        <v>0</v>
      </c>
      <c r="B1801">
        <v>5000</v>
      </c>
      <c r="C1801">
        <f>1.225 * (1 - 0.00000687559 * B1801) ^ 4.2561</f>
        <v>1.0555380742846066</v>
      </c>
      <c r="D1801">
        <f>E1801*(SQRT($C$2/C1801))</f>
        <v>280.09440947918529</v>
      </c>
      <c r="E1801">
        <v>260</v>
      </c>
      <c r="F1801">
        <v>1150</v>
      </c>
      <c r="G1801">
        <v>2000</v>
      </c>
      <c r="H1801">
        <f>CONVERT(G1801,"HP","kW")</f>
        <v>1491.3997431645405</v>
      </c>
      <c r="I1801">
        <v>0.89449999999999996</v>
      </c>
      <c r="J1801">
        <v>1.8973</v>
      </c>
      <c r="K1801">
        <v>0.65939999999999999</v>
      </c>
      <c r="L1801">
        <v>0.2054</v>
      </c>
      <c r="M1801">
        <v>9.6799999999999997E-2</v>
      </c>
      <c r="N1801">
        <f>CONVERT(O1801,"lbf","N")</f>
        <v>9258.5284700032062</v>
      </c>
      <c r="O1801">
        <v>2081.4</v>
      </c>
      <c r="P1801">
        <f t="shared" si="28"/>
        <v>0.47127555988315478</v>
      </c>
    </row>
    <row r="1802" spans="1:16" s="4" customFormat="1" hidden="1" x14ac:dyDescent="0.25">
      <c r="A1802">
        <v>0</v>
      </c>
      <c r="B1802">
        <v>0</v>
      </c>
      <c r="C1802">
        <f>1.225 * (1 - 0.00000687559 * B1802) ^ 4.2561</f>
        <v>1.2250000000000001</v>
      </c>
      <c r="D1802">
        <f>E1802*(SQRT($C$2/C1802))</f>
        <v>0</v>
      </c>
      <c r="E1802">
        <v>0</v>
      </c>
      <c r="F1802">
        <v>1215</v>
      </c>
      <c r="G1802">
        <v>2750</v>
      </c>
      <c r="H1802">
        <f>CONVERT(G1802,"HP","kW")</f>
        <v>2050.6746468512433</v>
      </c>
      <c r="I1802">
        <v>0</v>
      </c>
      <c r="J1802">
        <v>0</v>
      </c>
      <c r="K1802">
        <v>0.50319999999999998</v>
      </c>
      <c r="L1802">
        <v>0.20630000000000001</v>
      </c>
      <c r="M1802">
        <v>0.2767</v>
      </c>
      <c r="N1802">
        <f>CONVERT(O1802,"lbf","N")</f>
        <v>34273.547545582151</v>
      </c>
      <c r="O1802">
        <v>7705</v>
      </c>
      <c r="P1802" s="4">
        <f t="shared" si="28"/>
        <v>1.3412506059137179</v>
      </c>
    </row>
    <row r="1803" spans="1:16" s="4" customFormat="1" hidden="1" x14ac:dyDescent="0.25">
      <c r="A1803">
        <v>0</v>
      </c>
      <c r="B1803">
        <v>0</v>
      </c>
      <c r="C1803">
        <f>1.225 * (1 - 0.00000687559 * B1803) ^ 4.2561</f>
        <v>1.2250000000000001</v>
      </c>
      <c r="D1803">
        <f>E1803*(SQRT($C$2/C1803))</f>
        <v>20</v>
      </c>
      <c r="E1803">
        <v>20</v>
      </c>
      <c r="F1803">
        <v>1215</v>
      </c>
      <c r="G1803">
        <v>2750</v>
      </c>
      <c r="H1803">
        <f>CONVERT(G1803,"HP","kW")</f>
        <v>2050.6746468512433</v>
      </c>
      <c r="I1803">
        <v>0.1734</v>
      </c>
      <c r="J1803">
        <v>0.12820000000000001</v>
      </c>
      <c r="K1803">
        <v>0.50729999999999997</v>
      </c>
      <c r="L1803">
        <v>0.20630000000000001</v>
      </c>
      <c r="M1803">
        <v>0.27889999999999998</v>
      </c>
      <c r="N1803">
        <f>CONVERT(O1803,"lbf","N")</f>
        <v>34551.561396535937</v>
      </c>
      <c r="O1803">
        <v>7767.5</v>
      </c>
      <c r="P1803" s="4">
        <f t="shared" si="28"/>
        <v>1.3519146873485215</v>
      </c>
    </row>
    <row r="1804" spans="1:16" s="4" customFormat="1" hidden="1" x14ac:dyDescent="0.25">
      <c r="A1804">
        <v>0</v>
      </c>
      <c r="B1804">
        <v>0</v>
      </c>
      <c r="C1804">
        <f>1.225 * (1 - 0.00000687559 * B1804) ^ 4.2561</f>
        <v>1.2250000000000001</v>
      </c>
      <c r="D1804">
        <f>E1804*(SQRT($C$2/C1804))</f>
        <v>80</v>
      </c>
      <c r="E1804">
        <v>80</v>
      </c>
      <c r="F1804">
        <v>1215</v>
      </c>
      <c r="G1804">
        <v>2750</v>
      </c>
      <c r="H1804">
        <f>CONVERT(G1804,"HP","kW")</f>
        <v>2050.6746468512433</v>
      </c>
      <c r="I1804">
        <v>0.60419999999999996</v>
      </c>
      <c r="J1804">
        <v>0.51290000000000002</v>
      </c>
      <c r="K1804">
        <v>0.52769999999999995</v>
      </c>
      <c r="L1804">
        <v>0.20630000000000001</v>
      </c>
      <c r="M1804">
        <v>0.24299999999999999</v>
      </c>
      <c r="N1804">
        <f>CONVERT(O1804,"lbf","N")</f>
        <v>30108.232825052222</v>
      </c>
      <c r="O1804">
        <v>6768.6</v>
      </c>
      <c r="P1804" s="4">
        <f t="shared" si="28"/>
        <v>1.1778962675714977</v>
      </c>
    </row>
    <row r="1805" spans="1:16" s="4" customFormat="1" hidden="1" x14ac:dyDescent="0.25">
      <c r="A1805">
        <v>0</v>
      </c>
      <c r="B1805">
        <v>0</v>
      </c>
      <c r="C1805">
        <f>1.225 * (1 - 0.00000687559 * B1805) ^ 4.2561</f>
        <v>1.2250000000000001</v>
      </c>
      <c r="D1805">
        <f>E1805*(SQRT($C$2/C1805))</f>
        <v>180</v>
      </c>
      <c r="E1805">
        <v>180</v>
      </c>
      <c r="F1805">
        <v>1215</v>
      </c>
      <c r="G1805">
        <v>2750</v>
      </c>
      <c r="H1805">
        <f>CONVERT(G1805,"HP","kW")</f>
        <v>2050.6746468512433</v>
      </c>
      <c r="I1805">
        <v>0.85170000000000001</v>
      </c>
      <c r="J1805">
        <v>1.1540999999999999</v>
      </c>
      <c r="K1805">
        <v>0.5847</v>
      </c>
      <c r="L1805">
        <v>0.20630000000000001</v>
      </c>
      <c r="M1805">
        <v>0.15229999999999999</v>
      </c>
      <c r="N1805">
        <f>CONVERT(O1805,"lbf","N")</f>
        <v>18862.238937350623</v>
      </c>
      <c r="O1805">
        <v>4240.3999999999996</v>
      </c>
      <c r="P1805" s="4">
        <f t="shared" si="28"/>
        <v>0.73824527387300043</v>
      </c>
    </row>
    <row r="1806" spans="1:16" s="5" customFormat="1" hidden="1" x14ac:dyDescent="0.25">
      <c r="A1806">
        <v>0</v>
      </c>
      <c r="B1806">
        <v>0</v>
      </c>
      <c r="C1806">
        <f>1.225 * (1 - 0.00000687559 * B1806) ^ 4.2561</f>
        <v>1.2250000000000001</v>
      </c>
      <c r="D1806">
        <f>E1806*(SQRT($C$2/C1806))</f>
        <v>200</v>
      </c>
      <c r="E1806">
        <v>200</v>
      </c>
      <c r="F1806">
        <v>1215</v>
      </c>
      <c r="G1806">
        <v>2750</v>
      </c>
      <c r="H1806">
        <f>CONVERT(G1806,"HP","kW")</f>
        <v>2050.6746468512433</v>
      </c>
      <c r="I1806">
        <v>0.86880000000000002</v>
      </c>
      <c r="J1806">
        <v>1.2823</v>
      </c>
      <c r="K1806">
        <v>0.59950000000000003</v>
      </c>
      <c r="L1806">
        <v>0.20630000000000001</v>
      </c>
      <c r="M1806">
        <v>0.13980000000000001</v>
      </c>
      <c r="N1806">
        <f>CONVERT(O1806,"lbf","N")</f>
        <v>17316.926748209127</v>
      </c>
      <c r="O1806">
        <v>3893</v>
      </c>
      <c r="P1806" s="5">
        <f t="shared" si="28"/>
        <v>0.67765390208434317</v>
      </c>
    </row>
    <row r="1807" spans="1:16" s="5" customFormat="1" hidden="1" x14ac:dyDescent="0.25">
      <c r="A1807">
        <v>0</v>
      </c>
      <c r="B1807">
        <v>0</v>
      </c>
      <c r="C1807">
        <f>1.225 * (1 - 0.00000687559 * B1807) ^ 4.2561</f>
        <v>1.2250000000000001</v>
      </c>
      <c r="D1807">
        <f>E1807*(SQRT($C$2/C1807))</f>
        <v>220</v>
      </c>
      <c r="E1807">
        <v>220</v>
      </c>
      <c r="F1807">
        <v>1215</v>
      </c>
      <c r="G1807">
        <v>2750</v>
      </c>
      <c r="H1807">
        <f>CONVERT(G1807,"HP","kW")</f>
        <v>2050.6746468512433</v>
      </c>
      <c r="I1807">
        <v>0.88090000000000002</v>
      </c>
      <c r="J1807">
        <v>1.4105000000000001</v>
      </c>
      <c r="K1807">
        <v>0.61550000000000005</v>
      </c>
      <c r="L1807">
        <v>0.20630000000000001</v>
      </c>
      <c r="M1807">
        <v>0.12889999999999999</v>
      </c>
      <c r="N1807">
        <f>CONVERT(O1807,"lbf","N")</f>
        <v>15960.219155554674</v>
      </c>
      <c r="O1807">
        <v>3588</v>
      </c>
      <c r="P1807" s="5">
        <f t="shared" si="28"/>
        <v>0.62481822588463398</v>
      </c>
    </row>
    <row r="1808" spans="1:16" s="4" customFormat="1" hidden="1" x14ac:dyDescent="0.25">
      <c r="A1808">
        <v>0</v>
      </c>
      <c r="B1808">
        <v>0</v>
      </c>
      <c r="C1808">
        <f>1.225 * (1 - 0.00000687559 * B1808) ^ 4.2561</f>
        <v>1.2250000000000001</v>
      </c>
      <c r="D1808">
        <f>E1808*(SQRT($C$2/C1808))</f>
        <v>240</v>
      </c>
      <c r="E1808">
        <v>240</v>
      </c>
      <c r="F1808">
        <v>1215</v>
      </c>
      <c r="G1808">
        <v>2750</v>
      </c>
      <c r="H1808">
        <f>CONVERT(G1808,"HP","kW")</f>
        <v>2050.6746468512433</v>
      </c>
      <c r="I1808">
        <v>0.88890000000000002</v>
      </c>
      <c r="J1808">
        <v>1.5387</v>
      </c>
      <c r="K1808">
        <v>0.63239999999999996</v>
      </c>
      <c r="L1808">
        <v>0.20630000000000001</v>
      </c>
      <c r="M1808">
        <v>0.1192</v>
      </c>
      <c r="N1808">
        <f>CONVERT(O1808,"lbf","N")</f>
        <v>14764.53718537265</v>
      </c>
      <c r="O1808">
        <v>3319.2</v>
      </c>
      <c r="P1808" s="4">
        <f t="shared" si="28"/>
        <v>0.57779932137663592</v>
      </c>
    </row>
    <row r="1809" spans="1:16" s="4" customFormat="1" hidden="1" x14ac:dyDescent="0.25">
      <c r="A1809">
        <v>0</v>
      </c>
      <c r="B1809">
        <v>0</v>
      </c>
      <c r="C1809">
        <f>1.225 * (1 - 0.00000687559 * B1809) ^ 4.2561</f>
        <v>1.2250000000000001</v>
      </c>
      <c r="D1809">
        <f>E1809*(SQRT($C$2/C1809))</f>
        <v>260</v>
      </c>
      <c r="E1809">
        <v>260</v>
      </c>
      <c r="F1809">
        <v>1215</v>
      </c>
      <c r="G1809">
        <v>2750</v>
      </c>
      <c r="H1809">
        <f>CONVERT(G1809,"HP","kW")</f>
        <v>2050.6746468512433</v>
      </c>
      <c r="I1809">
        <v>0.89380000000000004</v>
      </c>
      <c r="J1809">
        <v>1.667</v>
      </c>
      <c r="K1809">
        <v>0.65029999999999999</v>
      </c>
      <c r="L1809">
        <v>0.20630000000000001</v>
      </c>
      <c r="M1809">
        <v>0.1106</v>
      </c>
      <c r="N1809">
        <f>CONVERT(O1809,"lbf","N")</f>
        <v>13703.191507971496</v>
      </c>
      <c r="O1809">
        <v>3080.6</v>
      </c>
      <c r="P1809" s="4">
        <f t="shared" si="28"/>
        <v>0.53611245758603976</v>
      </c>
    </row>
    <row r="1810" spans="1:16" s="4" customFormat="1" hidden="1" x14ac:dyDescent="0.25">
      <c r="A1810">
        <v>0</v>
      </c>
      <c r="B1810">
        <v>0</v>
      </c>
      <c r="C1810">
        <f>1.225 * (1 - 0.00000687559 * B1810) ^ 4.2561</f>
        <v>1.2250000000000001</v>
      </c>
      <c r="D1810">
        <f>E1810*(SQRT($C$2/C1810))</f>
        <v>40</v>
      </c>
      <c r="E1810">
        <v>40</v>
      </c>
      <c r="F1810">
        <v>1215</v>
      </c>
      <c r="G1810">
        <v>2750</v>
      </c>
      <c r="H1810">
        <f>CONVERT(G1810,"HP","kW")</f>
        <v>2050.6746468512433</v>
      </c>
      <c r="I1810">
        <v>0.34289999999999998</v>
      </c>
      <c r="J1810">
        <v>0.25650000000000001</v>
      </c>
      <c r="K1810">
        <v>0.51270000000000004</v>
      </c>
      <c r="L1810">
        <v>0.2064</v>
      </c>
      <c r="M1810">
        <v>0.27600000000000002</v>
      </c>
      <c r="N1810">
        <f>CONVERT(O1810,"lbf","N")</f>
        <v>34175.686670046423</v>
      </c>
      <c r="O1810">
        <v>7683</v>
      </c>
      <c r="P1810" s="4">
        <f t="shared" si="28"/>
        <v>1.3372093023255816</v>
      </c>
    </row>
    <row r="1811" spans="1:16" s="4" customFormat="1" hidden="1" x14ac:dyDescent="0.25">
      <c r="A1811">
        <v>0</v>
      </c>
      <c r="B1811">
        <v>0</v>
      </c>
      <c r="C1811">
        <f>1.225 * (1 - 0.00000687559 * B1811) ^ 4.2561</f>
        <v>1.2250000000000001</v>
      </c>
      <c r="D1811">
        <f>E1811*(SQRT($C$2/C1811))</f>
        <v>60</v>
      </c>
      <c r="E1811">
        <v>60</v>
      </c>
      <c r="F1811">
        <v>1215</v>
      </c>
      <c r="G1811">
        <v>2750</v>
      </c>
      <c r="H1811">
        <f>CONVERT(G1811,"HP","kW")</f>
        <v>2050.6746468512433</v>
      </c>
      <c r="I1811">
        <v>0.49120000000000003</v>
      </c>
      <c r="J1811">
        <v>0.38469999999999999</v>
      </c>
      <c r="K1811">
        <v>0.51959999999999995</v>
      </c>
      <c r="L1811">
        <v>0.2064</v>
      </c>
      <c r="M1811">
        <v>0.26350000000000001</v>
      </c>
      <c r="N1811">
        <f>CONVERT(O1811,"lbf","N")</f>
        <v>32633.93305819713</v>
      </c>
      <c r="O1811">
        <v>7336.4</v>
      </c>
      <c r="P1811" s="4">
        <f t="shared" si="28"/>
        <v>1.2766472868217056</v>
      </c>
    </row>
    <row r="1812" spans="1:16" s="4" customFormat="1" hidden="1" x14ac:dyDescent="0.25">
      <c r="A1812">
        <v>0</v>
      </c>
      <c r="B1812">
        <v>0</v>
      </c>
      <c r="C1812">
        <f>1.225 * (1 - 0.00000687559 * B1812) ^ 4.2561</f>
        <v>1.2250000000000001</v>
      </c>
      <c r="D1812">
        <f>E1812*(SQRT($C$2/C1812))</f>
        <v>100</v>
      </c>
      <c r="E1812">
        <v>100</v>
      </c>
      <c r="F1812">
        <v>1215</v>
      </c>
      <c r="G1812">
        <v>2750</v>
      </c>
      <c r="H1812">
        <f>CONVERT(G1812,"HP","kW")</f>
        <v>2050.6746468512433</v>
      </c>
      <c r="I1812">
        <v>0.68759999999999999</v>
      </c>
      <c r="J1812">
        <v>0.6411</v>
      </c>
      <c r="K1812">
        <v>0.53680000000000005</v>
      </c>
      <c r="L1812">
        <v>0.2064</v>
      </c>
      <c r="M1812">
        <v>0.22140000000000001</v>
      </c>
      <c r="N1812">
        <f>CONVERT(O1812,"lbf","N")</f>
        <v>27409.051948912147</v>
      </c>
      <c r="O1812">
        <v>6161.8</v>
      </c>
      <c r="P1812" s="4">
        <f t="shared" si="28"/>
        <v>1.0726744186046513</v>
      </c>
    </row>
    <row r="1813" spans="1:16" s="4" customFormat="1" hidden="1" x14ac:dyDescent="0.25">
      <c r="A1813">
        <v>0</v>
      </c>
      <c r="B1813">
        <v>0</v>
      </c>
      <c r="C1813">
        <f>1.225 * (1 - 0.00000687559 * B1813) ^ 4.2561</f>
        <v>1.2250000000000001</v>
      </c>
      <c r="D1813">
        <f>E1813*(SQRT($C$2/C1813))</f>
        <v>120</v>
      </c>
      <c r="E1813">
        <v>120</v>
      </c>
      <c r="F1813">
        <v>1215</v>
      </c>
      <c r="G1813">
        <v>2750</v>
      </c>
      <c r="H1813">
        <f>CONVERT(G1813,"HP","kW")</f>
        <v>2050.6746468512433</v>
      </c>
      <c r="I1813">
        <v>0.74929999999999997</v>
      </c>
      <c r="J1813">
        <v>0.76939999999999997</v>
      </c>
      <c r="K1813">
        <v>0.54700000000000004</v>
      </c>
      <c r="L1813">
        <v>0.2064</v>
      </c>
      <c r="M1813">
        <v>0.20100000000000001</v>
      </c>
      <c r="N1813">
        <f>CONVERT(O1813,"lbf","N")</f>
        <v>24889.5792260286</v>
      </c>
      <c r="O1813">
        <v>5595.4</v>
      </c>
      <c r="P1813" s="4">
        <f t="shared" si="28"/>
        <v>0.97383720930232565</v>
      </c>
    </row>
    <row r="1814" spans="1:16" hidden="1" x14ac:dyDescent="0.25">
      <c r="A1814">
        <v>0</v>
      </c>
      <c r="B1814">
        <v>0</v>
      </c>
      <c r="C1814">
        <f>1.225 * (1 - 0.00000687559 * B1814) ^ 4.2561</f>
        <v>1.2250000000000001</v>
      </c>
      <c r="D1814">
        <f>E1814*(SQRT($C$2/C1814))</f>
        <v>140</v>
      </c>
      <c r="E1814">
        <v>140</v>
      </c>
      <c r="F1814">
        <v>1215</v>
      </c>
      <c r="G1814">
        <v>2750</v>
      </c>
      <c r="H1814">
        <f>CONVERT(G1814,"HP","kW")</f>
        <v>2050.6746468512433</v>
      </c>
      <c r="I1814">
        <v>0.79459999999999997</v>
      </c>
      <c r="J1814">
        <v>0.89759999999999995</v>
      </c>
      <c r="K1814">
        <v>0.55840000000000001</v>
      </c>
      <c r="L1814">
        <v>0.2064</v>
      </c>
      <c r="M1814">
        <v>0.1827</v>
      </c>
      <c r="N1814">
        <f>CONVERT(O1814,"lbf","N")</f>
        <v>22625.879246022534</v>
      </c>
      <c r="O1814">
        <v>5086.5</v>
      </c>
      <c r="P1814">
        <f t="shared" si="28"/>
        <v>0.88517441860465118</v>
      </c>
    </row>
    <row r="1815" spans="1:16" hidden="1" x14ac:dyDescent="0.25">
      <c r="A1815">
        <v>0</v>
      </c>
      <c r="B1815">
        <v>0</v>
      </c>
      <c r="C1815">
        <f>1.225 * (1 - 0.00000687559 * B1815) ^ 4.2561</f>
        <v>1.2250000000000001</v>
      </c>
      <c r="D1815">
        <f>E1815*(SQRT($C$2/C1815))</f>
        <v>160</v>
      </c>
      <c r="E1815">
        <v>160</v>
      </c>
      <c r="F1815">
        <v>1215</v>
      </c>
      <c r="G1815">
        <v>2750</v>
      </c>
      <c r="H1815">
        <f>CONVERT(G1815,"HP","kW")</f>
        <v>2050.6746468512433</v>
      </c>
      <c r="I1815">
        <v>0.82779999999999998</v>
      </c>
      <c r="J1815">
        <v>1.0258</v>
      </c>
      <c r="K1815">
        <v>0.57089999999999996</v>
      </c>
      <c r="L1815">
        <v>0.2064</v>
      </c>
      <c r="M1815">
        <v>0.16650000000000001</v>
      </c>
      <c r="N1815">
        <f>CONVERT(O1815,"lbf","N")</f>
        <v>20622.845052670727</v>
      </c>
      <c r="O1815">
        <v>4636.2</v>
      </c>
      <c r="P1815">
        <f t="shared" si="28"/>
        <v>0.8066860465116279</v>
      </c>
    </row>
    <row r="1816" spans="1:16" hidden="1" x14ac:dyDescent="0.25">
      <c r="A1816">
        <v>0</v>
      </c>
      <c r="B1816">
        <v>20000</v>
      </c>
      <c r="C1816">
        <f>1.225 * (1 - 0.00000687559 * B1816) ^ 4.2561</f>
        <v>0.65267221054298263</v>
      </c>
      <c r="D1816">
        <f>E1816*(SQRT($C$2/C1816))</f>
        <v>0</v>
      </c>
      <c r="E1816">
        <v>0</v>
      </c>
      <c r="F1816">
        <v>1150</v>
      </c>
      <c r="G1816">
        <v>1250</v>
      </c>
      <c r="H1816">
        <f>CONVERT(G1816,"HP","kW")</f>
        <v>932.12483947783778</v>
      </c>
      <c r="I1816">
        <v>0</v>
      </c>
      <c r="J1816">
        <v>0</v>
      </c>
      <c r="K1816">
        <v>0.51280000000000003</v>
      </c>
      <c r="L1816">
        <v>0.20760000000000001</v>
      </c>
      <c r="M1816">
        <v>0.27610000000000001</v>
      </c>
      <c r="N1816">
        <f>CONVERT(O1816,"lbf","N")</f>
        <v>16327.642260975192</v>
      </c>
      <c r="O1816">
        <v>3670.6</v>
      </c>
      <c r="P1816">
        <f t="shared" si="28"/>
        <v>1.3299614643545279</v>
      </c>
    </row>
    <row r="1817" spans="1:16" hidden="1" x14ac:dyDescent="0.25">
      <c r="A1817">
        <v>0</v>
      </c>
      <c r="B1817">
        <v>20000</v>
      </c>
      <c r="C1817">
        <f>1.225 * (1 - 0.00000687559 * B1817) ^ 4.2561</f>
        <v>0.65267221054298263</v>
      </c>
      <c r="D1817">
        <f>E1817*(SQRT($C$2/C1817))</f>
        <v>27.399994721664136</v>
      </c>
      <c r="E1817">
        <v>20</v>
      </c>
      <c r="F1817">
        <v>1150</v>
      </c>
      <c r="G1817">
        <v>1250</v>
      </c>
      <c r="H1817">
        <f>CONVERT(G1817,"HP","kW")</f>
        <v>932.12483947783778</v>
      </c>
      <c r="I1817">
        <v>0.24890000000000001</v>
      </c>
      <c r="J1817">
        <v>0.18559999999999999</v>
      </c>
      <c r="K1817">
        <v>0.51919999999999999</v>
      </c>
      <c r="L1817">
        <v>0.20760000000000001</v>
      </c>
      <c r="M1817">
        <v>0.27850000000000003</v>
      </c>
      <c r="N1817">
        <f>CONVERT(O1817,"lbf","N")</f>
        <v>16461.533731594533</v>
      </c>
      <c r="O1817">
        <v>3700.7</v>
      </c>
      <c r="P1817">
        <f t="shared" si="28"/>
        <v>1.3415221579961465</v>
      </c>
    </row>
    <row r="1818" spans="1:16" hidden="1" x14ac:dyDescent="0.25">
      <c r="A1818">
        <v>0</v>
      </c>
      <c r="B1818">
        <v>20000</v>
      </c>
      <c r="C1818">
        <f>1.225 * (1 - 0.00000687559 * B1818) ^ 4.2561</f>
        <v>0.65267221054298263</v>
      </c>
      <c r="D1818">
        <f>E1818*(SQRT($C$2/C1818))</f>
        <v>136.99997360832069</v>
      </c>
      <c r="E1818">
        <v>100</v>
      </c>
      <c r="F1818">
        <v>1150</v>
      </c>
      <c r="G1818">
        <v>1250</v>
      </c>
      <c r="H1818">
        <f>CONVERT(G1818,"HP","kW")</f>
        <v>932.12483947783778</v>
      </c>
      <c r="I1818">
        <v>0.80249999999999999</v>
      </c>
      <c r="J1818">
        <v>0.92800000000000005</v>
      </c>
      <c r="K1818">
        <v>0.57199999999999995</v>
      </c>
      <c r="L1818">
        <v>0.20760000000000001</v>
      </c>
      <c r="M1818">
        <v>0.17960000000000001</v>
      </c>
      <c r="N1818">
        <f>CONVERT(O1818,"lbf","N")</f>
        <v>10614.346418334604</v>
      </c>
      <c r="O1818">
        <v>2386.1999999999998</v>
      </c>
      <c r="P1818">
        <f t="shared" si="28"/>
        <v>0.86512524084778419</v>
      </c>
    </row>
    <row r="1819" spans="1:16" hidden="1" x14ac:dyDescent="0.25">
      <c r="A1819">
        <v>0</v>
      </c>
      <c r="B1819">
        <v>20000</v>
      </c>
      <c r="C1819">
        <f>1.225 * (1 - 0.00000687559 * B1819) ^ 4.2561</f>
        <v>0.65267221054298263</v>
      </c>
      <c r="D1819">
        <f>E1819*(SQRT($C$2/C1819))</f>
        <v>164.3999683299848</v>
      </c>
      <c r="E1819">
        <v>120</v>
      </c>
      <c r="F1819">
        <v>1150</v>
      </c>
      <c r="G1819">
        <v>1250</v>
      </c>
      <c r="H1819">
        <f>CONVERT(G1819,"HP","kW")</f>
        <v>932.12483947783778</v>
      </c>
      <c r="I1819">
        <v>0.84430000000000005</v>
      </c>
      <c r="J1819">
        <v>1.1135999999999999</v>
      </c>
      <c r="K1819">
        <v>0.59130000000000005</v>
      </c>
      <c r="L1819">
        <v>0.20760000000000001</v>
      </c>
      <c r="M1819">
        <v>0.15740000000000001</v>
      </c>
      <c r="N1819">
        <f>CONVERT(O1819,"lbf","N")</f>
        <v>9305.679619124965</v>
      </c>
      <c r="O1819">
        <v>2092</v>
      </c>
      <c r="P1819">
        <f t="shared" si="28"/>
        <v>0.75818882466281312</v>
      </c>
    </row>
    <row r="1820" spans="1:16" hidden="1" x14ac:dyDescent="0.25">
      <c r="A1820">
        <v>0</v>
      </c>
      <c r="B1820">
        <v>20000</v>
      </c>
      <c r="C1820">
        <f>1.225 * (1 - 0.00000687559 * B1820) ^ 4.2561</f>
        <v>0.65267221054298263</v>
      </c>
      <c r="D1820">
        <f>E1820*(SQRT($C$2/C1820))</f>
        <v>191.79996305164894</v>
      </c>
      <c r="E1820">
        <v>140</v>
      </c>
      <c r="F1820">
        <v>1150</v>
      </c>
      <c r="G1820">
        <v>1250</v>
      </c>
      <c r="H1820">
        <f>CONVERT(G1820,"HP","kW")</f>
        <v>932.12483947783778</v>
      </c>
      <c r="I1820">
        <v>0.87029999999999996</v>
      </c>
      <c r="J1820">
        <v>1.2991999999999999</v>
      </c>
      <c r="K1820">
        <v>0.61309999999999998</v>
      </c>
      <c r="L1820">
        <v>0.20760000000000001</v>
      </c>
      <c r="M1820">
        <v>0.1391</v>
      </c>
      <c r="N1820">
        <f>CONVERT(O1820,"lbf","N")</f>
        <v>8221.6480114859824</v>
      </c>
      <c r="O1820">
        <v>1848.3</v>
      </c>
      <c r="P1820">
        <f t="shared" si="28"/>
        <v>0.670038535645472</v>
      </c>
    </row>
    <row r="1821" spans="1:16" hidden="1" x14ac:dyDescent="0.25">
      <c r="A1821">
        <v>0</v>
      </c>
      <c r="B1821">
        <v>20000</v>
      </c>
      <c r="C1821">
        <f>1.225 * (1 - 0.00000687559 * B1821) ^ 4.2561</f>
        <v>0.65267221054298263</v>
      </c>
      <c r="D1821">
        <f>E1821*(SQRT($C$2/C1821))</f>
        <v>219.19995777331309</v>
      </c>
      <c r="E1821">
        <v>160</v>
      </c>
      <c r="F1821">
        <v>1150</v>
      </c>
      <c r="G1821">
        <v>1250</v>
      </c>
      <c r="H1821">
        <f>CONVERT(G1821,"HP","kW")</f>
        <v>932.12483947783778</v>
      </c>
      <c r="I1821">
        <v>0.88580000000000003</v>
      </c>
      <c r="J1821">
        <v>1.4847999999999999</v>
      </c>
      <c r="K1821">
        <v>0.63719999999999999</v>
      </c>
      <c r="L1821">
        <v>0.20760000000000001</v>
      </c>
      <c r="M1821">
        <v>0.12379999999999999</v>
      </c>
      <c r="N1821">
        <f>CONVERT(O1821,"lbf","N")</f>
        <v>7322.217600880309</v>
      </c>
      <c r="O1821">
        <v>1646.1</v>
      </c>
      <c r="P1821">
        <f t="shared" si="28"/>
        <v>0.59633911368015413</v>
      </c>
    </row>
    <row r="1822" spans="1:16" hidden="1" x14ac:dyDescent="0.25">
      <c r="A1822">
        <v>0</v>
      </c>
      <c r="B1822">
        <v>20000</v>
      </c>
      <c r="C1822">
        <f>1.225 * (1 - 0.00000687559 * B1822) ^ 4.2561</f>
        <v>0.65267221054298263</v>
      </c>
      <c r="D1822">
        <f>E1822*(SQRT($C$2/C1822))</f>
        <v>246.59995249497723</v>
      </c>
      <c r="E1822">
        <v>180</v>
      </c>
      <c r="F1822">
        <v>1150</v>
      </c>
      <c r="G1822">
        <v>1250</v>
      </c>
      <c r="H1822">
        <f>CONVERT(G1822,"HP","kW")</f>
        <v>932.12483947783778</v>
      </c>
      <c r="I1822">
        <v>0.89380000000000004</v>
      </c>
      <c r="J1822">
        <v>1.6704000000000001</v>
      </c>
      <c r="K1822">
        <v>0.6633</v>
      </c>
      <c r="L1822">
        <v>0.20760000000000001</v>
      </c>
      <c r="M1822">
        <v>0.1111</v>
      </c>
      <c r="N1822">
        <f>CONVERT(O1822,"lbf","N")</f>
        <v>6567.3543927706023</v>
      </c>
      <c r="O1822">
        <v>1476.4</v>
      </c>
      <c r="P1822">
        <f t="shared" si="28"/>
        <v>0.5351637764932563</v>
      </c>
    </row>
    <row r="1823" spans="1:16" hidden="1" x14ac:dyDescent="0.25">
      <c r="A1823">
        <v>0</v>
      </c>
      <c r="B1823">
        <v>20000</v>
      </c>
      <c r="C1823">
        <f>1.225 * (1 - 0.00000687559 * B1823) ^ 4.2561</f>
        <v>0.65267221054298263</v>
      </c>
      <c r="D1823">
        <f>E1823*(SQRT($C$2/C1823))</f>
        <v>273.99994721664137</v>
      </c>
      <c r="E1823">
        <v>200</v>
      </c>
      <c r="F1823">
        <v>1150</v>
      </c>
      <c r="G1823">
        <v>1250</v>
      </c>
      <c r="H1823">
        <f>CONVERT(G1823,"HP","kW")</f>
        <v>932.12483947783778</v>
      </c>
      <c r="I1823">
        <v>0.89270000000000005</v>
      </c>
      <c r="J1823">
        <v>1.8560000000000001</v>
      </c>
      <c r="K1823">
        <v>0.69130000000000003</v>
      </c>
      <c r="L1823">
        <v>0.20760000000000001</v>
      </c>
      <c r="M1823">
        <v>9.98E-2</v>
      </c>
      <c r="N1823">
        <f>CONVERT(O1823,"lbf","N")</f>
        <v>5903.2349056122084</v>
      </c>
      <c r="O1823">
        <v>1327.1</v>
      </c>
      <c r="P1823">
        <f t="shared" si="28"/>
        <v>0.48073217726396916</v>
      </c>
    </row>
    <row r="1824" spans="1:16" hidden="1" x14ac:dyDescent="0.25">
      <c r="A1824">
        <v>0</v>
      </c>
      <c r="B1824">
        <v>20000</v>
      </c>
      <c r="C1824">
        <f>1.225 * (1 - 0.00000687559 * B1824) ^ 4.2561</f>
        <v>0.65267221054298263</v>
      </c>
      <c r="D1824">
        <f>E1824*(SQRT($C$2/C1824))</f>
        <v>301.39994193830552</v>
      </c>
      <c r="E1824">
        <v>220</v>
      </c>
      <c r="F1824">
        <v>1150</v>
      </c>
      <c r="G1824">
        <v>1250</v>
      </c>
      <c r="H1824">
        <f>CONVERT(G1824,"HP","kW")</f>
        <v>932.12483947783778</v>
      </c>
      <c r="I1824">
        <v>0.871</v>
      </c>
      <c r="J1824">
        <v>2.0415999999999999</v>
      </c>
      <c r="K1824">
        <v>0.72089999999999999</v>
      </c>
      <c r="L1824">
        <v>0.20760000000000001</v>
      </c>
      <c r="M1824">
        <v>8.8599999999999998E-2</v>
      </c>
      <c r="N1824">
        <f>CONVERT(O1824,"lbf","N")</f>
        <v>5236.0016633231344</v>
      </c>
      <c r="O1824">
        <v>1177.0999999999999</v>
      </c>
      <c r="P1824">
        <f t="shared" si="28"/>
        <v>0.42678227360308285</v>
      </c>
    </row>
    <row r="1825" spans="1:16" hidden="1" x14ac:dyDescent="0.25">
      <c r="A1825">
        <v>0</v>
      </c>
      <c r="B1825">
        <v>20000</v>
      </c>
      <c r="C1825">
        <f>1.225 * (1 - 0.00000687559 * B1825) ^ 4.2561</f>
        <v>0.65267221054298263</v>
      </c>
      <c r="D1825">
        <f>E1825*(SQRT($C$2/C1825))</f>
        <v>328.7999366599696</v>
      </c>
      <c r="E1825">
        <v>240</v>
      </c>
      <c r="F1825">
        <v>1150</v>
      </c>
      <c r="G1825">
        <v>1250</v>
      </c>
      <c r="H1825">
        <f>CONVERT(G1825,"HP","kW")</f>
        <v>932.12483947783778</v>
      </c>
      <c r="I1825">
        <v>0.82330000000000003</v>
      </c>
      <c r="J1825">
        <v>2.2271999999999998</v>
      </c>
      <c r="K1825">
        <v>0.752</v>
      </c>
      <c r="L1825">
        <v>0.20760000000000001</v>
      </c>
      <c r="M1825">
        <v>7.6799999999999993E-2</v>
      </c>
      <c r="N1825">
        <f>CONVERT(O1825,"lbf","N")</f>
        <v>4537.1860475657104</v>
      </c>
      <c r="O1825">
        <v>1020</v>
      </c>
      <c r="P1825">
        <f t="shared" si="28"/>
        <v>0.36994219653179189</v>
      </c>
    </row>
    <row r="1826" spans="1:16" hidden="1" x14ac:dyDescent="0.25">
      <c r="A1826">
        <v>0</v>
      </c>
      <c r="B1826">
        <v>20000</v>
      </c>
      <c r="C1826">
        <f>1.225 * (1 - 0.00000687559 * B1826) ^ 4.2561</f>
        <v>0.65267221054298263</v>
      </c>
      <c r="D1826">
        <f>E1826*(SQRT($C$2/C1826))</f>
        <v>54.799989443328272</v>
      </c>
      <c r="E1826">
        <v>40</v>
      </c>
      <c r="F1826">
        <v>1150</v>
      </c>
      <c r="G1826">
        <v>1250</v>
      </c>
      <c r="H1826">
        <f>CONVERT(G1826,"HP","kW")</f>
        <v>932.12483947783778</v>
      </c>
      <c r="I1826">
        <v>0.47570000000000001</v>
      </c>
      <c r="J1826">
        <v>0.37119999999999997</v>
      </c>
      <c r="K1826">
        <v>0.52869999999999995</v>
      </c>
      <c r="L1826">
        <v>0.2077</v>
      </c>
      <c r="M1826">
        <v>0.2661</v>
      </c>
      <c r="N1826">
        <f>CONVERT(O1826,"lbf","N")</f>
        <v>15728.91163156113</v>
      </c>
      <c r="O1826">
        <v>3536</v>
      </c>
      <c r="P1826">
        <f t="shared" si="28"/>
        <v>1.2811747713047665</v>
      </c>
    </row>
    <row r="1827" spans="1:16" hidden="1" x14ac:dyDescent="0.25">
      <c r="A1827">
        <v>0</v>
      </c>
      <c r="B1827">
        <v>20000</v>
      </c>
      <c r="C1827">
        <f>1.225 * (1 - 0.00000687559 * B1827) ^ 4.2561</f>
        <v>0.65267221054298263</v>
      </c>
      <c r="D1827">
        <f>E1827*(SQRT($C$2/C1827))</f>
        <v>82.199984164992401</v>
      </c>
      <c r="E1827">
        <v>60</v>
      </c>
      <c r="F1827">
        <v>1150</v>
      </c>
      <c r="G1827">
        <v>1250</v>
      </c>
      <c r="H1827">
        <f>CONVERT(G1827,"HP","kW")</f>
        <v>932.12483947783778</v>
      </c>
      <c r="I1827">
        <v>0.63439999999999996</v>
      </c>
      <c r="J1827">
        <v>0.55679999999999996</v>
      </c>
      <c r="K1827">
        <v>0.54079999999999995</v>
      </c>
      <c r="L1827">
        <v>0.2077</v>
      </c>
      <c r="M1827">
        <v>0.2366</v>
      </c>
      <c r="N1827">
        <f>CONVERT(O1827,"lbf","N")</f>
        <v>13984.319114055959</v>
      </c>
      <c r="O1827">
        <v>3143.8</v>
      </c>
      <c r="P1827">
        <f t="shared" si="28"/>
        <v>1.1391429947038998</v>
      </c>
    </row>
    <row r="1828" spans="1:16" hidden="1" x14ac:dyDescent="0.25">
      <c r="A1828">
        <v>0</v>
      </c>
      <c r="B1828">
        <v>20000</v>
      </c>
      <c r="C1828">
        <f>1.225 * (1 - 0.00000687559 * B1828) ^ 4.2561</f>
        <v>0.65267221054298263</v>
      </c>
      <c r="D1828">
        <f>E1828*(SQRT($C$2/C1828))</f>
        <v>109.59997888665654</v>
      </c>
      <c r="E1828">
        <v>80</v>
      </c>
      <c r="F1828">
        <v>1150</v>
      </c>
      <c r="G1828">
        <v>1250</v>
      </c>
      <c r="H1828">
        <f>CONVERT(G1828,"HP","kW")</f>
        <v>932.12483947783778</v>
      </c>
      <c r="I1828">
        <v>0.73660000000000003</v>
      </c>
      <c r="J1828">
        <v>0.74239999999999995</v>
      </c>
      <c r="K1828">
        <v>0.55520000000000003</v>
      </c>
      <c r="L1828">
        <v>0.2077</v>
      </c>
      <c r="M1828">
        <v>0.20599999999999999</v>
      </c>
      <c r="N1828">
        <f>CONVERT(O1828,"lbf","N")</f>
        <v>12177.896316098671</v>
      </c>
      <c r="O1828">
        <v>2737.7</v>
      </c>
      <c r="P1828">
        <f t="shared" si="28"/>
        <v>0.99181511795859412</v>
      </c>
    </row>
    <row r="1829" spans="1:16" hidden="1" x14ac:dyDescent="0.25">
      <c r="A1829">
        <v>0</v>
      </c>
      <c r="B1829">
        <v>20000</v>
      </c>
      <c r="C1829">
        <f>1.225 * (1 - 0.00000687559 * B1829) ^ 4.2561</f>
        <v>0.65267221054298263</v>
      </c>
      <c r="D1829">
        <f>E1829*(SQRT($C$2/C1829))</f>
        <v>356.19993138163375</v>
      </c>
      <c r="E1829">
        <v>260</v>
      </c>
      <c r="F1829">
        <v>1150</v>
      </c>
      <c r="G1829">
        <v>1250</v>
      </c>
      <c r="H1829">
        <f>CONVERT(G1829,"HP","kW")</f>
        <v>932.12483947783778</v>
      </c>
      <c r="I1829">
        <v>0.73209999999999997</v>
      </c>
      <c r="J1829">
        <v>2.4127999999999998</v>
      </c>
      <c r="K1829">
        <v>0.78439999999999999</v>
      </c>
      <c r="L1829">
        <v>0.2077</v>
      </c>
      <c r="M1829">
        <v>6.3E-2</v>
      </c>
      <c r="N1829">
        <f>CONVERT(O1829,"lbf","N")</f>
        <v>3724.051136296091</v>
      </c>
      <c r="O1829">
        <v>837.2</v>
      </c>
      <c r="P1829">
        <f t="shared" si="28"/>
        <v>0.30332209918151182</v>
      </c>
    </row>
    <row r="1830" spans="1:16" hidden="1" x14ac:dyDescent="0.25">
      <c r="A1830">
        <v>0</v>
      </c>
      <c r="B1830">
        <v>15000</v>
      </c>
      <c r="C1830">
        <f>1.225 * (1 - 0.00000687559 * B1830) ^ 4.2561</f>
        <v>0.77079726910167001</v>
      </c>
      <c r="D1830">
        <f>E1830*(SQRT($C$2/C1830))</f>
        <v>25.213199277533057</v>
      </c>
      <c r="E1830">
        <v>20</v>
      </c>
      <c r="F1830">
        <v>1215</v>
      </c>
      <c r="G1830">
        <v>1750</v>
      </c>
      <c r="H1830">
        <f>CONVERT(G1830,"HP","kW")</f>
        <v>1304.974775268973</v>
      </c>
      <c r="I1830">
        <v>0.21579999999999999</v>
      </c>
      <c r="J1830">
        <v>0.16159999999999999</v>
      </c>
      <c r="K1830">
        <v>0.53690000000000004</v>
      </c>
      <c r="L1830">
        <v>0.20849999999999999</v>
      </c>
      <c r="M1830">
        <v>0.27829999999999999</v>
      </c>
      <c r="N1830">
        <f>CONVERT(O1830,"lbf","N")</f>
        <v>21713.104170571078</v>
      </c>
      <c r="O1830">
        <v>4881.3</v>
      </c>
      <c r="P1830">
        <f t="shared" si="28"/>
        <v>1.3347721822541967</v>
      </c>
    </row>
    <row r="1831" spans="1:16" hidden="1" x14ac:dyDescent="0.25">
      <c r="A1831">
        <v>0</v>
      </c>
      <c r="B1831">
        <v>15000</v>
      </c>
      <c r="C1831">
        <f>1.225 * (1 - 0.00000687559 * B1831) ^ 4.2561</f>
        <v>0.77079726910167001</v>
      </c>
      <c r="D1831">
        <f>E1831*(SQRT($C$2/C1831))</f>
        <v>0</v>
      </c>
      <c r="E1831">
        <v>0</v>
      </c>
      <c r="F1831">
        <v>1215</v>
      </c>
      <c r="G1831">
        <v>1750</v>
      </c>
      <c r="H1831">
        <f>CONVERT(G1831,"HP","kW")</f>
        <v>1304.974775268973</v>
      </c>
      <c r="I1831">
        <v>0</v>
      </c>
      <c r="J1831">
        <v>0</v>
      </c>
      <c r="K1831">
        <v>0.53129999999999999</v>
      </c>
      <c r="L1831">
        <v>0.20860000000000001</v>
      </c>
      <c r="M1831">
        <v>0.27579999999999999</v>
      </c>
      <c r="N1831">
        <f>CONVERT(O1831,"lbf","N")</f>
        <v>21505.817043299936</v>
      </c>
      <c r="O1831">
        <v>4834.7</v>
      </c>
      <c r="P1831">
        <f t="shared" si="28"/>
        <v>1.3221476510067114</v>
      </c>
    </row>
    <row r="1832" spans="1:16" hidden="1" x14ac:dyDescent="0.25">
      <c r="A1832">
        <v>0</v>
      </c>
      <c r="B1832">
        <v>15000</v>
      </c>
      <c r="C1832">
        <f>1.225 * (1 - 0.00000687559 * B1832) ^ 4.2561</f>
        <v>0.77079726910167001</v>
      </c>
      <c r="D1832">
        <f>E1832*(SQRT($C$2/C1832))</f>
        <v>75.639597832599179</v>
      </c>
      <c r="E1832">
        <v>60</v>
      </c>
      <c r="F1832">
        <v>1215</v>
      </c>
      <c r="G1832">
        <v>1750</v>
      </c>
      <c r="H1832">
        <f>CONVERT(G1832,"HP","kW")</f>
        <v>1304.974775268973</v>
      </c>
      <c r="I1832">
        <v>0.57969999999999999</v>
      </c>
      <c r="J1832">
        <v>0.4849</v>
      </c>
      <c r="K1832">
        <v>0.55510000000000004</v>
      </c>
      <c r="L1832">
        <v>0.20860000000000001</v>
      </c>
      <c r="M1832">
        <v>0.24929999999999999</v>
      </c>
      <c r="N1832">
        <f>CONVERT(O1832,"lbf","N")</f>
        <v>19441.842213819069</v>
      </c>
      <c r="O1832">
        <v>4370.7</v>
      </c>
      <c r="P1832">
        <f t="shared" si="28"/>
        <v>1.195110258868648</v>
      </c>
    </row>
    <row r="1833" spans="1:16" hidden="1" x14ac:dyDescent="0.25">
      <c r="A1833">
        <v>0</v>
      </c>
      <c r="B1833">
        <v>15000</v>
      </c>
      <c r="C1833">
        <f>1.225 * (1 - 0.00000687559 * B1833) ^ 4.2561</f>
        <v>0.77079726910167001</v>
      </c>
      <c r="D1833">
        <f>E1833*(SQRT($C$2/C1833))</f>
        <v>176.49239494273141</v>
      </c>
      <c r="E1833">
        <v>140</v>
      </c>
      <c r="F1833">
        <v>1215</v>
      </c>
      <c r="G1833">
        <v>1750</v>
      </c>
      <c r="H1833">
        <f>CONVERT(G1833,"HP","kW")</f>
        <v>1304.974775268973</v>
      </c>
      <c r="I1833">
        <v>0.8468</v>
      </c>
      <c r="J1833">
        <v>1.1315</v>
      </c>
      <c r="K1833">
        <v>0.61470000000000002</v>
      </c>
      <c r="L1833">
        <v>0.20860000000000001</v>
      </c>
      <c r="M1833">
        <v>0.15609999999999999</v>
      </c>
      <c r="N1833">
        <f>CONVERT(O1833,"lbf","N")</f>
        <v>12170.334339352728</v>
      </c>
      <c r="O1833">
        <v>2736</v>
      </c>
      <c r="P1833">
        <f t="shared" si="28"/>
        <v>0.74832214765100658</v>
      </c>
    </row>
    <row r="1834" spans="1:16" hidden="1" x14ac:dyDescent="0.25">
      <c r="A1834">
        <v>0</v>
      </c>
      <c r="B1834">
        <v>15000</v>
      </c>
      <c r="C1834">
        <f>1.225 * (1 - 0.00000687559 * B1834) ^ 4.2561</f>
        <v>0.77079726910167001</v>
      </c>
      <c r="D1834">
        <f>E1834*(SQRT($C$2/C1834))</f>
        <v>201.70559422026446</v>
      </c>
      <c r="E1834">
        <v>160</v>
      </c>
      <c r="F1834">
        <v>1215</v>
      </c>
      <c r="G1834">
        <v>1750</v>
      </c>
      <c r="H1834">
        <f>CONVERT(G1834,"HP","kW")</f>
        <v>1304.974775268973</v>
      </c>
      <c r="I1834">
        <v>0.86919999999999997</v>
      </c>
      <c r="J1834">
        <v>1.2931999999999999</v>
      </c>
      <c r="K1834">
        <v>0.63439999999999996</v>
      </c>
      <c r="L1834">
        <v>0.20860000000000001</v>
      </c>
      <c r="M1834">
        <v>0.14019999999999999</v>
      </c>
      <c r="N1834">
        <f>CONVERT(O1834,"lbf","N")</f>
        <v>10931.504619502677</v>
      </c>
      <c r="O1834">
        <v>2457.5</v>
      </c>
      <c r="P1834">
        <f t="shared" si="28"/>
        <v>0.67209971236816868</v>
      </c>
    </row>
    <row r="1835" spans="1:16" hidden="1" x14ac:dyDescent="0.25">
      <c r="A1835">
        <v>0</v>
      </c>
      <c r="B1835">
        <v>15000</v>
      </c>
      <c r="C1835">
        <f>1.225 * (1 - 0.00000687559 * B1835) ^ 4.2561</f>
        <v>0.77079726910167001</v>
      </c>
      <c r="D1835">
        <f>E1835*(SQRT($C$2/C1835))</f>
        <v>226.91879349779754</v>
      </c>
      <c r="E1835">
        <v>180</v>
      </c>
      <c r="F1835">
        <v>1215</v>
      </c>
      <c r="G1835">
        <v>1750</v>
      </c>
      <c r="H1835">
        <f>CONVERT(G1835,"HP","kW")</f>
        <v>1304.974775268973</v>
      </c>
      <c r="I1835">
        <v>0.88360000000000005</v>
      </c>
      <c r="J1835">
        <v>1.4548000000000001</v>
      </c>
      <c r="K1835">
        <v>0.65600000000000003</v>
      </c>
      <c r="L1835">
        <v>0.20860000000000001</v>
      </c>
      <c r="M1835">
        <v>0.12670000000000001</v>
      </c>
      <c r="N1835">
        <f>CONVERT(O1835,"lbf","N")</f>
        <v>9877.2760966859405</v>
      </c>
      <c r="O1835">
        <v>2220.5</v>
      </c>
      <c r="P1835">
        <f t="shared" si="28"/>
        <v>0.60738255033557054</v>
      </c>
    </row>
    <row r="1836" spans="1:16" hidden="1" x14ac:dyDescent="0.25">
      <c r="A1836">
        <v>0</v>
      </c>
      <c r="B1836">
        <v>15000</v>
      </c>
      <c r="C1836">
        <f>1.225 * (1 - 0.00000687559 * B1836) ^ 4.2561</f>
        <v>0.77079726910167001</v>
      </c>
      <c r="D1836">
        <f>E1836*(SQRT($C$2/C1836))</f>
        <v>252.13199277533059</v>
      </c>
      <c r="E1836">
        <v>200</v>
      </c>
      <c r="F1836">
        <v>1215</v>
      </c>
      <c r="G1836">
        <v>1750</v>
      </c>
      <c r="H1836">
        <f>CONVERT(G1836,"HP","kW")</f>
        <v>1304.974775268973</v>
      </c>
      <c r="I1836">
        <v>0.89090000000000003</v>
      </c>
      <c r="J1836">
        <v>1.6165</v>
      </c>
      <c r="K1836">
        <v>0.67910000000000004</v>
      </c>
      <c r="L1836">
        <v>0.20860000000000001</v>
      </c>
      <c r="M1836">
        <v>0.115</v>
      </c>
      <c r="N1836">
        <f>CONVERT(O1836,"lbf","N")</f>
        <v>8962.7217325883812</v>
      </c>
      <c r="O1836">
        <v>2014.9</v>
      </c>
      <c r="P1836">
        <f t="shared" si="28"/>
        <v>0.55129434324065196</v>
      </c>
    </row>
    <row r="1837" spans="1:16" hidden="1" x14ac:dyDescent="0.25">
      <c r="A1837">
        <v>0</v>
      </c>
      <c r="B1837">
        <v>15000</v>
      </c>
      <c r="C1837">
        <f>1.225 * (1 - 0.00000687559 * B1837) ^ 4.2561</f>
        <v>0.77079726910167001</v>
      </c>
      <c r="D1837">
        <f>E1837*(SQRT($C$2/C1837))</f>
        <v>277.34519205286364</v>
      </c>
      <c r="E1837">
        <v>220</v>
      </c>
      <c r="F1837">
        <v>1215</v>
      </c>
      <c r="G1837">
        <v>1750</v>
      </c>
      <c r="H1837">
        <f>CONVERT(G1837,"HP","kW")</f>
        <v>1304.974775268973</v>
      </c>
      <c r="I1837">
        <v>0.88700000000000001</v>
      </c>
      <c r="J1837">
        <v>1.7781</v>
      </c>
      <c r="K1837">
        <v>0.70379999999999998</v>
      </c>
      <c r="L1837">
        <v>0.20860000000000001</v>
      </c>
      <c r="M1837">
        <v>0.104</v>
      </c>
      <c r="N1837">
        <f>CONVERT(O1837,"lbf","N")</f>
        <v>8112.6665819120999</v>
      </c>
      <c r="O1837">
        <v>1823.8</v>
      </c>
      <c r="P1837">
        <f t="shared" si="28"/>
        <v>0.49856184084372002</v>
      </c>
    </row>
    <row r="1838" spans="1:16" hidden="1" x14ac:dyDescent="0.25">
      <c r="A1838">
        <v>0</v>
      </c>
      <c r="B1838">
        <v>15000</v>
      </c>
      <c r="C1838">
        <f>1.225 * (1 - 0.00000687559 * B1838) ^ 4.2561</f>
        <v>0.77079726910167001</v>
      </c>
      <c r="D1838">
        <f>E1838*(SQRT($C$2/C1838))</f>
        <v>302.55839133039672</v>
      </c>
      <c r="E1838">
        <v>240</v>
      </c>
      <c r="F1838">
        <v>1215</v>
      </c>
      <c r="G1838">
        <v>1750</v>
      </c>
      <c r="H1838">
        <f>CONVERT(G1838,"HP","kW")</f>
        <v>1304.974775268973</v>
      </c>
      <c r="I1838">
        <v>0.86580000000000001</v>
      </c>
      <c r="J1838">
        <v>1.9398</v>
      </c>
      <c r="K1838">
        <v>0.72989999999999999</v>
      </c>
      <c r="L1838">
        <v>0.20860000000000001</v>
      </c>
      <c r="M1838">
        <v>9.3100000000000002E-2</v>
      </c>
      <c r="N1838">
        <f>CONVERT(O1838,"lbf","N")</f>
        <v>7259.05285394361</v>
      </c>
      <c r="O1838">
        <v>1631.9</v>
      </c>
      <c r="P1838">
        <f t="shared" si="28"/>
        <v>0.44630872483221473</v>
      </c>
    </row>
    <row r="1839" spans="1:16" hidden="1" x14ac:dyDescent="0.25">
      <c r="A1839">
        <v>0</v>
      </c>
      <c r="B1839">
        <v>15000</v>
      </c>
      <c r="C1839">
        <f>1.225 * (1 - 0.00000687559 * B1839) ^ 4.2561</f>
        <v>0.77079726910167001</v>
      </c>
      <c r="D1839">
        <f>E1839*(SQRT($C$2/C1839))</f>
        <v>50.426398555066115</v>
      </c>
      <c r="E1839">
        <v>40</v>
      </c>
      <c r="F1839">
        <v>1215</v>
      </c>
      <c r="G1839">
        <v>1750</v>
      </c>
      <c r="H1839">
        <f>CONVERT(G1839,"HP","kW")</f>
        <v>1304.974775268973</v>
      </c>
      <c r="I1839">
        <v>0.41970000000000002</v>
      </c>
      <c r="J1839">
        <v>0.32329999999999998</v>
      </c>
      <c r="K1839">
        <v>0.54490000000000005</v>
      </c>
      <c r="L1839">
        <v>0.2087</v>
      </c>
      <c r="M1839">
        <v>0.27100000000000002</v>
      </c>
      <c r="N1839">
        <f>CONVERT(O1839,"lbf","N")</f>
        <v>21114.373541157016</v>
      </c>
      <c r="O1839">
        <v>4746.7</v>
      </c>
      <c r="P1839">
        <f t="shared" si="28"/>
        <v>1.2985146142788693</v>
      </c>
    </row>
    <row r="1840" spans="1:16" hidden="1" x14ac:dyDescent="0.25">
      <c r="A1840">
        <v>0</v>
      </c>
      <c r="B1840">
        <v>15000</v>
      </c>
      <c r="C1840">
        <f>1.225 * (1 - 0.00000687559 * B1840) ^ 4.2561</f>
        <v>0.77079726910167001</v>
      </c>
      <c r="D1840">
        <f>E1840*(SQRT($C$2/C1840))</f>
        <v>100.85279711013223</v>
      </c>
      <c r="E1840">
        <v>80</v>
      </c>
      <c r="F1840">
        <v>1215</v>
      </c>
      <c r="G1840">
        <v>1750</v>
      </c>
      <c r="H1840">
        <f>CONVERT(G1840,"HP","kW")</f>
        <v>1304.974775268973</v>
      </c>
      <c r="I1840">
        <v>0.68789999999999996</v>
      </c>
      <c r="J1840">
        <v>0.64659999999999995</v>
      </c>
      <c r="K1840">
        <v>0.56720000000000004</v>
      </c>
      <c r="L1840">
        <v>0.2087</v>
      </c>
      <c r="M1840">
        <v>0.22209999999999999</v>
      </c>
      <c r="N1840">
        <f>CONVERT(O1840,"lbf","N")</f>
        <v>17301.802794717241</v>
      </c>
      <c r="O1840">
        <v>3889.6</v>
      </c>
      <c r="P1840">
        <f t="shared" si="28"/>
        <v>1.0642069956875899</v>
      </c>
    </row>
    <row r="1841" spans="1:16" hidden="1" x14ac:dyDescent="0.25">
      <c r="A1841">
        <v>0</v>
      </c>
      <c r="B1841">
        <v>15000</v>
      </c>
      <c r="C1841">
        <f>1.225 * (1 - 0.00000687559 * B1841) ^ 4.2561</f>
        <v>0.77079726910167001</v>
      </c>
      <c r="D1841">
        <f>E1841*(SQRT($C$2/C1841))</f>
        <v>126.06599638766529</v>
      </c>
      <c r="E1841">
        <v>100</v>
      </c>
      <c r="F1841">
        <v>1215</v>
      </c>
      <c r="G1841">
        <v>1750</v>
      </c>
      <c r="H1841">
        <f>CONVERT(G1841,"HP","kW")</f>
        <v>1304.974775268973</v>
      </c>
      <c r="I1841">
        <v>0.76200000000000001</v>
      </c>
      <c r="J1841">
        <v>0.80820000000000003</v>
      </c>
      <c r="K1841">
        <v>0.58099999999999996</v>
      </c>
      <c r="L1841">
        <v>0.2087</v>
      </c>
      <c r="M1841">
        <v>0.1968</v>
      </c>
      <c r="N1841">
        <f>CONVERT(O1841,"lbf","N")</f>
        <v>15333.464729964469</v>
      </c>
      <c r="O1841">
        <v>3447.1</v>
      </c>
      <c r="P1841">
        <f t="shared" si="28"/>
        <v>0.94298035457594631</v>
      </c>
    </row>
    <row r="1842" spans="1:16" hidden="1" x14ac:dyDescent="0.25">
      <c r="A1842">
        <v>0</v>
      </c>
      <c r="B1842">
        <v>15000</v>
      </c>
      <c r="C1842">
        <f>1.225 * (1 - 0.00000687559 * B1842) ^ 4.2561</f>
        <v>0.77079726910167001</v>
      </c>
      <c r="D1842">
        <f>E1842*(SQRT($C$2/C1842))</f>
        <v>151.27919566519836</v>
      </c>
      <c r="E1842">
        <v>120</v>
      </c>
      <c r="F1842">
        <v>1215</v>
      </c>
      <c r="G1842">
        <v>1750</v>
      </c>
      <c r="H1842">
        <f>CONVERT(G1842,"HP","kW")</f>
        <v>1304.974775268973</v>
      </c>
      <c r="I1842">
        <v>0.81269999999999998</v>
      </c>
      <c r="J1842">
        <v>0.96989999999999998</v>
      </c>
      <c r="K1842">
        <v>0.59689999999999999</v>
      </c>
      <c r="L1842">
        <v>0.2087</v>
      </c>
      <c r="M1842">
        <v>0.17480000000000001</v>
      </c>
      <c r="N1842">
        <f>CONVERT(O1842,"lbf","N")</f>
        <v>13627.126918350541</v>
      </c>
      <c r="O1842">
        <v>3063.5</v>
      </c>
      <c r="P1842">
        <f t="shared" si="28"/>
        <v>0.8375658840440825</v>
      </c>
    </row>
    <row r="1843" spans="1:16" hidden="1" x14ac:dyDescent="0.25">
      <c r="A1843">
        <v>0</v>
      </c>
      <c r="B1843">
        <v>15000</v>
      </c>
      <c r="C1843">
        <f>1.225 * (1 - 0.00000687559 * B1843) ^ 4.2561</f>
        <v>0.77079726910167001</v>
      </c>
      <c r="D1843">
        <f>E1843*(SQRT($C$2/C1843))</f>
        <v>327.77159060792974</v>
      </c>
      <c r="E1843">
        <v>260</v>
      </c>
      <c r="F1843">
        <v>1215</v>
      </c>
      <c r="G1843">
        <v>1750</v>
      </c>
      <c r="H1843">
        <f>CONVERT(G1843,"HP","kW")</f>
        <v>1304.974775268973</v>
      </c>
      <c r="I1843">
        <v>0.83160000000000001</v>
      </c>
      <c r="J1843">
        <v>2.1013999999999999</v>
      </c>
      <c r="K1843">
        <v>0.75719999999999998</v>
      </c>
      <c r="L1843">
        <v>0.2087</v>
      </c>
      <c r="M1843">
        <v>8.2600000000000007E-2</v>
      </c>
      <c r="N1843">
        <f>CONVERT(O1843,"lbf","N")</f>
        <v>6436.1318551204176</v>
      </c>
      <c r="O1843">
        <v>1446.9</v>
      </c>
      <c r="P1843">
        <f t="shared" si="28"/>
        <v>0.3957834211787255</v>
      </c>
    </row>
    <row r="1844" spans="1:16" hidden="1" x14ac:dyDescent="0.25">
      <c r="A1844">
        <v>0</v>
      </c>
      <c r="B1844">
        <v>25000</v>
      </c>
      <c r="C1844">
        <f>1.225 * (1 - 0.00000687559 * B1844) ^ 4.2561</f>
        <v>0.54892259437885793</v>
      </c>
      <c r="D1844">
        <f>E1844*(SQRT($C$2/C1844))</f>
        <v>0</v>
      </c>
      <c r="E1844">
        <v>0</v>
      </c>
      <c r="F1844">
        <v>1215</v>
      </c>
      <c r="G1844">
        <v>1250</v>
      </c>
      <c r="H1844">
        <f>CONVERT(G1844,"HP","kW")</f>
        <v>932.12483947783778</v>
      </c>
      <c r="I1844">
        <v>0</v>
      </c>
      <c r="J1844">
        <v>0</v>
      </c>
      <c r="K1844">
        <v>0.55289999999999995</v>
      </c>
      <c r="L1844">
        <v>0.2092</v>
      </c>
      <c r="M1844">
        <v>0.27410000000000001</v>
      </c>
      <c r="N1844">
        <f>CONVERT(O1844,"lbf","N")</f>
        <v>15218.70061229075</v>
      </c>
      <c r="O1844">
        <v>3421.3</v>
      </c>
      <c r="P1844">
        <f t="shared" si="28"/>
        <v>1.3102294455066923</v>
      </c>
    </row>
    <row r="1845" spans="1:16" hidden="1" x14ac:dyDescent="0.25">
      <c r="A1845">
        <v>0</v>
      </c>
      <c r="B1845">
        <v>25000</v>
      </c>
      <c r="C1845">
        <f>1.225 * (1 - 0.00000687559 * B1845) ^ 4.2561</f>
        <v>0.54892259437885793</v>
      </c>
      <c r="D1845">
        <f>E1845*(SQRT($C$2/C1845))</f>
        <v>29.877378321820672</v>
      </c>
      <c r="E1845">
        <v>20</v>
      </c>
      <c r="F1845">
        <v>1215</v>
      </c>
      <c r="G1845">
        <v>1250</v>
      </c>
      <c r="H1845">
        <f>CONVERT(G1845,"HP","kW")</f>
        <v>932.12483947783778</v>
      </c>
      <c r="I1845">
        <v>0.25290000000000001</v>
      </c>
      <c r="J1845">
        <v>0.19159999999999999</v>
      </c>
      <c r="K1845">
        <v>0.56010000000000004</v>
      </c>
      <c r="L1845">
        <v>0.2092</v>
      </c>
      <c r="M1845">
        <v>0.2762</v>
      </c>
      <c r="N1845">
        <f>CONVERT(O1845,"lbf","N")</f>
        <v>15335.244018610576</v>
      </c>
      <c r="O1845">
        <v>3447.5</v>
      </c>
      <c r="P1845">
        <f t="shared" si="28"/>
        <v>1.3202676864244742</v>
      </c>
    </row>
    <row r="1846" spans="1:16" hidden="1" x14ac:dyDescent="0.25">
      <c r="A1846">
        <v>0</v>
      </c>
      <c r="B1846">
        <v>25000</v>
      </c>
      <c r="C1846">
        <f>1.225 * (1 - 0.00000687559 * B1846) ^ 4.2561</f>
        <v>0.54892259437885793</v>
      </c>
      <c r="D1846">
        <f>E1846*(SQRT($C$2/C1846))</f>
        <v>179.26426993092403</v>
      </c>
      <c r="E1846">
        <v>120</v>
      </c>
      <c r="F1846">
        <v>1215</v>
      </c>
      <c r="G1846">
        <v>1250</v>
      </c>
      <c r="H1846">
        <f>CONVERT(G1846,"HP","kW")</f>
        <v>932.12483947783778</v>
      </c>
      <c r="I1846">
        <v>0.84899999999999998</v>
      </c>
      <c r="J1846">
        <v>1.1493</v>
      </c>
      <c r="K1846">
        <v>0.64190000000000003</v>
      </c>
      <c r="L1846">
        <v>0.2092</v>
      </c>
      <c r="M1846">
        <v>0.1545</v>
      </c>
      <c r="N1846">
        <f>CONVERT(O1846,"lbf","N")</f>
        <v>8581.0643179990311</v>
      </c>
      <c r="O1846">
        <v>1929.1</v>
      </c>
      <c r="P1846">
        <f t="shared" si="28"/>
        <v>0.73852772466539196</v>
      </c>
    </row>
    <row r="1847" spans="1:16" hidden="1" x14ac:dyDescent="0.25">
      <c r="A1847">
        <v>0</v>
      </c>
      <c r="B1847">
        <v>25000</v>
      </c>
      <c r="C1847">
        <f>1.225 * (1 - 0.00000687559 * B1847) ^ 4.2561</f>
        <v>0.54892259437885793</v>
      </c>
      <c r="D1847">
        <f>E1847*(SQRT($C$2/C1847))</f>
        <v>209.14164825274472</v>
      </c>
      <c r="E1847">
        <v>140</v>
      </c>
      <c r="F1847">
        <v>1215</v>
      </c>
      <c r="G1847">
        <v>1250</v>
      </c>
      <c r="H1847">
        <f>CONVERT(G1847,"HP","kW")</f>
        <v>932.12483947783778</v>
      </c>
      <c r="I1847">
        <v>0.87339999999999995</v>
      </c>
      <c r="J1847">
        <v>1.3409</v>
      </c>
      <c r="K1847">
        <v>0.66669999999999996</v>
      </c>
      <c r="L1847">
        <v>0.2092</v>
      </c>
      <c r="M1847">
        <v>0.13619999999999999</v>
      </c>
      <c r="N1847">
        <f>CONVERT(O1847,"lbf","N")</f>
        <v>7566.4249675581113</v>
      </c>
      <c r="O1847">
        <v>1701</v>
      </c>
      <c r="P1847">
        <f t="shared" si="28"/>
        <v>0.65105162523900573</v>
      </c>
    </row>
    <row r="1848" spans="1:16" hidden="1" x14ac:dyDescent="0.25">
      <c r="A1848">
        <v>0</v>
      </c>
      <c r="B1848">
        <v>25000</v>
      </c>
      <c r="C1848">
        <f>1.225 * (1 - 0.00000687559 * B1848) ^ 4.2561</f>
        <v>0.54892259437885793</v>
      </c>
      <c r="D1848">
        <f>E1848*(SQRT($C$2/C1848))</f>
        <v>59.754756643641343</v>
      </c>
      <c r="E1848">
        <v>40</v>
      </c>
      <c r="F1848">
        <v>1215</v>
      </c>
      <c r="G1848">
        <v>1250</v>
      </c>
      <c r="H1848">
        <f>CONVERT(G1848,"HP","kW")</f>
        <v>932.12483947783778</v>
      </c>
      <c r="I1848">
        <v>0.48299999999999998</v>
      </c>
      <c r="J1848">
        <v>0.3831</v>
      </c>
      <c r="K1848">
        <v>0.57079999999999997</v>
      </c>
      <c r="L1848">
        <v>0.20930000000000001</v>
      </c>
      <c r="M1848">
        <v>0.26390000000000002</v>
      </c>
      <c r="N1848">
        <f>CONVERT(O1848,"lbf","N")</f>
        <v>14646.659312568247</v>
      </c>
      <c r="O1848">
        <v>3292.7</v>
      </c>
      <c r="P1848">
        <f t="shared" si="28"/>
        <v>1.2608695652173914</v>
      </c>
    </row>
    <row r="1849" spans="1:16" hidden="1" x14ac:dyDescent="0.25">
      <c r="A1849">
        <v>0</v>
      </c>
      <c r="B1849">
        <v>25000</v>
      </c>
      <c r="C1849">
        <f>1.225 * (1 - 0.00000687559 * B1849) ^ 4.2561</f>
        <v>0.54892259437885793</v>
      </c>
      <c r="D1849">
        <f>E1849*(SQRT($C$2/C1849))</f>
        <v>89.632134965462015</v>
      </c>
      <c r="E1849">
        <v>60</v>
      </c>
      <c r="F1849">
        <v>1215</v>
      </c>
      <c r="G1849">
        <v>1250</v>
      </c>
      <c r="H1849">
        <f>CONVERT(G1849,"HP","kW")</f>
        <v>932.12483947783778</v>
      </c>
      <c r="I1849">
        <v>0.64390000000000003</v>
      </c>
      <c r="J1849">
        <v>0.57469999999999999</v>
      </c>
      <c r="K1849">
        <v>0.58440000000000003</v>
      </c>
      <c r="L1849">
        <v>0.20930000000000001</v>
      </c>
      <c r="M1849">
        <v>0.23449999999999999</v>
      </c>
      <c r="N1849">
        <f>CONVERT(O1849,"lbf","N")</f>
        <v>13016.830912736803</v>
      </c>
      <c r="O1849">
        <v>2926.3</v>
      </c>
      <c r="P1849">
        <f t="shared" si="28"/>
        <v>1.1204013377926421</v>
      </c>
    </row>
    <row r="1850" spans="1:16" hidden="1" x14ac:dyDescent="0.25">
      <c r="A1850">
        <v>0</v>
      </c>
      <c r="B1850">
        <v>25000</v>
      </c>
      <c r="C1850">
        <f>1.225 * (1 - 0.00000687559 * B1850) ^ 4.2561</f>
        <v>0.54892259437885793</v>
      </c>
      <c r="D1850">
        <f>E1850*(SQRT($C$2/C1850))</f>
        <v>149.38689160910337</v>
      </c>
      <c r="E1850">
        <v>100</v>
      </c>
      <c r="F1850">
        <v>1215</v>
      </c>
      <c r="G1850">
        <v>1250</v>
      </c>
      <c r="H1850">
        <f>CONVERT(G1850,"HP","kW")</f>
        <v>932.12483947783778</v>
      </c>
      <c r="I1850">
        <v>0.80869999999999997</v>
      </c>
      <c r="J1850">
        <v>0.95779999999999998</v>
      </c>
      <c r="K1850">
        <v>0.61980000000000002</v>
      </c>
      <c r="L1850">
        <v>0.20930000000000001</v>
      </c>
      <c r="M1850">
        <v>0.1767</v>
      </c>
      <c r="N1850">
        <f>CONVERT(O1850,"lbf","N")</f>
        <v>9808.3286616494024</v>
      </c>
      <c r="O1850">
        <v>2205</v>
      </c>
      <c r="P1850">
        <f t="shared" si="28"/>
        <v>0.84424271380793114</v>
      </c>
    </row>
    <row r="1851" spans="1:16" hidden="1" x14ac:dyDescent="0.25">
      <c r="A1851">
        <v>0</v>
      </c>
      <c r="B1851">
        <v>25000</v>
      </c>
      <c r="C1851">
        <f>1.225 * (1 - 0.00000687559 * B1851) ^ 4.2561</f>
        <v>0.54892259437885793</v>
      </c>
      <c r="D1851">
        <f>E1851*(SQRT($C$2/C1851))</f>
        <v>298.77378321820675</v>
      </c>
      <c r="E1851">
        <v>200</v>
      </c>
      <c r="F1851">
        <v>1215</v>
      </c>
      <c r="G1851">
        <v>1250</v>
      </c>
      <c r="H1851">
        <f>CONVERT(G1851,"HP","kW")</f>
        <v>932.12483947783778</v>
      </c>
      <c r="I1851">
        <v>0.8468</v>
      </c>
      <c r="J1851">
        <v>1.9155</v>
      </c>
      <c r="K1851">
        <v>0.75539999999999996</v>
      </c>
      <c r="L1851">
        <v>0.20930000000000001</v>
      </c>
      <c r="M1851">
        <v>9.2499999999999999E-2</v>
      </c>
      <c r="N1851">
        <f>CONVERT(O1851,"lbf","N")</f>
        <v>5135.4718548182473</v>
      </c>
      <c r="O1851">
        <v>1154.5</v>
      </c>
      <c r="P1851">
        <f t="shared" si="28"/>
        <v>0.44194935499283322</v>
      </c>
    </row>
    <row r="1852" spans="1:16" hidden="1" x14ac:dyDescent="0.25">
      <c r="A1852">
        <v>0</v>
      </c>
      <c r="B1852">
        <v>25000</v>
      </c>
      <c r="C1852">
        <f>1.225 * (1 - 0.00000687559 * B1852) ^ 4.2561</f>
        <v>0.54892259437885793</v>
      </c>
      <c r="D1852">
        <f>E1852*(SQRT($C$2/C1852))</f>
        <v>328.65116154002743</v>
      </c>
      <c r="E1852">
        <v>220</v>
      </c>
      <c r="F1852">
        <v>1215</v>
      </c>
      <c r="G1852">
        <v>1250</v>
      </c>
      <c r="H1852">
        <f>CONVERT(G1852,"HP","kW")</f>
        <v>932.12483947783778</v>
      </c>
      <c r="I1852">
        <v>0.78820000000000001</v>
      </c>
      <c r="J1852">
        <v>2.1071</v>
      </c>
      <c r="K1852">
        <v>0.78900000000000003</v>
      </c>
      <c r="L1852">
        <v>0.20930000000000001</v>
      </c>
      <c r="M1852">
        <v>7.8299999999999995E-2</v>
      </c>
      <c r="N1852">
        <f>CONVERT(O1852,"lbf","N")</f>
        <v>4345.9125181095087</v>
      </c>
      <c r="O1852">
        <v>977</v>
      </c>
      <c r="P1852">
        <f t="shared" si="28"/>
        <v>0.3741041567128523</v>
      </c>
    </row>
    <row r="1853" spans="1:16" hidden="1" x14ac:dyDescent="0.25">
      <c r="A1853">
        <v>0</v>
      </c>
      <c r="B1853">
        <v>25000</v>
      </c>
      <c r="C1853">
        <f>1.225 * (1 - 0.00000687559 * B1853) ^ 4.2561</f>
        <v>0.54892259437885793</v>
      </c>
      <c r="D1853">
        <f>E1853*(SQRT($C$2/C1853))</f>
        <v>119.50951328728269</v>
      </c>
      <c r="E1853">
        <v>80</v>
      </c>
      <c r="F1853">
        <v>1215</v>
      </c>
      <c r="G1853">
        <v>1250</v>
      </c>
      <c r="H1853">
        <f>CONVERT(G1853,"HP","kW")</f>
        <v>932.12483947783778</v>
      </c>
      <c r="I1853">
        <v>0.74439999999999995</v>
      </c>
      <c r="J1853">
        <v>0.76619999999999999</v>
      </c>
      <c r="K1853">
        <v>0.60070000000000001</v>
      </c>
      <c r="L1853">
        <v>0.2094</v>
      </c>
      <c r="M1853">
        <v>0.2034</v>
      </c>
      <c r="N1853">
        <f>CONVERT(O1853,"lbf","N")</f>
        <v>11286.472704400469</v>
      </c>
      <c r="O1853">
        <v>2537.3000000000002</v>
      </c>
      <c r="P1853">
        <f t="shared" si="28"/>
        <v>0.97134670487106012</v>
      </c>
    </row>
    <row r="1854" spans="1:16" hidden="1" x14ac:dyDescent="0.25">
      <c r="A1854">
        <v>0</v>
      </c>
      <c r="B1854">
        <v>25000</v>
      </c>
      <c r="C1854">
        <f>1.225 * (1 - 0.00000687559 * B1854) ^ 4.2561</f>
        <v>0.54892259437885793</v>
      </c>
      <c r="D1854">
        <f>E1854*(SQRT($C$2/C1854))</f>
        <v>239.01902657456537</v>
      </c>
      <c r="E1854">
        <v>160</v>
      </c>
      <c r="F1854">
        <v>1215</v>
      </c>
      <c r="G1854">
        <v>1250</v>
      </c>
      <c r="H1854">
        <f>CONVERT(G1854,"HP","kW")</f>
        <v>932.12483947783778</v>
      </c>
      <c r="I1854">
        <v>0.8821</v>
      </c>
      <c r="J1854">
        <v>1.5324</v>
      </c>
      <c r="K1854">
        <v>0.69399999999999995</v>
      </c>
      <c r="L1854">
        <v>0.2094</v>
      </c>
      <c r="M1854">
        <v>0.1205</v>
      </c>
      <c r="N1854">
        <f>CONVERT(O1854,"lbf","N")</f>
        <v>6687.0115542211088</v>
      </c>
      <c r="O1854">
        <v>1503.3</v>
      </c>
      <c r="P1854">
        <f t="shared" si="28"/>
        <v>0.57545367717287488</v>
      </c>
    </row>
    <row r="1855" spans="1:16" hidden="1" x14ac:dyDescent="0.25">
      <c r="A1855">
        <v>0</v>
      </c>
      <c r="B1855">
        <v>25000</v>
      </c>
      <c r="C1855">
        <f>1.225 * (1 - 0.00000687559 * B1855) ^ 4.2561</f>
        <v>0.54892259437885793</v>
      </c>
      <c r="D1855">
        <f>E1855*(SQRT($C$2/C1855))</f>
        <v>268.89640489638606</v>
      </c>
      <c r="E1855">
        <v>180</v>
      </c>
      <c r="F1855">
        <v>1215</v>
      </c>
      <c r="G1855">
        <v>1250</v>
      </c>
      <c r="H1855">
        <f>CONVERT(G1855,"HP","kW")</f>
        <v>932.12483947783778</v>
      </c>
      <c r="I1855">
        <v>0.87129999999999996</v>
      </c>
      <c r="J1855">
        <v>1.724</v>
      </c>
      <c r="K1855">
        <v>0.72370000000000001</v>
      </c>
      <c r="L1855">
        <v>0.2094</v>
      </c>
      <c r="M1855">
        <v>0.10580000000000001</v>
      </c>
      <c r="N1855">
        <f>CONVERT(O1855,"lbf","N")</f>
        <v>5871.2077099823346</v>
      </c>
      <c r="O1855">
        <v>1319.9</v>
      </c>
      <c r="P1855">
        <f t="shared" si="28"/>
        <v>0.50525310410697233</v>
      </c>
    </row>
    <row r="1856" spans="1:16" hidden="1" x14ac:dyDescent="0.25">
      <c r="A1856">
        <v>0</v>
      </c>
      <c r="B1856">
        <v>10000</v>
      </c>
      <c r="C1856">
        <f>1.225 * (1 - 0.00000687559 * B1856) ^ 4.2561</f>
        <v>0.90462252368600637</v>
      </c>
      <c r="D1856">
        <f>E1856*(SQRT($C$2/C1856))</f>
        <v>116.36820785327033</v>
      </c>
      <c r="E1856">
        <v>100</v>
      </c>
      <c r="F1856">
        <v>1150</v>
      </c>
      <c r="G1856">
        <v>1750</v>
      </c>
      <c r="H1856">
        <f>CONVERT(G1856,"HP","kW")</f>
        <v>1304.974775268973</v>
      </c>
      <c r="I1856">
        <v>0.75529999999999997</v>
      </c>
      <c r="J1856">
        <v>0.78820000000000001</v>
      </c>
      <c r="K1856">
        <v>0.53800000000000003</v>
      </c>
      <c r="L1856">
        <v>0.20949999999999999</v>
      </c>
      <c r="M1856">
        <v>0.20080000000000001</v>
      </c>
      <c r="N1856">
        <f>CONVERT(O1856,"lbf","N")</f>
        <v>16464.202664563691</v>
      </c>
      <c r="O1856">
        <v>3701.3</v>
      </c>
      <c r="P1856">
        <f t="shared" si="28"/>
        <v>0.95847255369928408</v>
      </c>
    </row>
    <row r="1857" spans="1:16" hidden="1" x14ac:dyDescent="0.25">
      <c r="A1857">
        <v>0</v>
      </c>
      <c r="B1857">
        <v>25000</v>
      </c>
      <c r="C1857">
        <f>1.225 * (1 - 0.00000687559 * B1857) ^ 4.2561</f>
        <v>0.54892259437885793</v>
      </c>
      <c r="D1857">
        <f>E1857*(SQRT($C$2/C1857))</f>
        <v>358.52853986184806</v>
      </c>
      <c r="E1857">
        <v>240</v>
      </c>
      <c r="F1857">
        <v>1215</v>
      </c>
      <c r="G1857">
        <v>1250</v>
      </c>
      <c r="H1857">
        <f>CONVERT(G1857,"HP","kW")</f>
        <v>932.12483947783778</v>
      </c>
      <c r="I1857">
        <v>0.68899999999999995</v>
      </c>
      <c r="J1857">
        <v>2.2986</v>
      </c>
      <c r="K1857">
        <v>0.82420000000000004</v>
      </c>
      <c r="L1857">
        <v>0.20949999999999999</v>
      </c>
      <c r="M1857">
        <v>6.2799999999999995E-2</v>
      </c>
      <c r="N1857">
        <f>CONVERT(O1857,"lbf","N")</f>
        <v>3482.0678804259192</v>
      </c>
      <c r="O1857">
        <v>782.8</v>
      </c>
      <c r="P1857">
        <f t="shared" si="28"/>
        <v>0.29976133651551312</v>
      </c>
    </row>
    <row r="1858" spans="1:16" hidden="1" x14ac:dyDescent="0.25">
      <c r="A1858">
        <v>0</v>
      </c>
      <c r="B1858">
        <v>25000</v>
      </c>
      <c r="C1858">
        <f>1.225 * (1 - 0.00000687559 * B1858) ^ 4.2561</f>
        <v>0.54892259437885793</v>
      </c>
      <c r="D1858">
        <f>E1858*(SQRT($C$2/C1858))</f>
        <v>388.40591818366875</v>
      </c>
      <c r="E1858">
        <v>260</v>
      </c>
      <c r="F1858">
        <v>1215</v>
      </c>
      <c r="G1858">
        <v>1250</v>
      </c>
      <c r="H1858">
        <f>CONVERT(G1858,"HP","kW")</f>
        <v>932.12483947783778</v>
      </c>
      <c r="I1858">
        <v>0.50339999999999996</v>
      </c>
      <c r="J1858">
        <v>2.4902000000000002</v>
      </c>
      <c r="K1858">
        <v>0.86070000000000002</v>
      </c>
      <c r="L1858">
        <v>0.20949999999999999</v>
      </c>
      <c r="M1858">
        <v>4.24E-2</v>
      </c>
      <c r="N1858">
        <f>CONVERT(O1858,"lbf","N")</f>
        <v>2348.6610128575439</v>
      </c>
      <c r="O1858">
        <v>528</v>
      </c>
      <c r="P1858">
        <f t="shared" si="28"/>
        <v>0.20238663484486874</v>
      </c>
    </row>
    <row r="1859" spans="1:16" hidden="1" x14ac:dyDescent="0.25">
      <c r="A1859">
        <v>0</v>
      </c>
      <c r="B1859">
        <v>10000</v>
      </c>
      <c r="C1859">
        <f>1.225 * (1 - 0.00000687559 * B1859) ^ 4.2561</f>
        <v>0.90462252368600637</v>
      </c>
      <c r="D1859">
        <f>E1859*(SQRT($C$2/C1859))</f>
        <v>69.820924711962206</v>
      </c>
      <c r="E1859">
        <v>60</v>
      </c>
      <c r="F1859">
        <v>1150</v>
      </c>
      <c r="G1859">
        <v>1750</v>
      </c>
      <c r="H1859">
        <f>CONVERT(G1859,"HP","kW")</f>
        <v>1304.974775268973</v>
      </c>
      <c r="I1859">
        <v>0.57020000000000004</v>
      </c>
      <c r="J1859">
        <v>0.47289999999999999</v>
      </c>
      <c r="K1859">
        <v>0.51490000000000002</v>
      </c>
      <c r="L1859">
        <v>0.20960000000000001</v>
      </c>
      <c r="M1859">
        <v>0.25269999999999998</v>
      </c>
      <c r="N1859">
        <f>CONVERT(O1859,"lbf","N")</f>
        <v>20715.812884429677</v>
      </c>
      <c r="O1859">
        <v>4657.1000000000004</v>
      </c>
      <c r="P1859">
        <f t="shared" ref="P1859:P1922" si="29">M1859/L1859</f>
        <v>1.2056297709923662</v>
      </c>
    </row>
    <row r="1860" spans="1:16" hidden="1" x14ac:dyDescent="0.25">
      <c r="A1860">
        <v>0</v>
      </c>
      <c r="B1860">
        <v>10000</v>
      </c>
      <c r="C1860">
        <f>1.225 * (1 - 0.00000687559 * B1860) ^ 4.2561</f>
        <v>0.90462252368600637</v>
      </c>
      <c r="D1860">
        <f>E1860*(SQRT($C$2/C1860))</f>
        <v>93.09456628261627</v>
      </c>
      <c r="E1860">
        <v>80</v>
      </c>
      <c r="F1860">
        <v>1150</v>
      </c>
      <c r="G1860">
        <v>1750</v>
      </c>
      <c r="H1860">
        <f>CONVERT(G1860,"HP","kW")</f>
        <v>1304.974775268973</v>
      </c>
      <c r="I1860">
        <v>0.67979999999999996</v>
      </c>
      <c r="J1860">
        <v>0.63060000000000005</v>
      </c>
      <c r="K1860">
        <v>0.52569999999999995</v>
      </c>
      <c r="L1860">
        <v>0.20960000000000001</v>
      </c>
      <c r="M1860">
        <v>0.22589999999999999</v>
      </c>
      <c r="N1860">
        <f>CONVERT(O1860,"lbf","N")</f>
        <v>18524.174094590828</v>
      </c>
      <c r="O1860">
        <v>4164.3999999999996</v>
      </c>
      <c r="P1860">
        <f t="shared" si="29"/>
        <v>1.0777671755725189</v>
      </c>
    </row>
    <row r="1861" spans="1:16" hidden="1" x14ac:dyDescent="0.25">
      <c r="A1861">
        <v>0</v>
      </c>
      <c r="B1861">
        <v>10000</v>
      </c>
      <c r="C1861">
        <f>1.225 * (1 - 0.00000687559 * B1861) ^ 4.2561</f>
        <v>0.90462252368600637</v>
      </c>
      <c r="D1861">
        <f>E1861*(SQRT($C$2/C1861))</f>
        <v>0</v>
      </c>
      <c r="E1861">
        <v>0</v>
      </c>
      <c r="F1861">
        <v>1150</v>
      </c>
      <c r="G1861">
        <v>1750</v>
      </c>
      <c r="H1861">
        <f>CONVERT(G1861,"HP","kW")</f>
        <v>1304.974775268973</v>
      </c>
      <c r="I1861">
        <v>0</v>
      </c>
      <c r="J1861">
        <v>0</v>
      </c>
      <c r="K1861">
        <v>0.49359999999999998</v>
      </c>
      <c r="L1861">
        <v>0.2097</v>
      </c>
      <c r="M1861">
        <v>0.2772</v>
      </c>
      <c r="N1861">
        <f>CONVERT(O1861,"lbf","N")</f>
        <v>22715.288500489274</v>
      </c>
      <c r="O1861">
        <v>5106.6000000000004</v>
      </c>
      <c r="P1861">
        <f t="shared" si="29"/>
        <v>1.3218884120171674</v>
      </c>
    </row>
    <row r="1862" spans="1:16" hidden="1" x14ac:dyDescent="0.25">
      <c r="A1862">
        <v>0</v>
      </c>
      <c r="B1862">
        <v>10000</v>
      </c>
      <c r="C1862">
        <f>1.225 * (1 - 0.00000687559 * B1862) ^ 4.2561</f>
        <v>0.90462252368600637</v>
      </c>
      <c r="D1862">
        <f>E1862*(SQRT($C$2/C1862))</f>
        <v>23.273641570654068</v>
      </c>
      <c r="E1862">
        <v>20</v>
      </c>
      <c r="F1862">
        <v>1150</v>
      </c>
      <c r="G1862">
        <v>1750</v>
      </c>
      <c r="H1862">
        <f>CONVERT(G1862,"HP","kW")</f>
        <v>1304.974775268973</v>
      </c>
      <c r="I1862">
        <v>0.2107</v>
      </c>
      <c r="J1862">
        <v>0.15759999999999999</v>
      </c>
      <c r="K1862">
        <v>0.49859999999999999</v>
      </c>
      <c r="L1862">
        <v>0.2097</v>
      </c>
      <c r="M1862">
        <v>0.2802</v>
      </c>
      <c r="N1862">
        <f>CONVERT(O1862,"lbf","N")</f>
        <v>22960.38551149012</v>
      </c>
      <c r="O1862">
        <v>5161.7</v>
      </c>
      <c r="P1862">
        <f t="shared" si="29"/>
        <v>1.3361945636623749</v>
      </c>
    </row>
    <row r="1863" spans="1:16" hidden="1" x14ac:dyDescent="0.25">
      <c r="A1863">
        <v>0</v>
      </c>
      <c r="B1863">
        <v>10000</v>
      </c>
      <c r="C1863">
        <f>1.225 * (1 - 0.00000687559 * B1863) ^ 4.2561</f>
        <v>0.90462252368600637</v>
      </c>
      <c r="D1863">
        <f>E1863*(SQRT($C$2/C1863))</f>
        <v>46.547283141308135</v>
      </c>
      <c r="E1863">
        <v>40</v>
      </c>
      <c r="F1863">
        <v>1150</v>
      </c>
      <c r="G1863">
        <v>1750</v>
      </c>
      <c r="H1863">
        <f>CONVERT(G1863,"HP","kW")</f>
        <v>1304.974775268973</v>
      </c>
      <c r="I1863">
        <v>0.4118</v>
      </c>
      <c r="J1863">
        <v>0.31530000000000002</v>
      </c>
      <c r="K1863">
        <v>0.50570000000000004</v>
      </c>
      <c r="L1863">
        <v>0.2097</v>
      </c>
      <c r="M1863">
        <v>0.27389999999999998</v>
      </c>
      <c r="N1863">
        <f>CONVERT(O1863,"lbf","N")</f>
        <v>22439.498760343122</v>
      </c>
      <c r="O1863">
        <v>5044.6000000000004</v>
      </c>
      <c r="P1863">
        <f t="shared" si="29"/>
        <v>1.3061516452074391</v>
      </c>
    </row>
    <row r="1864" spans="1:16" hidden="1" x14ac:dyDescent="0.25">
      <c r="A1864">
        <v>0</v>
      </c>
      <c r="B1864">
        <v>10000</v>
      </c>
      <c r="C1864">
        <f>1.225 * (1 - 0.00000687559 * B1864) ^ 4.2561</f>
        <v>0.90462252368600637</v>
      </c>
      <c r="D1864">
        <f>E1864*(SQRT($C$2/C1864))</f>
        <v>139.64184942392441</v>
      </c>
      <c r="E1864">
        <v>120</v>
      </c>
      <c r="F1864">
        <v>1150</v>
      </c>
      <c r="G1864">
        <v>1750</v>
      </c>
      <c r="H1864">
        <f>CONVERT(G1864,"HP","kW")</f>
        <v>1304.974775268973</v>
      </c>
      <c r="I1864">
        <v>0.80700000000000005</v>
      </c>
      <c r="J1864">
        <v>0.94589999999999996</v>
      </c>
      <c r="K1864">
        <v>0.55210000000000004</v>
      </c>
      <c r="L1864">
        <v>0.2097</v>
      </c>
      <c r="M1864">
        <v>0.1789</v>
      </c>
      <c r="N1864">
        <f>CONVERT(O1864,"lbf","N")</f>
        <v>14659.114333090978</v>
      </c>
      <c r="O1864">
        <v>3295.5</v>
      </c>
      <c r="P1864">
        <f t="shared" si="29"/>
        <v>0.85312350977587037</v>
      </c>
    </row>
    <row r="1865" spans="1:16" hidden="1" x14ac:dyDescent="0.25">
      <c r="A1865">
        <v>0</v>
      </c>
      <c r="B1865">
        <v>10000</v>
      </c>
      <c r="C1865">
        <f>1.225 * (1 - 0.00000687559 * B1865) ^ 4.2561</f>
        <v>0.90462252368600637</v>
      </c>
      <c r="D1865">
        <f>E1865*(SQRT($C$2/C1865))</f>
        <v>162.91549099457848</v>
      </c>
      <c r="E1865">
        <v>140</v>
      </c>
      <c r="F1865">
        <v>1150</v>
      </c>
      <c r="G1865">
        <v>1750</v>
      </c>
      <c r="H1865">
        <f>CONVERT(G1865,"HP","kW")</f>
        <v>1304.974775268973</v>
      </c>
      <c r="I1865">
        <v>0.84209999999999996</v>
      </c>
      <c r="J1865">
        <v>1.1034999999999999</v>
      </c>
      <c r="K1865">
        <v>0.56799999999999995</v>
      </c>
      <c r="L1865">
        <v>0.2097</v>
      </c>
      <c r="M1865">
        <v>0.16</v>
      </c>
      <c r="N1865">
        <f>CONVERT(O1865,"lbf","N")</f>
        <v>13112.467677464901</v>
      </c>
      <c r="O1865">
        <v>2947.8</v>
      </c>
      <c r="P1865">
        <f t="shared" si="29"/>
        <v>0.76299475441106346</v>
      </c>
    </row>
    <row r="1866" spans="1:16" hidden="1" x14ac:dyDescent="0.25">
      <c r="A1866">
        <v>0</v>
      </c>
      <c r="B1866">
        <v>10000</v>
      </c>
      <c r="C1866">
        <f>1.225 * (1 - 0.00000687559 * B1866) ^ 4.2561</f>
        <v>0.90462252368600637</v>
      </c>
      <c r="D1866">
        <f>E1866*(SQRT($C$2/C1866))</f>
        <v>186.18913256523254</v>
      </c>
      <c r="E1866">
        <v>160</v>
      </c>
      <c r="F1866">
        <v>1150</v>
      </c>
      <c r="G1866">
        <v>1750</v>
      </c>
      <c r="H1866">
        <f>CONVERT(G1866,"HP","kW")</f>
        <v>1304.974775268973</v>
      </c>
      <c r="I1866">
        <v>0.86560000000000004</v>
      </c>
      <c r="J1866">
        <v>1.2612000000000001</v>
      </c>
      <c r="K1866">
        <v>0.58560000000000001</v>
      </c>
      <c r="L1866">
        <v>0.2097</v>
      </c>
      <c r="M1866">
        <v>0.1439</v>
      </c>
      <c r="N1866">
        <f>CONVERT(O1866,"lbf","N")</f>
        <v>11793.569968540165</v>
      </c>
      <c r="O1866">
        <v>2651.3</v>
      </c>
      <c r="P1866">
        <f t="shared" si="29"/>
        <v>0.68621840724845018</v>
      </c>
    </row>
    <row r="1867" spans="1:16" hidden="1" x14ac:dyDescent="0.25">
      <c r="A1867">
        <v>0</v>
      </c>
      <c r="B1867">
        <v>10000</v>
      </c>
      <c r="C1867">
        <f>1.225 * (1 - 0.00000687559 * B1867) ^ 4.2561</f>
        <v>0.90462252368600637</v>
      </c>
      <c r="D1867">
        <f>E1867*(SQRT($C$2/C1867))</f>
        <v>209.4627741358866</v>
      </c>
      <c r="E1867">
        <v>180</v>
      </c>
      <c r="F1867">
        <v>1150</v>
      </c>
      <c r="G1867">
        <v>1750</v>
      </c>
      <c r="H1867">
        <f>CONVERT(G1867,"HP","kW")</f>
        <v>1304.974775268973</v>
      </c>
      <c r="I1867">
        <v>0.88090000000000002</v>
      </c>
      <c r="J1867">
        <v>1.4188000000000001</v>
      </c>
      <c r="K1867">
        <v>0.60470000000000002</v>
      </c>
      <c r="L1867">
        <v>0.2097</v>
      </c>
      <c r="M1867">
        <v>0.13020000000000001</v>
      </c>
      <c r="N1867">
        <f>CONVERT(O1867,"lbf","N")</f>
        <v>10668.169899879258</v>
      </c>
      <c r="O1867">
        <v>2398.3000000000002</v>
      </c>
      <c r="P1867">
        <f t="shared" si="29"/>
        <v>0.62088698140200294</v>
      </c>
    </row>
    <row r="1868" spans="1:16" hidden="1" x14ac:dyDescent="0.25">
      <c r="A1868">
        <v>0</v>
      </c>
      <c r="B1868">
        <v>10000</v>
      </c>
      <c r="C1868">
        <f>1.225 * (1 - 0.00000687559 * B1868) ^ 4.2561</f>
        <v>0.90462252368600637</v>
      </c>
      <c r="D1868">
        <f>E1868*(SQRT($C$2/C1868))</f>
        <v>232.73641570654067</v>
      </c>
      <c r="E1868">
        <v>200</v>
      </c>
      <c r="F1868">
        <v>1150</v>
      </c>
      <c r="G1868">
        <v>1750</v>
      </c>
      <c r="H1868">
        <f>CONVERT(G1868,"HP","kW")</f>
        <v>1304.974775268973</v>
      </c>
      <c r="I1868">
        <v>0.89029999999999998</v>
      </c>
      <c r="J1868">
        <v>1.5765</v>
      </c>
      <c r="K1868">
        <v>0.62539999999999996</v>
      </c>
      <c r="L1868">
        <v>0.2097</v>
      </c>
      <c r="M1868">
        <v>0.11840000000000001</v>
      </c>
      <c r="N1868">
        <f>CONVERT(O1868,"lbf","N")</f>
        <v>9704.2402758523076</v>
      </c>
      <c r="O1868">
        <v>2181.6</v>
      </c>
      <c r="P1868">
        <f t="shared" si="29"/>
        <v>0.56461611826418701</v>
      </c>
    </row>
    <row r="1869" spans="1:16" hidden="1" x14ac:dyDescent="0.25">
      <c r="A1869">
        <v>0</v>
      </c>
      <c r="B1869">
        <v>10000</v>
      </c>
      <c r="C1869">
        <f>1.225 * (1 - 0.00000687559 * B1869) ^ 4.2561</f>
        <v>0.90462252368600637</v>
      </c>
      <c r="D1869">
        <f>E1869*(SQRT($C$2/C1869))</f>
        <v>256.01005727719473</v>
      </c>
      <c r="E1869">
        <v>220</v>
      </c>
      <c r="F1869">
        <v>1150</v>
      </c>
      <c r="G1869">
        <v>1750</v>
      </c>
      <c r="H1869">
        <f>CONVERT(G1869,"HP","kW")</f>
        <v>1304.974775268973</v>
      </c>
      <c r="I1869">
        <v>0.89510000000000001</v>
      </c>
      <c r="J1869">
        <v>1.7341</v>
      </c>
      <c r="K1869">
        <v>0.64739999999999998</v>
      </c>
      <c r="L1869">
        <v>0.2097</v>
      </c>
      <c r="M1869">
        <v>0.1082</v>
      </c>
      <c r="N1869">
        <f>CONVERT(O1869,"lbf","N")</f>
        <v>8869.3090786679113</v>
      </c>
      <c r="O1869">
        <v>1993.9</v>
      </c>
      <c r="P1869">
        <f t="shared" si="29"/>
        <v>0.51597520267048169</v>
      </c>
    </row>
    <row r="1870" spans="1:16" hidden="1" x14ac:dyDescent="0.25">
      <c r="A1870">
        <v>0</v>
      </c>
      <c r="B1870">
        <v>10000</v>
      </c>
      <c r="C1870">
        <f>1.225 * (1 - 0.00000687559 * B1870) ^ 4.2561</f>
        <v>0.90462252368600637</v>
      </c>
      <c r="D1870">
        <f>E1870*(SQRT($C$2/C1870))</f>
        <v>279.28369884784883</v>
      </c>
      <c r="E1870">
        <v>240</v>
      </c>
      <c r="F1870">
        <v>1150</v>
      </c>
      <c r="G1870">
        <v>1750</v>
      </c>
      <c r="H1870">
        <f>CONVERT(G1870,"HP","kW")</f>
        <v>1304.974775268973</v>
      </c>
      <c r="I1870">
        <v>0.89510000000000001</v>
      </c>
      <c r="J1870">
        <v>1.8917999999999999</v>
      </c>
      <c r="K1870">
        <v>0.67069999999999996</v>
      </c>
      <c r="L1870">
        <v>0.2097</v>
      </c>
      <c r="M1870">
        <v>9.9199999999999997E-2</v>
      </c>
      <c r="N1870">
        <f>CONVERT(O1870,"lbf","N")</f>
        <v>8130.459468373142</v>
      </c>
      <c r="O1870">
        <v>1827.8</v>
      </c>
      <c r="P1870">
        <f t="shared" si="29"/>
        <v>0.47305674773485928</v>
      </c>
    </row>
    <row r="1871" spans="1:16" hidden="1" x14ac:dyDescent="0.25">
      <c r="A1871">
        <v>0</v>
      </c>
      <c r="B1871">
        <v>10000</v>
      </c>
      <c r="C1871">
        <f>1.225 * (1 - 0.00000687559 * B1871) ^ 4.2561</f>
        <v>0.90462252368600637</v>
      </c>
      <c r="D1871">
        <f>E1871*(SQRT($C$2/C1871))</f>
        <v>302.55734041850286</v>
      </c>
      <c r="E1871">
        <v>260</v>
      </c>
      <c r="F1871">
        <v>1150</v>
      </c>
      <c r="G1871">
        <v>1750</v>
      </c>
      <c r="H1871">
        <f>CONVERT(G1871,"HP","kW")</f>
        <v>1304.974775268973</v>
      </c>
      <c r="I1871">
        <v>0.88700000000000001</v>
      </c>
      <c r="J1871">
        <v>2.0493999999999999</v>
      </c>
      <c r="K1871">
        <v>0.69499999999999995</v>
      </c>
      <c r="L1871">
        <v>0.2097</v>
      </c>
      <c r="M1871">
        <v>9.0800000000000006E-2</v>
      </c>
      <c r="N1871">
        <f>CONVERT(O1871,"lbf","N")</f>
        <v>7436.9817185540305</v>
      </c>
      <c r="O1871">
        <v>1671.9</v>
      </c>
      <c r="P1871">
        <f t="shared" si="29"/>
        <v>0.43299952312827855</v>
      </c>
    </row>
    <row r="1872" spans="1:16" hidden="1" x14ac:dyDescent="0.25">
      <c r="A1872">
        <v>0</v>
      </c>
      <c r="B1872">
        <v>0</v>
      </c>
      <c r="C1872">
        <f>1.225 * (1 - 0.00000687559 * B1872) ^ 4.2561</f>
        <v>1.2250000000000001</v>
      </c>
      <c r="D1872">
        <f>E1872*(SQRT($C$2/C1872))</f>
        <v>40</v>
      </c>
      <c r="E1872">
        <v>40</v>
      </c>
      <c r="F1872">
        <v>987</v>
      </c>
      <c r="G1872">
        <v>1500</v>
      </c>
      <c r="H1872">
        <f>CONVERT(G1872,"HP","kW")</f>
        <v>1118.5498073734054</v>
      </c>
      <c r="I1872">
        <v>0.41439999999999999</v>
      </c>
      <c r="J1872">
        <v>0.31569999999999998</v>
      </c>
      <c r="K1872">
        <v>0.41880000000000001</v>
      </c>
      <c r="L1872">
        <v>0.20979999999999999</v>
      </c>
      <c r="M1872">
        <v>0.27539999999999998</v>
      </c>
      <c r="N1872">
        <f>CONVERT(O1872,"lbf","N")</f>
        <v>22523.570148871542</v>
      </c>
      <c r="O1872">
        <v>5063.5</v>
      </c>
      <c r="P1872">
        <f t="shared" si="29"/>
        <v>1.3126787416587227</v>
      </c>
    </row>
    <row r="1873" spans="1:16" hidden="1" x14ac:dyDescent="0.25">
      <c r="A1873">
        <v>0</v>
      </c>
      <c r="B1873">
        <v>0</v>
      </c>
      <c r="C1873">
        <f>1.225 * (1 - 0.00000687559 * B1873) ^ 4.2561</f>
        <v>1.2250000000000001</v>
      </c>
      <c r="D1873">
        <f>E1873*(SQRT($C$2/C1873))</f>
        <v>0</v>
      </c>
      <c r="E1873">
        <v>0</v>
      </c>
      <c r="F1873">
        <v>987</v>
      </c>
      <c r="G1873">
        <v>1500</v>
      </c>
      <c r="H1873">
        <f>CONVERT(G1873,"HP","kW")</f>
        <v>1118.5498073734054</v>
      </c>
      <c r="I1873">
        <v>0</v>
      </c>
      <c r="J1873">
        <v>0</v>
      </c>
      <c r="K1873">
        <v>0.40870000000000001</v>
      </c>
      <c r="L1873">
        <v>0.2099</v>
      </c>
      <c r="M1873">
        <v>0.27729999999999999</v>
      </c>
      <c r="N1873">
        <f>CONVERT(O1873,"lbf","N")</f>
        <v>22667.692529205979</v>
      </c>
      <c r="O1873">
        <v>5095.8999999999996</v>
      </c>
      <c r="P1873">
        <f t="shared" si="29"/>
        <v>1.3211052882324916</v>
      </c>
    </row>
    <row r="1874" spans="1:16" hidden="1" x14ac:dyDescent="0.25">
      <c r="A1874">
        <v>0</v>
      </c>
      <c r="B1874">
        <v>0</v>
      </c>
      <c r="C1874">
        <f>1.225 * (1 - 0.00000687559 * B1874) ^ 4.2561</f>
        <v>1.2250000000000001</v>
      </c>
      <c r="D1874">
        <f>E1874*(SQRT($C$2/C1874))</f>
        <v>80</v>
      </c>
      <c r="E1874">
        <v>80</v>
      </c>
      <c r="F1874">
        <v>987</v>
      </c>
      <c r="G1874">
        <v>1500</v>
      </c>
      <c r="H1874">
        <f>CONVERT(G1874,"HP","kW")</f>
        <v>1118.5498073734054</v>
      </c>
      <c r="I1874">
        <v>0.68100000000000005</v>
      </c>
      <c r="J1874">
        <v>0.63139999999999996</v>
      </c>
      <c r="K1874">
        <v>0.43540000000000001</v>
      </c>
      <c r="L1874">
        <v>0.2099</v>
      </c>
      <c r="M1874">
        <v>0.22639999999999999</v>
      </c>
      <c r="N1874">
        <f>CONVERT(O1874,"lbf","N")</f>
        <v>18508.605318937414</v>
      </c>
      <c r="O1874">
        <v>4160.8999999999996</v>
      </c>
      <c r="P1874">
        <f t="shared" si="29"/>
        <v>1.0786088613625535</v>
      </c>
    </row>
    <row r="1875" spans="1:16" hidden="1" x14ac:dyDescent="0.25">
      <c r="A1875">
        <v>0</v>
      </c>
      <c r="B1875">
        <v>0</v>
      </c>
      <c r="C1875">
        <f>1.225 * (1 - 0.00000687559 * B1875) ^ 4.2561</f>
        <v>1.2250000000000001</v>
      </c>
      <c r="D1875">
        <f>E1875*(SQRT($C$2/C1875))</f>
        <v>100</v>
      </c>
      <c r="E1875">
        <v>100</v>
      </c>
      <c r="F1875">
        <v>987</v>
      </c>
      <c r="G1875">
        <v>1500</v>
      </c>
      <c r="H1875">
        <f>CONVERT(G1875,"HP","kW")</f>
        <v>1118.5498073734054</v>
      </c>
      <c r="I1875">
        <v>0.75619999999999998</v>
      </c>
      <c r="J1875">
        <v>0.78920000000000001</v>
      </c>
      <c r="K1875">
        <v>0.44569999999999999</v>
      </c>
      <c r="L1875">
        <v>0.2099</v>
      </c>
      <c r="M1875">
        <v>0.2011</v>
      </c>
      <c r="N1875">
        <f>CONVERT(O1875,"lbf","N")</f>
        <v>16441.071912164334</v>
      </c>
      <c r="O1875">
        <v>3696.1</v>
      </c>
      <c r="P1875">
        <f t="shared" si="29"/>
        <v>0.95807527393997138</v>
      </c>
    </row>
    <row r="1876" spans="1:16" hidden="1" x14ac:dyDescent="0.25">
      <c r="A1876">
        <v>0</v>
      </c>
      <c r="B1876">
        <v>0</v>
      </c>
      <c r="C1876">
        <f>1.225 * (1 - 0.00000687559 * B1876) ^ 4.2561</f>
        <v>1.2250000000000001</v>
      </c>
      <c r="D1876">
        <f>E1876*(SQRT($C$2/C1876))</f>
        <v>20</v>
      </c>
      <c r="E1876">
        <v>20</v>
      </c>
      <c r="F1876">
        <v>987</v>
      </c>
      <c r="G1876">
        <v>1500</v>
      </c>
      <c r="H1876">
        <f>CONVERT(G1876,"HP","kW")</f>
        <v>1118.5498073734054</v>
      </c>
      <c r="I1876">
        <v>0.21199999999999999</v>
      </c>
      <c r="J1876">
        <v>0.1578</v>
      </c>
      <c r="K1876">
        <v>0.41289999999999999</v>
      </c>
      <c r="L1876">
        <v>0.21</v>
      </c>
      <c r="M1876">
        <v>0.28210000000000002</v>
      </c>
      <c r="N1876">
        <f>CONVERT(O1876,"lbf","N")</f>
        <v>23051.574054602963</v>
      </c>
      <c r="O1876">
        <v>5182.2</v>
      </c>
      <c r="P1876">
        <f t="shared" si="29"/>
        <v>1.3433333333333335</v>
      </c>
    </row>
    <row r="1877" spans="1:16" hidden="1" x14ac:dyDescent="0.25">
      <c r="A1877">
        <v>0</v>
      </c>
      <c r="B1877">
        <v>0</v>
      </c>
      <c r="C1877">
        <f>1.225 * (1 - 0.00000687559 * B1877) ^ 4.2561</f>
        <v>1.2250000000000001</v>
      </c>
      <c r="D1877">
        <f>E1877*(SQRT($C$2/C1877))</f>
        <v>60</v>
      </c>
      <c r="E1877">
        <v>60</v>
      </c>
      <c r="F1877">
        <v>987</v>
      </c>
      <c r="G1877">
        <v>1500</v>
      </c>
      <c r="H1877">
        <f>CONVERT(G1877,"HP","kW")</f>
        <v>1118.5498073734054</v>
      </c>
      <c r="I1877">
        <v>0.57110000000000005</v>
      </c>
      <c r="J1877">
        <v>0.47349999999999998</v>
      </c>
      <c r="K1877">
        <v>0.42649999999999999</v>
      </c>
      <c r="L1877">
        <v>0.21</v>
      </c>
      <c r="M1877">
        <v>0.25330000000000003</v>
      </c>
      <c r="N1877">
        <f>CONVERT(O1877,"lbf","N")</f>
        <v>20694.906242837948</v>
      </c>
      <c r="O1877">
        <v>4652.3999999999996</v>
      </c>
      <c r="P1877">
        <f t="shared" si="29"/>
        <v>1.2061904761904763</v>
      </c>
    </row>
    <row r="1878" spans="1:16" hidden="1" x14ac:dyDescent="0.25">
      <c r="A1878">
        <v>0</v>
      </c>
      <c r="B1878">
        <v>0</v>
      </c>
      <c r="C1878">
        <f>1.225 * (1 - 0.00000687559 * B1878) ^ 4.2561</f>
        <v>1.2250000000000001</v>
      </c>
      <c r="D1878">
        <f>E1878*(SQRT($C$2/C1878))</f>
        <v>120</v>
      </c>
      <c r="E1878">
        <v>120</v>
      </c>
      <c r="F1878">
        <v>987</v>
      </c>
      <c r="G1878">
        <v>1500</v>
      </c>
      <c r="H1878">
        <f>CONVERT(G1878,"HP","kW")</f>
        <v>1118.5498073734054</v>
      </c>
      <c r="I1878">
        <v>0.80769999999999997</v>
      </c>
      <c r="J1878">
        <v>0.94710000000000005</v>
      </c>
      <c r="K1878">
        <v>0.45739999999999997</v>
      </c>
      <c r="L1878">
        <v>0.21</v>
      </c>
      <c r="M1878">
        <v>0.17910000000000001</v>
      </c>
      <c r="N1878">
        <f>CONVERT(O1878,"lbf","N")</f>
        <v>14634.649114207046</v>
      </c>
      <c r="O1878">
        <v>3290</v>
      </c>
      <c r="P1878">
        <f t="shared" si="29"/>
        <v>0.85285714285714298</v>
      </c>
    </row>
    <row r="1879" spans="1:16" hidden="1" x14ac:dyDescent="0.25">
      <c r="A1879">
        <v>0</v>
      </c>
      <c r="B1879">
        <v>0</v>
      </c>
      <c r="C1879">
        <f>1.225 * (1 - 0.00000687559 * B1879) ^ 4.2561</f>
        <v>1.2250000000000001</v>
      </c>
      <c r="D1879">
        <f>E1879*(SQRT($C$2/C1879))</f>
        <v>140</v>
      </c>
      <c r="E1879">
        <v>140</v>
      </c>
      <c r="F1879">
        <v>987</v>
      </c>
      <c r="G1879">
        <v>1500</v>
      </c>
      <c r="H1879">
        <f>CONVERT(G1879,"HP","kW")</f>
        <v>1118.5498073734054</v>
      </c>
      <c r="I1879">
        <v>0.84260000000000002</v>
      </c>
      <c r="J1879">
        <v>1.1049</v>
      </c>
      <c r="K1879">
        <v>0.47060000000000002</v>
      </c>
      <c r="L1879">
        <v>0.21</v>
      </c>
      <c r="M1879">
        <v>0.16009999999999999</v>
      </c>
      <c r="N1879">
        <f>CONVERT(O1879,"lbf","N")</f>
        <v>13085.778347773339</v>
      </c>
      <c r="O1879">
        <v>2941.8</v>
      </c>
      <c r="P1879">
        <f t="shared" si="29"/>
        <v>0.76238095238095238</v>
      </c>
    </row>
    <row r="1880" spans="1:16" hidden="1" x14ac:dyDescent="0.25">
      <c r="A1880">
        <v>0</v>
      </c>
      <c r="B1880">
        <v>0</v>
      </c>
      <c r="C1880">
        <f>1.225 * (1 - 0.00000687559 * B1880) ^ 4.2561</f>
        <v>1.2250000000000001</v>
      </c>
      <c r="D1880">
        <f>E1880*(SQRT($C$2/C1880))</f>
        <v>160</v>
      </c>
      <c r="E1880">
        <v>160</v>
      </c>
      <c r="F1880">
        <v>987</v>
      </c>
      <c r="G1880">
        <v>1500</v>
      </c>
      <c r="H1880">
        <f>CONVERT(G1880,"HP","kW")</f>
        <v>1118.5498073734054</v>
      </c>
      <c r="I1880">
        <v>0.86580000000000001</v>
      </c>
      <c r="J1880">
        <v>1.2627999999999999</v>
      </c>
      <c r="K1880">
        <v>0.48520000000000002</v>
      </c>
      <c r="L1880">
        <v>0.21</v>
      </c>
      <c r="M1880">
        <v>0.14399999999999999</v>
      </c>
      <c r="N1880">
        <f>CONVERT(O1880,"lbf","N")</f>
        <v>11765.990994525549</v>
      </c>
      <c r="O1880">
        <v>2645.1</v>
      </c>
      <c r="P1880">
        <f t="shared" si="29"/>
        <v>0.68571428571428572</v>
      </c>
    </row>
    <row r="1881" spans="1:16" hidden="1" x14ac:dyDescent="0.25">
      <c r="A1881">
        <v>0</v>
      </c>
      <c r="B1881">
        <v>0</v>
      </c>
      <c r="C1881">
        <f>1.225 * (1 - 0.00000687559 * B1881) ^ 4.2561</f>
        <v>1.2250000000000001</v>
      </c>
      <c r="D1881">
        <f>E1881*(SQRT($C$2/C1881))</f>
        <v>180</v>
      </c>
      <c r="E1881">
        <v>180</v>
      </c>
      <c r="F1881">
        <v>987</v>
      </c>
      <c r="G1881">
        <v>1500</v>
      </c>
      <c r="H1881">
        <f>CONVERT(G1881,"HP","kW")</f>
        <v>1118.5498073734054</v>
      </c>
      <c r="I1881">
        <v>0.88080000000000003</v>
      </c>
      <c r="J1881">
        <v>1.4206000000000001</v>
      </c>
      <c r="K1881">
        <v>0.50109999999999999</v>
      </c>
      <c r="L1881">
        <v>0.21</v>
      </c>
      <c r="M1881">
        <v>0.13020000000000001</v>
      </c>
      <c r="N1881">
        <f>CONVERT(O1881,"lbf","N")</f>
        <v>10640.146103703117</v>
      </c>
      <c r="O1881">
        <v>2392</v>
      </c>
      <c r="P1881">
        <f t="shared" si="29"/>
        <v>0.62000000000000011</v>
      </c>
    </row>
    <row r="1882" spans="1:16" hidden="1" x14ac:dyDescent="0.25">
      <c r="A1882">
        <v>0</v>
      </c>
      <c r="B1882">
        <v>0</v>
      </c>
      <c r="C1882">
        <f>1.225 * (1 - 0.00000687559 * B1882) ^ 4.2561</f>
        <v>1.2250000000000001</v>
      </c>
      <c r="D1882">
        <f>E1882*(SQRT($C$2/C1882))</f>
        <v>200</v>
      </c>
      <c r="E1882">
        <v>200</v>
      </c>
      <c r="F1882">
        <v>987</v>
      </c>
      <c r="G1882">
        <v>1500</v>
      </c>
      <c r="H1882">
        <f>CONVERT(G1882,"HP","kW")</f>
        <v>1118.5498073734054</v>
      </c>
      <c r="I1882">
        <v>0.8901</v>
      </c>
      <c r="J1882">
        <v>1.5785</v>
      </c>
      <c r="K1882">
        <v>0.51819999999999999</v>
      </c>
      <c r="L1882">
        <v>0.21</v>
      </c>
      <c r="M1882">
        <v>0.11840000000000001</v>
      </c>
      <c r="N1882">
        <f>CONVERT(O1882,"lbf","N")</f>
        <v>9676.2164796761663</v>
      </c>
      <c r="O1882">
        <v>2175.3000000000002</v>
      </c>
      <c r="P1882">
        <f t="shared" si="29"/>
        <v>0.56380952380952387</v>
      </c>
    </row>
    <row r="1883" spans="1:16" hidden="1" x14ac:dyDescent="0.25">
      <c r="A1883">
        <v>0</v>
      </c>
      <c r="B1883">
        <v>0</v>
      </c>
      <c r="C1883">
        <f>1.225 * (1 - 0.00000687559 * B1883) ^ 4.2561</f>
        <v>1.2250000000000001</v>
      </c>
      <c r="D1883">
        <f>E1883*(SQRT($C$2/C1883))</f>
        <v>220</v>
      </c>
      <c r="E1883">
        <v>220</v>
      </c>
      <c r="F1883">
        <v>987</v>
      </c>
      <c r="G1883">
        <v>1500</v>
      </c>
      <c r="H1883">
        <f>CONVERT(G1883,"HP","kW")</f>
        <v>1118.5498073734054</v>
      </c>
      <c r="I1883">
        <v>0.89480000000000004</v>
      </c>
      <c r="J1883">
        <v>1.7363</v>
      </c>
      <c r="K1883">
        <v>0.53649999999999998</v>
      </c>
      <c r="L1883">
        <v>0.21</v>
      </c>
      <c r="M1883">
        <v>0.1082</v>
      </c>
      <c r="N1883">
        <f>CONVERT(O1883,"lbf","N")</f>
        <v>8843.0645711378747</v>
      </c>
      <c r="O1883">
        <v>1988</v>
      </c>
      <c r="P1883">
        <f t="shared" si="29"/>
        <v>0.51523809523809527</v>
      </c>
    </row>
    <row r="1884" spans="1:16" hidden="1" x14ac:dyDescent="0.25">
      <c r="A1884">
        <v>0</v>
      </c>
      <c r="B1884">
        <v>0</v>
      </c>
      <c r="C1884">
        <f>1.225 * (1 - 0.00000687559 * B1884) ^ 4.2561</f>
        <v>1.2250000000000001</v>
      </c>
      <c r="D1884">
        <f>E1884*(SQRT($C$2/C1884))</f>
        <v>240</v>
      </c>
      <c r="E1884">
        <v>240</v>
      </c>
      <c r="F1884">
        <v>987</v>
      </c>
      <c r="G1884">
        <v>1500</v>
      </c>
      <c r="H1884">
        <f>CONVERT(G1884,"HP","kW")</f>
        <v>1118.5498073734054</v>
      </c>
      <c r="I1884">
        <v>0.89539999999999997</v>
      </c>
      <c r="J1884">
        <v>1.8942000000000001</v>
      </c>
      <c r="K1884">
        <v>0.55579999999999996</v>
      </c>
      <c r="L1884">
        <v>0.21</v>
      </c>
      <c r="M1884">
        <v>9.9299999999999999E-2</v>
      </c>
      <c r="N1884">
        <f>CONVERT(O1884,"lbf","N")</f>
        <v>8112.2217597505751</v>
      </c>
      <c r="O1884">
        <v>1823.7</v>
      </c>
      <c r="P1884">
        <f t="shared" si="29"/>
        <v>0.47285714285714286</v>
      </c>
    </row>
    <row r="1885" spans="1:16" hidden="1" x14ac:dyDescent="0.25">
      <c r="A1885">
        <v>0</v>
      </c>
      <c r="B1885">
        <v>0</v>
      </c>
      <c r="C1885">
        <f>1.225 * (1 - 0.00000687559 * B1885) ^ 4.2561</f>
        <v>1.2250000000000001</v>
      </c>
      <c r="D1885">
        <f>E1885*(SQRT($C$2/C1885))</f>
        <v>260</v>
      </c>
      <c r="E1885">
        <v>260</v>
      </c>
      <c r="F1885">
        <v>987</v>
      </c>
      <c r="G1885">
        <v>1500</v>
      </c>
      <c r="H1885">
        <f>CONVERT(G1885,"HP","kW")</f>
        <v>1118.5498073734054</v>
      </c>
      <c r="I1885">
        <v>0.89170000000000005</v>
      </c>
      <c r="J1885">
        <v>2.052</v>
      </c>
      <c r="K1885">
        <v>0.57599999999999996</v>
      </c>
      <c r="L1885">
        <v>0.21</v>
      </c>
      <c r="M1885">
        <v>9.1300000000000006E-2</v>
      </c>
      <c r="N1885">
        <f>CONVERT(O1885,"lbf","N")</f>
        <v>7456.9987158227023</v>
      </c>
      <c r="O1885">
        <v>1676.4</v>
      </c>
      <c r="P1885">
        <f t="shared" si="29"/>
        <v>0.43476190476190479</v>
      </c>
    </row>
    <row r="1886" spans="1:16" hidden="1" x14ac:dyDescent="0.25">
      <c r="A1886">
        <v>0</v>
      </c>
      <c r="B1886">
        <v>15000</v>
      </c>
      <c r="C1886">
        <f>1.225 * (1 - 0.00000687559 * B1886) ^ 4.2561</f>
        <v>0.77079726910167001</v>
      </c>
      <c r="D1886">
        <f>E1886*(SQRT($C$2/C1886))</f>
        <v>0</v>
      </c>
      <c r="E1886">
        <v>0</v>
      </c>
      <c r="F1886">
        <v>1150</v>
      </c>
      <c r="G1886">
        <v>1500</v>
      </c>
      <c r="H1886">
        <f>CONVERT(G1886,"HP","kW")</f>
        <v>1118.5498073734054</v>
      </c>
      <c r="I1886">
        <v>0</v>
      </c>
      <c r="J1886">
        <v>0</v>
      </c>
      <c r="K1886">
        <v>0.50290000000000001</v>
      </c>
      <c r="L1886">
        <v>0.2109</v>
      </c>
      <c r="M1886">
        <v>0.2762</v>
      </c>
      <c r="N1886">
        <f>CONVERT(O1886,"lbf","N")</f>
        <v>19286.599279446476</v>
      </c>
      <c r="O1886">
        <v>4335.8</v>
      </c>
      <c r="P1886">
        <f t="shared" si="29"/>
        <v>1.3096254148885729</v>
      </c>
    </row>
    <row r="1887" spans="1:16" hidden="1" x14ac:dyDescent="0.25">
      <c r="A1887">
        <v>0</v>
      </c>
      <c r="B1887">
        <v>15000</v>
      </c>
      <c r="C1887">
        <f>1.225 * (1 - 0.00000687559 * B1887) ^ 4.2561</f>
        <v>0.77079726910167001</v>
      </c>
      <c r="D1887">
        <f>E1887*(SQRT($C$2/C1887))</f>
        <v>50.426398555066115</v>
      </c>
      <c r="E1887">
        <v>40</v>
      </c>
      <c r="F1887">
        <v>1150</v>
      </c>
      <c r="G1887">
        <v>1500</v>
      </c>
      <c r="H1887">
        <f>CONVERT(G1887,"HP","kW")</f>
        <v>1118.5498073734054</v>
      </c>
      <c r="I1887">
        <v>0.44019999999999998</v>
      </c>
      <c r="J1887">
        <v>0.34160000000000001</v>
      </c>
      <c r="K1887">
        <v>0.51670000000000005</v>
      </c>
      <c r="L1887">
        <v>0.2109</v>
      </c>
      <c r="M1887">
        <v>0.27179999999999999</v>
      </c>
      <c r="N1887">
        <f>CONVERT(O1887,"lbf","N")</f>
        <v>18979.671987993501</v>
      </c>
      <c r="O1887">
        <v>4266.8</v>
      </c>
      <c r="P1887">
        <f t="shared" si="29"/>
        <v>1.2887624466571834</v>
      </c>
    </row>
    <row r="1888" spans="1:16" hidden="1" x14ac:dyDescent="0.25">
      <c r="A1888">
        <v>0</v>
      </c>
      <c r="B1888">
        <v>15000</v>
      </c>
      <c r="C1888">
        <f>1.225 * (1 - 0.00000687559 * B1888) ^ 4.2561</f>
        <v>0.77079726910167001</v>
      </c>
      <c r="D1888">
        <f>E1888*(SQRT($C$2/C1888))</f>
        <v>75.639597832599179</v>
      </c>
      <c r="E1888">
        <v>60</v>
      </c>
      <c r="F1888">
        <v>1150</v>
      </c>
      <c r="G1888">
        <v>1500</v>
      </c>
      <c r="H1888">
        <f>CONVERT(G1888,"HP","kW")</f>
        <v>1118.5498073734054</v>
      </c>
      <c r="I1888">
        <v>0.60029999999999994</v>
      </c>
      <c r="J1888">
        <v>0.51239999999999997</v>
      </c>
      <c r="K1888">
        <v>0.5272</v>
      </c>
      <c r="L1888">
        <v>0.2109</v>
      </c>
      <c r="M1888">
        <v>0.24709999999999999</v>
      </c>
      <c r="N1888">
        <f>CONVERT(O1888,"lbf","N")</f>
        <v>17255.98611208006</v>
      </c>
      <c r="O1888">
        <v>3879.3</v>
      </c>
      <c r="P1888">
        <f t="shared" si="29"/>
        <v>1.1716453295400664</v>
      </c>
    </row>
    <row r="1889" spans="1:16" hidden="1" x14ac:dyDescent="0.25">
      <c r="A1889">
        <v>0</v>
      </c>
      <c r="B1889">
        <v>15000</v>
      </c>
      <c r="C1889">
        <f>1.225 * (1 - 0.00000687559 * B1889) ^ 4.2561</f>
        <v>0.77079726910167001</v>
      </c>
      <c r="D1889">
        <f>E1889*(SQRT($C$2/C1889))</f>
        <v>126.06599638766529</v>
      </c>
      <c r="E1889">
        <v>100</v>
      </c>
      <c r="F1889">
        <v>1150</v>
      </c>
      <c r="G1889">
        <v>1500</v>
      </c>
      <c r="H1889">
        <f>CONVERT(G1889,"HP","kW")</f>
        <v>1118.5498073734054</v>
      </c>
      <c r="I1889">
        <v>0.7782</v>
      </c>
      <c r="J1889">
        <v>0.85389999999999999</v>
      </c>
      <c r="K1889">
        <v>0.55400000000000005</v>
      </c>
      <c r="L1889">
        <v>0.2109</v>
      </c>
      <c r="M1889">
        <v>0.19220000000000001</v>
      </c>
      <c r="N1889">
        <f>CONVERT(O1889,"lbf","N")</f>
        <v>13422.508724048559</v>
      </c>
      <c r="O1889">
        <v>3017.5</v>
      </c>
      <c r="P1889">
        <f t="shared" si="29"/>
        <v>0.91133238501659553</v>
      </c>
    </row>
    <row r="1890" spans="1:16" hidden="1" x14ac:dyDescent="0.25">
      <c r="A1890">
        <v>0</v>
      </c>
      <c r="B1890">
        <v>15000</v>
      </c>
      <c r="C1890">
        <f>1.225 * (1 - 0.00000687559 * B1890) ^ 4.2561</f>
        <v>0.77079726910167001</v>
      </c>
      <c r="D1890">
        <f>E1890*(SQRT($C$2/C1890))</f>
        <v>151.27919566519836</v>
      </c>
      <c r="E1890">
        <v>120</v>
      </c>
      <c r="F1890">
        <v>1150</v>
      </c>
      <c r="G1890">
        <v>1500</v>
      </c>
      <c r="H1890">
        <f>CONVERT(G1890,"HP","kW")</f>
        <v>1118.5498073734054</v>
      </c>
      <c r="I1890">
        <v>0.82550000000000001</v>
      </c>
      <c r="J1890">
        <v>1.0246999999999999</v>
      </c>
      <c r="K1890">
        <v>0.57050000000000001</v>
      </c>
      <c r="L1890">
        <v>0.2109</v>
      </c>
      <c r="M1890">
        <v>0.1699</v>
      </c>
      <c r="N1890">
        <f>CONVERT(O1890,"lbf","N")</f>
        <v>11865.186336545858</v>
      </c>
      <c r="O1890">
        <v>2667.4</v>
      </c>
      <c r="P1890">
        <f t="shared" si="29"/>
        <v>0.80559506875296349</v>
      </c>
    </row>
    <row r="1891" spans="1:16" hidden="1" x14ac:dyDescent="0.25">
      <c r="A1891">
        <v>0</v>
      </c>
      <c r="B1891">
        <v>15000</v>
      </c>
      <c r="C1891">
        <f>1.225 * (1 - 0.00000687559 * B1891) ^ 4.2561</f>
        <v>0.77079726910167001</v>
      </c>
      <c r="D1891">
        <f>E1891*(SQRT($C$2/C1891))</f>
        <v>176.49239494273141</v>
      </c>
      <c r="E1891">
        <v>140</v>
      </c>
      <c r="F1891">
        <v>1150</v>
      </c>
      <c r="G1891">
        <v>1500</v>
      </c>
      <c r="H1891">
        <f>CONVERT(G1891,"HP","kW")</f>
        <v>1118.5498073734054</v>
      </c>
      <c r="I1891">
        <v>0.85640000000000005</v>
      </c>
      <c r="J1891">
        <v>1.1955</v>
      </c>
      <c r="K1891">
        <v>0.58899999999999997</v>
      </c>
      <c r="L1891">
        <v>0.2109</v>
      </c>
      <c r="M1891">
        <v>0.15110000000000001</v>
      </c>
      <c r="N1891">
        <f>CONVERT(O1891,"lbf","N")</f>
        <v>10551.181671397906</v>
      </c>
      <c r="O1891">
        <v>2372</v>
      </c>
      <c r="P1891">
        <f t="shared" si="29"/>
        <v>0.71645329540066383</v>
      </c>
    </row>
    <row r="1892" spans="1:16" hidden="1" x14ac:dyDescent="0.25">
      <c r="A1892">
        <v>0</v>
      </c>
      <c r="B1892">
        <v>15000</v>
      </c>
      <c r="C1892">
        <f>1.225 * (1 - 0.00000687559 * B1892) ^ 4.2561</f>
        <v>0.77079726910167001</v>
      </c>
      <c r="D1892">
        <f>E1892*(SQRT($C$2/C1892))</f>
        <v>201.70559422026446</v>
      </c>
      <c r="E1892">
        <v>160</v>
      </c>
      <c r="F1892">
        <v>1150</v>
      </c>
      <c r="G1892">
        <v>1500</v>
      </c>
      <c r="H1892">
        <f>CONVERT(G1892,"HP","kW")</f>
        <v>1118.5498073734054</v>
      </c>
      <c r="I1892">
        <v>0.87619999999999998</v>
      </c>
      <c r="J1892">
        <v>1.3663000000000001</v>
      </c>
      <c r="K1892">
        <v>0.60950000000000004</v>
      </c>
      <c r="L1892">
        <v>0.2109</v>
      </c>
      <c r="M1892">
        <v>0.1353</v>
      </c>
      <c r="N1892">
        <f>CONVERT(O1892,"lbf","N")</f>
        <v>9445.353777844146</v>
      </c>
      <c r="O1892">
        <v>2123.4</v>
      </c>
      <c r="P1892">
        <f t="shared" si="29"/>
        <v>0.64153627311522043</v>
      </c>
    </row>
    <row r="1893" spans="1:16" hidden="1" x14ac:dyDescent="0.25">
      <c r="A1893">
        <v>0</v>
      </c>
      <c r="B1893">
        <v>15000</v>
      </c>
      <c r="C1893">
        <f>1.225 * (1 - 0.00000687559 * B1893) ^ 4.2561</f>
        <v>0.77079726910167001</v>
      </c>
      <c r="D1893">
        <f>E1893*(SQRT($C$2/C1893))</f>
        <v>226.91879349779754</v>
      </c>
      <c r="E1893">
        <v>180</v>
      </c>
      <c r="F1893">
        <v>1150</v>
      </c>
      <c r="G1893">
        <v>1500</v>
      </c>
      <c r="H1893">
        <f>CONVERT(G1893,"HP","kW")</f>
        <v>1118.5498073734054</v>
      </c>
      <c r="I1893">
        <v>0.88829999999999998</v>
      </c>
      <c r="J1893">
        <v>1.5370999999999999</v>
      </c>
      <c r="K1893">
        <v>0.63180000000000003</v>
      </c>
      <c r="L1893">
        <v>0.2109</v>
      </c>
      <c r="M1893">
        <v>0.12189999999999999</v>
      </c>
      <c r="N1893">
        <f>CONVERT(O1893,"lbf","N")</f>
        <v>8511.6720608009673</v>
      </c>
      <c r="O1893">
        <v>1913.5</v>
      </c>
      <c r="P1893">
        <f t="shared" si="29"/>
        <v>0.57799905168326215</v>
      </c>
    </row>
    <row r="1894" spans="1:16" hidden="1" x14ac:dyDescent="0.25">
      <c r="A1894" s="4">
        <v>0</v>
      </c>
      <c r="B1894" s="4">
        <v>15000</v>
      </c>
      <c r="C1894" s="4">
        <f>1.225 * (1 - 0.00000687559 * B1894) ^ 4.2561</f>
        <v>0.77079726910167001</v>
      </c>
      <c r="D1894" s="4">
        <f>E1894*(SQRT($C$2/C1894))</f>
        <v>252.13199277533059</v>
      </c>
      <c r="E1894" s="4">
        <v>200</v>
      </c>
      <c r="F1894" s="4">
        <v>1150</v>
      </c>
      <c r="G1894" s="4">
        <v>1500</v>
      </c>
      <c r="H1894" s="4">
        <f>CONVERT(G1894,"HP","kW")</f>
        <v>1118.5498073734054</v>
      </c>
      <c r="I1894" s="4">
        <v>0.89459999999999995</v>
      </c>
      <c r="J1894" s="4">
        <v>1.7079</v>
      </c>
      <c r="K1894" s="4">
        <v>0.65590000000000004</v>
      </c>
      <c r="L1894" s="4">
        <v>0.2109</v>
      </c>
      <c r="M1894" s="4">
        <v>0.1105</v>
      </c>
      <c r="N1894">
        <f>CONVERT(O1894,"lbf","N")</f>
        <v>7714.5507473462858</v>
      </c>
      <c r="O1894" s="4">
        <v>1734.3</v>
      </c>
      <c r="P1894">
        <f t="shared" si="29"/>
        <v>0.5239449976292081</v>
      </c>
    </row>
    <row r="1895" spans="1:16" hidden="1" x14ac:dyDescent="0.25">
      <c r="A1895">
        <v>0</v>
      </c>
      <c r="B1895">
        <v>15000</v>
      </c>
      <c r="C1895">
        <f>1.225 * (1 - 0.00000687559 * B1895) ^ 4.2561</f>
        <v>0.77079726910167001</v>
      </c>
      <c r="D1895">
        <f>E1895*(SQRT($C$2/C1895))</f>
        <v>277.34519205286364</v>
      </c>
      <c r="E1895">
        <v>220</v>
      </c>
      <c r="F1895">
        <v>1150</v>
      </c>
      <c r="G1895">
        <v>1500</v>
      </c>
      <c r="H1895">
        <f>CONVERT(G1895,"HP","kW")</f>
        <v>1118.5498073734054</v>
      </c>
      <c r="I1895">
        <v>0.89480000000000004</v>
      </c>
      <c r="J1895">
        <v>1.8787</v>
      </c>
      <c r="K1895">
        <v>0.68140000000000001</v>
      </c>
      <c r="L1895">
        <v>0.2109</v>
      </c>
      <c r="M1895">
        <v>0.10050000000000001</v>
      </c>
      <c r="N1895">
        <f>CONVERT(O1895,"lbf","N")</f>
        <v>7015.2903094273343</v>
      </c>
      <c r="O1895">
        <v>1577.1</v>
      </c>
      <c r="P1895">
        <f t="shared" si="29"/>
        <v>0.4765291607396871</v>
      </c>
    </row>
    <row r="1896" spans="1:16" hidden="1" x14ac:dyDescent="0.25">
      <c r="A1896">
        <v>0</v>
      </c>
      <c r="B1896">
        <v>15000</v>
      </c>
      <c r="C1896">
        <f>1.225 * (1 - 0.00000687559 * B1896) ^ 4.2561</f>
        <v>0.77079726910167001</v>
      </c>
      <c r="D1896">
        <f>E1896*(SQRT($C$2/C1896))</f>
        <v>25.213199277533057</v>
      </c>
      <c r="E1896">
        <v>20</v>
      </c>
      <c r="F1896">
        <v>1150</v>
      </c>
      <c r="G1896">
        <v>1500</v>
      </c>
      <c r="H1896">
        <f>CONVERT(G1896,"HP","kW")</f>
        <v>1118.5498073734054</v>
      </c>
      <c r="I1896">
        <v>0.22639999999999999</v>
      </c>
      <c r="J1896">
        <v>0.17080000000000001</v>
      </c>
      <c r="K1896">
        <v>0.50860000000000005</v>
      </c>
      <c r="L1896">
        <v>0.21099999999999999</v>
      </c>
      <c r="M1896">
        <v>0.2797</v>
      </c>
      <c r="N1896">
        <f>CONVERT(O1896,"lbf","N")</f>
        <v>19526.358424509017</v>
      </c>
      <c r="O1896">
        <v>4389.7</v>
      </c>
      <c r="P1896">
        <f t="shared" si="29"/>
        <v>1.3255924170616113</v>
      </c>
    </row>
    <row r="1897" spans="1:16" hidden="1" x14ac:dyDescent="0.25">
      <c r="A1897">
        <v>0</v>
      </c>
      <c r="B1897">
        <v>15000</v>
      </c>
      <c r="C1897">
        <f>1.225 * (1 - 0.00000687559 * B1897) ^ 4.2561</f>
        <v>0.77079726910167001</v>
      </c>
      <c r="D1897">
        <f>E1897*(SQRT($C$2/C1897))</f>
        <v>100.85279711013223</v>
      </c>
      <c r="E1897">
        <v>80</v>
      </c>
      <c r="F1897">
        <v>1150</v>
      </c>
      <c r="G1897">
        <v>1500</v>
      </c>
      <c r="H1897">
        <f>CONVERT(G1897,"HP","kW")</f>
        <v>1118.5498073734054</v>
      </c>
      <c r="I1897">
        <v>0.70679999999999998</v>
      </c>
      <c r="J1897">
        <v>0.68310000000000004</v>
      </c>
      <c r="K1897">
        <v>0.53959999999999997</v>
      </c>
      <c r="L1897">
        <v>0.21099999999999999</v>
      </c>
      <c r="M1897">
        <v>0.21829999999999999</v>
      </c>
      <c r="N1897">
        <f>CONVERT(O1897,"lbf","N")</f>
        <v>15238.272787397895</v>
      </c>
      <c r="O1897">
        <v>3425.7</v>
      </c>
      <c r="P1897">
        <f t="shared" si="29"/>
        <v>1.0345971563981042</v>
      </c>
    </row>
    <row r="1898" spans="1:16" hidden="1" x14ac:dyDescent="0.25">
      <c r="A1898">
        <v>0</v>
      </c>
      <c r="B1898">
        <v>15000</v>
      </c>
      <c r="C1898">
        <f>1.225 * (1 - 0.00000687559 * B1898) ^ 4.2561</f>
        <v>0.77079726910167001</v>
      </c>
      <c r="D1898">
        <f>E1898*(SQRT($C$2/C1898))</f>
        <v>302.55839133039672</v>
      </c>
      <c r="E1898">
        <v>240</v>
      </c>
      <c r="F1898">
        <v>1150</v>
      </c>
      <c r="G1898">
        <v>1500</v>
      </c>
      <c r="H1898">
        <f>CONVERT(G1898,"HP","kW")</f>
        <v>1118.5498073734054</v>
      </c>
      <c r="I1898">
        <v>0.88200000000000001</v>
      </c>
      <c r="J1898">
        <v>2.0493999999999999</v>
      </c>
      <c r="K1898">
        <v>0.70820000000000005</v>
      </c>
      <c r="L1898">
        <v>0.21099999999999999</v>
      </c>
      <c r="M1898">
        <v>9.0800000000000006E-2</v>
      </c>
      <c r="N1898">
        <f>CONVERT(O1898,"lbf","N")</f>
        <v>6338.2709795846868</v>
      </c>
      <c r="O1898">
        <v>1424.9</v>
      </c>
      <c r="P1898">
        <f t="shared" si="29"/>
        <v>0.43033175355450243</v>
      </c>
    </row>
    <row r="1899" spans="1:16" hidden="1" x14ac:dyDescent="0.25">
      <c r="A1899">
        <v>0</v>
      </c>
      <c r="B1899">
        <v>15000</v>
      </c>
      <c r="C1899">
        <f>1.225 * (1 - 0.00000687559 * B1899) ^ 4.2561</f>
        <v>0.77079726910167001</v>
      </c>
      <c r="D1899">
        <f>E1899*(SQRT($C$2/C1899))</f>
        <v>327.77159060792974</v>
      </c>
      <c r="E1899">
        <v>260</v>
      </c>
      <c r="F1899">
        <v>1150</v>
      </c>
      <c r="G1899">
        <v>1500</v>
      </c>
      <c r="H1899">
        <f>CONVERT(G1899,"HP","kW")</f>
        <v>1118.5498073734054</v>
      </c>
      <c r="I1899">
        <v>0.84440000000000004</v>
      </c>
      <c r="J1899">
        <v>2.2202000000000002</v>
      </c>
      <c r="K1899">
        <v>0.73629999999999995</v>
      </c>
      <c r="L1899">
        <v>0.21099999999999999</v>
      </c>
      <c r="M1899">
        <v>8.0199999999999994E-2</v>
      </c>
      <c r="N1899">
        <f>CONVERT(O1899,"lbf","N")</f>
        <v>5601.645480097548</v>
      </c>
      <c r="O1899">
        <v>1259.3</v>
      </c>
      <c r="P1899">
        <f t="shared" si="29"/>
        <v>0.3800947867298578</v>
      </c>
    </row>
    <row r="1900" spans="1:16" hidden="1" x14ac:dyDescent="0.25">
      <c r="A1900">
        <v>0</v>
      </c>
      <c r="B1900">
        <v>20000</v>
      </c>
      <c r="C1900">
        <f>1.225 * (1 - 0.00000687559 * B1900) ^ 4.2561</f>
        <v>0.65267221054298263</v>
      </c>
      <c r="D1900">
        <f>E1900*(SQRT($C$2/C1900))</f>
        <v>27.399994721664136</v>
      </c>
      <c r="E1900">
        <v>20</v>
      </c>
      <c r="F1900">
        <v>1215</v>
      </c>
      <c r="G1900">
        <v>1500</v>
      </c>
      <c r="H1900">
        <f>CONVERT(G1900,"HP","kW")</f>
        <v>1118.5498073734054</v>
      </c>
      <c r="I1900">
        <v>0.23139999999999999</v>
      </c>
      <c r="J1900">
        <v>0.1757</v>
      </c>
      <c r="K1900">
        <v>0.54810000000000003</v>
      </c>
      <c r="L1900">
        <v>0.21099999999999999</v>
      </c>
      <c r="M1900">
        <v>0.27800000000000002</v>
      </c>
      <c r="N1900">
        <f>CONVERT(O1900,"lbf","N")</f>
        <v>18365.372582926026</v>
      </c>
      <c r="O1900">
        <v>4128.7</v>
      </c>
      <c r="P1900">
        <f t="shared" si="29"/>
        <v>1.3175355450236967</v>
      </c>
    </row>
    <row r="1901" spans="1:16" hidden="1" x14ac:dyDescent="0.25">
      <c r="A1901">
        <v>0</v>
      </c>
      <c r="B1901">
        <v>20000</v>
      </c>
      <c r="C1901">
        <f>1.225 * (1 - 0.00000687559 * B1901) ^ 4.2561</f>
        <v>0.65267221054298263</v>
      </c>
      <c r="D1901">
        <f>E1901*(SQRT($C$2/C1901))</f>
        <v>0</v>
      </c>
      <c r="E1901">
        <v>0</v>
      </c>
      <c r="F1901">
        <v>1215</v>
      </c>
      <c r="G1901">
        <v>1500</v>
      </c>
      <c r="H1901">
        <f>CONVERT(G1901,"HP","kW")</f>
        <v>1118.5498073734054</v>
      </c>
      <c r="I1901">
        <v>0</v>
      </c>
      <c r="J1901">
        <v>0</v>
      </c>
      <c r="K1901">
        <v>0.54179999999999995</v>
      </c>
      <c r="L1901">
        <v>0.21110000000000001</v>
      </c>
      <c r="M1901">
        <v>0.27460000000000001</v>
      </c>
      <c r="N1901">
        <f>CONVERT(O1901,"lbf","N")</f>
        <v>18130.951303801798</v>
      </c>
      <c r="O1901">
        <v>4076</v>
      </c>
      <c r="P1901">
        <f t="shared" si="29"/>
        <v>1.3008053055423969</v>
      </c>
    </row>
    <row r="1902" spans="1:16" hidden="1" x14ac:dyDescent="0.25">
      <c r="A1902">
        <v>0</v>
      </c>
      <c r="B1902">
        <v>20000</v>
      </c>
      <c r="C1902">
        <f>1.225 * (1 - 0.00000687559 * B1902) ^ 4.2561</f>
        <v>0.65267221054298263</v>
      </c>
      <c r="D1902">
        <f>E1902*(SQRT($C$2/C1902))</f>
        <v>191.79996305164894</v>
      </c>
      <c r="E1902">
        <v>140</v>
      </c>
      <c r="F1902">
        <v>1215</v>
      </c>
      <c r="G1902">
        <v>1500</v>
      </c>
      <c r="H1902">
        <f>CONVERT(G1902,"HP","kW")</f>
        <v>1118.5498073734054</v>
      </c>
      <c r="I1902">
        <v>0.86050000000000004</v>
      </c>
      <c r="J1902">
        <v>1.2297</v>
      </c>
      <c r="K1902">
        <v>0.63880000000000003</v>
      </c>
      <c r="L1902">
        <v>0.21110000000000001</v>
      </c>
      <c r="M1902">
        <v>0.14779999999999999</v>
      </c>
      <c r="N1902">
        <f>CONVERT(O1902,"lbf","N")</f>
        <v>9754.9500022662778</v>
      </c>
      <c r="O1902">
        <v>2193</v>
      </c>
      <c r="P1902">
        <f t="shared" si="29"/>
        <v>0.70014211274277582</v>
      </c>
    </row>
    <row r="1903" spans="1:16" hidden="1" x14ac:dyDescent="0.25">
      <c r="A1903">
        <v>0</v>
      </c>
      <c r="B1903">
        <v>20000</v>
      </c>
      <c r="C1903">
        <f>1.225 * (1 - 0.00000687559 * B1903) ^ 4.2561</f>
        <v>0.65267221054298263</v>
      </c>
      <c r="D1903">
        <f>E1903*(SQRT($C$2/C1903))</f>
        <v>219.19995777331309</v>
      </c>
      <c r="E1903">
        <v>160</v>
      </c>
      <c r="F1903">
        <v>1215</v>
      </c>
      <c r="G1903">
        <v>1500</v>
      </c>
      <c r="H1903">
        <f>CONVERT(G1903,"HP","kW")</f>
        <v>1118.5498073734054</v>
      </c>
      <c r="I1903">
        <v>0.87919999999999998</v>
      </c>
      <c r="J1903">
        <v>1.4054</v>
      </c>
      <c r="K1903">
        <v>0.66200000000000003</v>
      </c>
      <c r="L1903">
        <v>0.21110000000000001</v>
      </c>
      <c r="M1903">
        <v>0.1321</v>
      </c>
      <c r="N1903">
        <f>CONVERT(O1903,"lbf","N")</f>
        <v>8721.6281210412635</v>
      </c>
      <c r="O1903">
        <v>1960.7</v>
      </c>
      <c r="P1903">
        <f t="shared" si="29"/>
        <v>0.62576977735670292</v>
      </c>
    </row>
    <row r="1904" spans="1:16" hidden="1" x14ac:dyDescent="0.25">
      <c r="A1904">
        <v>0</v>
      </c>
      <c r="B1904">
        <v>20000</v>
      </c>
      <c r="C1904">
        <f>1.225 * (1 - 0.00000687559 * B1904) ^ 4.2561</f>
        <v>0.65267221054298263</v>
      </c>
      <c r="D1904">
        <f>E1904*(SQRT($C$2/C1904))</f>
        <v>246.59995249497723</v>
      </c>
      <c r="E1904">
        <v>180</v>
      </c>
      <c r="F1904">
        <v>1215</v>
      </c>
      <c r="G1904">
        <v>1500</v>
      </c>
      <c r="H1904">
        <f>CONVERT(G1904,"HP","kW")</f>
        <v>1118.5498073734054</v>
      </c>
      <c r="I1904">
        <v>0.88749999999999996</v>
      </c>
      <c r="J1904">
        <v>1.581</v>
      </c>
      <c r="K1904">
        <v>0.68720000000000003</v>
      </c>
      <c r="L1904">
        <v>0.21110000000000001</v>
      </c>
      <c r="M1904">
        <v>0.11849999999999999</v>
      </c>
      <c r="N1904">
        <f>CONVERT(O1904,"lbf","N")</f>
        <v>7824.8666434047445</v>
      </c>
      <c r="O1904">
        <v>1759.1</v>
      </c>
      <c r="P1904">
        <f t="shared" si="29"/>
        <v>0.56134533396494546</v>
      </c>
    </row>
    <row r="1905" spans="1:16" hidden="1" x14ac:dyDescent="0.25">
      <c r="A1905">
        <v>0</v>
      </c>
      <c r="B1905">
        <v>20000</v>
      </c>
      <c r="C1905">
        <f>1.225 * (1 - 0.00000687559 * B1905) ^ 4.2561</f>
        <v>0.65267221054298263</v>
      </c>
      <c r="D1905">
        <f>E1905*(SQRT($C$2/C1905))</f>
        <v>82.199984164992401</v>
      </c>
      <c r="E1905">
        <v>60</v>
      </c>
      <c r="F1905">
        <v>1215</v>
      </c>
      <c r="G1905">
        <v>1500</v>
      </c>
      <c r="H1905">
        <f>CONVERT(G1905,"HP","kW")</f>
        <v>1118.5498073734054</v>
      </c>
      <c r="I1905">
        <v>0.6099</v>
      </c>
      <c r="J1905">
        <v>0.52700000000000002</v>
      </c>
      <c r="K1905">
        <v>0.56899999999999995</v>
      </c>
      <c r="L1905">
        <v>0.2112</v>
      </c>
      <c r="M1905">
        <v>0.24440000000000001</v>
      </c>
      <c r="N1905">
        <f>CONVERT(O1905,"lbf","N")</f>
        <v>16131.920509903728</v>
      </c>
      <c r="O1905">
        <v>3626.6</v>
      </c>
      <c r="P1905">
        <f t="shared" si="29"/>
        <v>1.1571969696969697</v>
      </c>
    </row>
    <row r="1906" spans="1:16" hidden="1" x14ac:dyDescent="0.25">
      <c r="A1906">
        <v>0</v>
      </c>
      <c r="B1906">
        <v>20000</v>
      </c>
      <c r="C1906">
        <f>1.225 * (1 - 0.00000687559 * B1906) ^ 4.2561</f>
        <v>0.65267221054298263</v>
      </c>
      <c r="D1906">
        <f>E1906*(SQRT($C$2/C1906))</f>
        <v>136.99997360832069</v>
      </c>
      <c r="E1906">
        <v>100</v>
      </c>
      <c r="F1906">
        <v>1215</v>
      </c>
      <c r="G1906">
        <v>1500</v>
      </c>
      <c r="H1906">
        <f>CONVERT(G1906,"HP","kW")</f>
        <v>1118.5498073734054</v>
      </c>
      <c r="I1906">
        <v>0.78469999999999995</v>
      </c>
      <c r="J1906">
        <v>0.87829999999999997</v>
      </c>
      <c r="K1906">
        <v>0.59919999999999995</v>
      </c>
      <c r="L1906">
        <v>0.2112</v>
      </c>
      <c r="M1906">
        <v>0.18870000000000001</v>
      </c>
      <c r="N1906">
        <f>CONVERT(O1906,"lbf","N")</f>
        <v>12454.575700567875</v>
      </c>
      <c r="O1906">
        <v>2799.9</v>
      </c>
      <c r="P1906">
        <f t="shared" si="29"/>
        <v>0.89346590909090917</v>
      </c>
    </row>
    <row r="1907" spans="1:16" hidden="1" x14ac:dyDescent="0.25">
      <c r="A1907">
        <v>0</v>
      </c>
      <c r="B1907">
        <v>20000</v>
      </c>
      <c r="C1907">
        <f>1.225 * (1 - 0.00000687559 * B1907) ^ 4.2561</f>
        <v>0.65267221054298263</v>
      </c>
      <c r="D1907">
        <f>E1907*(SQRT($C$2/C1907))</f>
        <v>164.3999683299848</v>
      </c>
      <c r="E1907">
        <v>120</v>
      </c>
      <c r="F1907">
        <v>1215</v>
      </c>
      <c r="G1907">
        <v>1500</v>
      </c>
      <c r="H1907">
        <f>CONVERT(G1907,"HP","kW")</f>
        <v>1118.5498073734054</v>
      </c>
      <c r="I1907">
        <v>0.83079999999999998</v>
      </c>
      <c r="J1907">
        <v>1.054</v>
      </c>
      <c r="K1907">
        <v>0.61780000000000002</v>
      </c>
      <c r="L1907">
        <v>0.2112</v>
      </c>
      <c r="M1907">
        <v>0.16650000000000001</v>
      </c>
      <c r="N1907">
        <f>CONVERT(O1907,"lbf","N")</f>
        <v>10988.441856178015</v>
      </c>
      <c r="O1907">
        <v>2470.3000000000002</v>
      </c>
      <c r="P1907">
        <f t="shared" si="29"/>
        <v>0.78835227272727282</v>
      </c>
    </row>
    <row r="1908" spans="1:16" hidden="1" x14ac:dyDescent="0.25">
      <c r="A1908">
        <v>0</v>
      </c>
      <c r="B1908">
        <v>20000</v>
      </c>
      <c r="C1908">
        <f>1.225 * (1 - 0.00000687559 * B1908) ^ 4.2561</f>
        <v>0.65267221054298263</v>
      </c>
      <c r="D1908">
        <f>E1908*(SQRT($C$2/C1908))</f>
        <v>301.39994193830552</v>
      </c>
      <c r="E1908">
        <v>220</v>
      </c>
      <c r="F1908">
        <v>1215</v>
      </c>
      <c r="G1908">
        <v>1500</v>
      </c>
      <c r="H1908">
        <f>CONVERT(G1908,"HP","kW")</f>
        <v>1118.5498073734054</v>
      </c>
      <c r="I1908">
        <v>0.85699999999999998</v>
      </c>
      <c r="J1908">
        <v>1.9323999999999999</v>
      </c>
      <c r="K1908">
        <v>0.74299999999999999</v>
      </c>
      <c r="L1908">
        <v>0.2112</v>
      </c>
      <c r="M1908">
        <v>9.3700000000000006E-2</v>
      </c>
      <c r="N1908">
        <f>CONVERT(O1908,"lbf","N")</f>
        <v>6182.5832230505694</v>
      </c>
      <c r="O1908">
        <v>1389.9</v>
      </c>
      <c r="P1908">
        <f t="shared" si="29"/>
        <v>0.44365530303030304</v>
      </c>
    </row>
    <row r="1909" spans="1:16" hidden="1" x14ac:dyDescent="0.25">
      <c r="A1909">
        <v>0</v>
      </c>
      <c r="B1909">
        <v>20000</v>
      </c>
      <c r="C1909">
        <f>1.225 * (1 - 0.00000687559 * B1909) ^ 4.2561</f>
        <v>0.65267221054298263</v>
      </c>
      <c r="D1909">
        <f>E1909*(SQRT($C$2/C1909))</f>
        <v>54.799989443328272</v>
      </c>
      <c r="E1909">
        <v>40</v>
      </c>
      <c r="F1909">
        <v>1215</v>
      </c>
      <c r="G1909">
        <v>1500</v>
      </c>
      <c r="H1909">
        <f>CONVERT(G1909,"HP","kW")</f>
        <v>1118.5498073734054</v>
      </c>
      <c r="I1909">
        <v>0.4476</v>
      </c>
      <c r="J1909">
        <v>0.3513</v>
      </c>
      <c r="K1909">
        <v>0.55730000000000002</v>
      </c>
      <c r="L1909">
        <v>0.21129999999999999</v>
      </c>
      <c r="M1909">
        <v>0.26919999999999999</v>
      </c>
      <c r="N1909">
        <f>CONVERT(O1909,"lbf","N")</f>
        <v>17758.635154604493</v>
      </c>
      <c r="O1909">
        <v>3992.3</v>
      </c>
      <c r="P1909">
        <f t="shared" si="29"/>
        <v>1.2740179839091339</v>
      </c>
    </row>
    <row r="1910" spans="1:16" hidden="1" x14ac:dyDescent="0.25">
      <c r="A1910">
        <v>0</v>
      </c>
      <c r="B1910">
        <v>20000</v>
      </c>
      <c r="C1910">
        <f>1.225 * (1 - 0.00000687559 * B1910) ^ 4.2561</f>
        <v>0.65267221054298263</v>
      </c>
      <c r="D1910">
        <f>E1910*(SQRT($C$2/C1910))</f>
        <v>109.59997888665654</v>
      </c>
      <c r="E1910">
        <v>80</v>
      </c>
      <c r="F1910">
        <v>1215</v>
      </c>
      <c r="G1910">
        <v>1500</v>
      </c>
      <c r="H1910">
        <f>CONVERT(G1910,"HP","kW")</f>
        <v>1118.5498073734054</v>
      </c>
      <c r="I1910">
        <v>0.71489999999999998</v>
      </c>
      <c r="J1910">
        <v>0.70269999999999999</v>
      </c>
      <c r="K1910">
        <v>0.58299999999999996</v>
      </c>
      <c r="L1910">
        <v>0.21129999999999999</v>
      </c>
      <c r="M1910">
        <v>0.215</v>
      </c>
      <c r="N1910">
        <f>CONVERT(O1910,"lbf","N")</f>
        <v>14181.820153773524</v>
      </c>
      <c r="O1910">
        <v>3188.2</v>
      </c>
      <c r="P1910">
        <f t="shared" si="29"/>
        <v>1.0175106483672505</v>
      </c>
    </row>
    <row r="1911" spans="1:16" hidden="1" x14ac:dyDescent="0.25">
      <c r="A1911">
        <v>0</v>
      </c>
      <c r="B1911">
        <v>20000</v>
      </c>
      <c r="C1911">
        <f>1.225 * (1 - 0.00000687559 * B1911) ^ 4.2561</f>
        <v>0.65267221054298263</v>
      </c>
      <c r="D1911">
        <f>E1911*(SQRT($C$2/C1911))</f>
        <v>273.99994721664137</v>
      </c>
      <c r="E1911">
        <v>200</v>
      </c>
      <c r="F1911">
        <v>1215</v>
      </c>
      <c r="G1911">
        <v>1500</v>
      </c>
      <c r="H1911">
        <f>CONVERT(G1911,"HP","kW")</f>
        <v>1118.5498073734054</v>
      </c>
      <c r="I1911">
        <v>0.88029999999999997</v>
      </c>
      <c r="J1911">
        <v>1.7566999999999999</v>
      </c>
      <c r="K1911">
        <v>0.71430000000000005</v>
      </c>
      <c r="L1911">
        <v>0.21129999999999999</v>
      </c>
      <c r="M1911">
        <v>0.10589999999999999</v>
      </c>
      <c r="N1911">
        <f>CONVERT(O1911,"lbf","N")</f>
        <v>6985.9320467666148</v>
      </c>
      <c r="O1911">
        <v>1570.5</v>
      </c>
      <c r="P1911">
        <f t="shared" si="29"/>
        <v>0.50118315191670615</v>
      </c>
    </row>
    <row r="1912" spans="1:16" hidden="1" x14ac:dyDescent="0.25">
      <c r="A1912">
        <v>0</v>
      </c>
      <c r="B1912">
        <v>20000</v>
      </c>
      <c r="C1912">
        <f>1.225 * (1 - 0.00000687559 * B1912) ^ 4.2561</f>
        <v>0.65267221054298263</v>
      </c>
      <c r="D1912">
        <f>E1912*(SQRT($C$2/C1912))</f>
        <v>328.7999366599696</v>
      </c>
      <c r="E1912">
        <v>240</v>
      </c>
      <c r="F1912">
        <v>1215</v>
      </c>
      <c r="G1912">
        <v>1500</v>
      </c>
      <c r="H1912">
        <f>CONVERT(G1912,"HP","kW")</f>
        <v>1118.5498073734054</v>
      </c>
      <c r="I1912">
        <v>0.8135</v>
      </c>
      <c r="J1912">
        <v>2.1080000000000001</v>
      </c>
      <c r="K1912">
        <v>0.77329999999999999</v>
      </c>
      <c r="L1912">
        <v>0.21129999999999999</v>
      </c>
      <c r="M1912">
        <v>8.1500000000000003E-2</v>
      </c>
      <c r="N1912">
        <f>CONVERT(O1912,"lbf","N")</f>
        <v>5379.6792214960487</v>
      </c>
      <c r="O1912">
        <v>1209.4000000000001</v>
      </c>
      <c r="P1912">
        <f t="shared" si="29"/>
        <v>0.38570752484619031</v>
      </c>
    </row>
    <row r="1913" spans="1:16" hidden="1" x14ac:dyDescent="0.25">
      <c r="A1913">
        <v>0</v>
      </c>
      <c r="B1913">
        <v>20000</v>
      </c>
      <c r="C1913">
        <f>1.225 * (1 - 0.00000687559 * B1913) ^ 4.2561</f>
        <v>0.65267221054298263</v>
      </c>
      <c r="D1913">
        <f>E1913*(SQRT($C$2/C1913))</f>
        <v>356.19993138163375</v>
      </c>
      <c r="E1913">
        <v>260</v>
      </c>
      <c r="F1913">
        <v>1215</v>
      </c>
      <c r="G1913">
        <v>1500</v>
      </c>
      <c r="H1913">
        <f>CONVERT(G1913,"HP","kW")</f>
        <v>1118.5498073734054</v>
      </c>
      <c r="I1913">
        <v>0.73480000000000001</v>
      </c>
      <c r="J1913">
        <v>2.2837000000000001</v>
      </c>
      <c r="K1913">
        <v>0.80479999999999996</v>
      </c>
      <c r="L1913">
        <v>0.21129999999999999</v>
      </c>
      <c r="M1913">
        <v>6.8000000000000005E-2</v>
      </c>
      <c r="N1913">
        <f>CONVERT(O1913,"lbf","N")</f>
        <v>4485.1418546671621</v>
      </c>
      <c r="O1913">
        <v>1008.3</v>
      </c>
      <c r="P1913">
        <f t="shared" si="29"/>
        <v>0.3218173213440606</v>
      </c>
    </row>
    <row r="1914" spans="1:16" hidden="1" x14ac:dyDescent="0.25">
      <c r="A1914">
        <v>0</v>
      </c>
      <c r="B1914">
        <v>5000</v>
      </c>
      <c r="C1914">
        <f>1.225 * (1 - 0.00000687559 * B1914) ^ 4.2561</f>
        <v>1.0555380742846066</v>
      </c>
      <c r="D1914">
        <f>E1914*(SQRT($C$2/C1914))</f>
        <v>64.637171418273525</v>
      </c>
      <c r="E1914">
        <v>60</v>
      </c>
      <c r="F1914">
        <v>1215</v>
      </c>
      <c r="G1914">
        <v>2500</v>
      </c>
      <c r="H1914">
        <f>CONVERT(G1914,"HP","kW")</f>
        <v>1864.2496789556756</v>
      </c>
      <c r="I1914">
        <v>0.50970000000000004</v>
      </c>
      <c r="J1914">
        <v>0.41439999999999999</v>
      </c>
      <c r="K1914">
        <v>0.5302</v>
      </c>
      <c r="L1914">
        <v>0.2175</v>
      </c>
      <c r="M1914">
        <v>0.2676</v>
      </c>
      <c r="N1914">
        <f>CONVERT(O1914,"lbf","N")</f>
        <v>28578.489411564136</v>
      </c>
      <c r="O1914">
        <v>6424.7</v>
      </c>
      <c r="P1914">
        <f t="shared" si="29"/>
        <v>1.230344827586207</v>
      </c>
    </row>
    <row r="1915" spans="1:16" hidden="1" x14ac:dyDescent="0.25">
      <c r="A1915">
        <v>0</v>
      </c>
      <c r="B1915">
        <v>5000</v>
      </c>
      <c r="C1915">
        <f>1.225 * (1 - 0.00000687559 * B1915) ^ 4.2561</f>
        <v>1.0555380742846066</v>
      </c>
      <c r="D1915">
        <f>E1915*(SQRT($C$2/C1915))</f>
        <v>86.1828952243647</v>
      </c>
      <c r="E1915">
        <v>80</v>
      </c>
      <c r="F1915">
        <v>1215</v>
      </c>
      <c r="G1915">
        <v>2500</v>
      </c>
      <c r="H1915">
        <f>CONVERT(G1915,"HP","kW")</f>
        <v>1864.2496789556756</v>
      </c>
      <c r="I1915">
        <v>0.62429999999999997</v>
      </c>
      <c r="J1915">
        <v>0.55259999999999998</v>
      </c>
      <c r="K1915">
        <v>0.53939999999999999</v>
      </c>
      <c r="L1915">
        <v>0.2175</v>
      </c>
      <c r="M1915">
        <v>0.24579999999999999</v>
      </c>
      <c r="N1915">
        <f>CONVERT(O1915,"lbf","N")</f>
        <v>26251.624684621369</v>
      </c>
      <c r="O1915">
        <v>5901.6</v>
      </c>
      <c r="P1915">
        <f t="shared" si="29"/>
        <v>1.1301149425287356</v>
      </c>
    </row>
    <row r="1916" spans="1:16" hidden="1" x14ac:dyDescent="0.25">
      <c r="A1916">
        <v>0</v>
      </c>
      <c r="B1916">
        <v>5000</v>
      </c>
      <c r="C1916">
        <f>1.225 * (1 - 0.00000687559 * B1916) ^ 4.2561</f>
        <v>1.0555380742846066</v>
      </c>
      <c r="D1916">
        <f>E1916*(SQRT($C$2/C1916))</f>
        <v>0</v>
      </c>
      <c r="E1916">
        <v>0</v>
      </c>
      <c r="F1916">
        <v>1215</v>
      </c>
      <c r="G1916">
        <v>2500</v>
      </c>
      <c r="H1916">
        <f>CONVERT(G1916,"HP","kW")</f>
        <v>1864.2496789556756</v>
      </c>
      <c r="I1916">
        <v>0</v>
      </c>
      <c r="J1916">
        <v>0</v>
      </c>
      <c r="K1916">
        <v>0.5121</v>
      </c>
      <c r="L1916">
        <v>0.2177</v>
      </c>
      <c r="M1916">
        <v>0.27460000000000001</v>
      </c>
      <c r="N1916">
        <f>CONVERT(O1916,"lbf","N")</f>
        <v>29315.559733212802</v>
      </c>
      <c r="O1916">
        <v>6590.4</v>
      </c>
      <c r="P1916">
        <f t="shared" si="29"/>
        <v>1.2613688562241616</v>
      </c>
    </row>
    <row r="1917" spans="1:16" hidden="1" x14ac:dyDescent="0.25">
      <c r="A1917">
        <v>0</v>
      </c>
      <c r="B1917">
        <v>5000</v>
      </c>
      <c r="C1917">
        <f>1.225 * (1 - 0.00000687559 * B1917) ^ 4.2561</f>
        <v>1.0555380742846066</v>
      </c>
      <c r="D1917">
        <f>E1917*(SQRT($C$2/C1917))</f>
        <v>21.545723806091175</v>
      </c>
      <c r="E1917">
        <v>20</v>
      </c>
      <c r="F1917">
        <v>1215</v>
      </c>
      <c r="G1917">
        <v>2500</v>
      </c>
      <c r="H1917">
        <f>CONVERT(G1917,"HP","kW")</f>
        <v>1864.2496789556756</v>
      </c>
      <c r="I1917">
        <v>0.17730000000000001</v>
      </c>
      <c r="J1917">
        <v>0.1381</v>
      </c>
      <c r="K1917">
        <v>0.51659999999999995</v>
      </c>
      <c r="L1917">
        <v>0.2177</v>
      </c>
      <c r="M1917">
        <v>0.27939999999999998</v>
      </c>
      <c r="N1917">
        <f>CONVERT(O1917,"lbf","N")</f>
        <v>29820.877708706394</v>
      </c>
      <c r="O1917">
        <v>6704</v>
      </c>
      <c r="P1917">
        <f t="shared" si="29"/>
        <v>1.2834175470831419</v>
      </c>
    </row>
    <row r="1918" spans="1:16" hidden="1" x14ac:dyDescent="0.25">
      <c r="A1918">
        <v>0</v>
      </c>
      <c r="B1918">
        <v>5000</v>
      </c>
      <c r="C1918">
        <f>1.225 * (1 - 0.00000687559 * B1918) ^ 4.2561</f>
        <v>1.0555380742846066</v>
      </c>
      <c r="D1918">
        <f>E1918*(SQRT($C$2/C1918))</f>
        <v>43.09144761218235</v>
      </c>
      <c r="E1918">
        <v>40</v>
      </c>
      <c r="F1918">
        <v>1215</v>
      </c>
      <c r="G1918">
        <v>2500</v>
      </c>
      <c r="H1918">
        <f>CONVERT(G1918,"HP","kW")</f>
        <v>1864.2496789556756</v>
      </c>
      <c r="I1918">
        <v>0.35420000000000001</v>
      </c>
      <c r="J1918">
        <v>0.27629999999999999</v>
      </c>
      <c r="K1918">
        <v>0.52249999999999996</v>
      </c>
      <c r="L1918">
        <v>0.2177</v>
      </c>
      <c r="M1918">
        <v>0.2792</v>
      </c>
      <c r="N1918">
        <f>CONVERT(O1918,"lbf","N")</f>
        <v>29789.295335238043</v>
      </c>
      <c r="O1918">
        <v>6696.9</v>
      </c>
      <c r="P1918">
        <f t="shared" si="29"/>
        <v>1.2824988516306843</v>
      </c>
    </row>
    <row r="1919" spans="1:16" hidden="1" x14ac:dyDescent="0.25">
      <c r="A1919">
        <v>0</v>
      </c>
      <c r="B1919">
        <v>5000</v>
      </c>
      <c r="C1919">
        <f>1.225 * (1 - 0.00000687559 * B1919) ^ 4.2561</f>
        <v>1.0555380742846066</v>
      </c>
      <c r="D1919">
        <f>E1919*(SQRT($C$2/C1919))</f>
        <v>129.27434283654705</v>
      </c>
      <c r="E1919">
        <v>120</v>
      </c>
      <c r="F1919">
        <v>1215</v>
      </c>
      <c r="G1919">
        <v>2500</v>
      </c>
      <c r="H1919">
        <f>CONVERT(G1919,"HP","kW")</f>
        <v>1864.2496789556756</v>
      </c>
      <c r="I1919">
        <v>0.76519999999999999</v>
      </c>
      <c r="J1919">
        <v>0.82879999999999998</v>
      </c>
      <c r="K1919">
        <v>0.56169999999999998</v>
      </c>
      <c r="L1919">
        <v>0.2177</v>
      </c>
      <c r="M1919">
        <v>0.20100000000000001</v>
      </c>
      <c r="N1919">
        <f>CONVERT(O1919,"lbf","N")</f>
        <v>21450.659095270708</v>
      </c>
      <c r="O1919">
        <v>4822.3</v>
      </c>
      <c r="P1919">
        <f t="shared" si="29"/>
        <v>0.92328892971979792</v>
      </c>
    </row>
    <row r="1920" spans="1:16" hidden="1" x14ac:dyDescent="0.25">
      <c r="A1920">
        <v>0</v>
      </c>
      <c r="B1920">
        <v>5000</v>
      </c>
      <c r="C1920">
        <f>1.225 * (1 - 0.00000687559 * B1920) ^ 4.2561</f>
        <v>1.0555380742846066</v>
      </c>
      <c r="D1920">
        <f>E1920*(SQRT($C$2/C1920))</f>
        <v>150.82006664263821</v>
      </c>
      <c r="E1920">
        <v>140</v>
      </c>
      <c r="F1920">
        <v>1215</v>
      </c>
      <c r="G1920">
        <v>2500</v>
      </c>
      <c r="H1920">
        <f>CONVERT(G1920,"HP","kW")</f>
        <v>1864.2496789556756</v>
      </c>
      <c r="I1920">
        <v>0.80820000000000003</v>
      </c>
      <c r="J1920">
        <v>0.96699999999999997</v>
      </c>
      <c r="K1920">
        <v>0.57489999999999997</v>
      </c>
      <c r="L1920">
        <v>0.2177</v>
      </c>
      <c r="M1920">
        <v>0.18190000000000001</v>
      </c>
      <c r="N1920">
        <f>CONVERT(O1920,"lbf","N")</f>
        <v>19417.821817096661</v>
      </c>
      <c r="O1920">
        <v>4365.3</v>
      </c>
      <c r="P1920">
        <f t="shared" si="29"/>
        <v>0.83555351401010569</v>
      </c>
    </row>
    <row r="1921" spans="1:16" hidden="1" x14ac:dyDescent="0.25">
      <c r="A1921">
        <v>0</v>
      </c>
      <c r="B1921">
        <v>5000</v>
      </c>
      <c r="C1921">
        <f>1.225 * (1 - 0.00000687559 * B1921) ^ 4.2561</f>
        <v>1.0555380742846066</v>
      </c>
      <c r="D1921">
        <f>E1921*(SQRT($C$2/C1921))</f>
        <v>172.3657904487294</v>
      </c>
      <c r="E1921">
        <v>160</v>
      </c>
      <c r="F1921">
        <v>1215</v>
      </c>
      <c r="G1921">
        <v>2500</v>
      </c>
      <c r="H1921">
        <f>CONVERT(G1921,"HP","kW")</f>
        <v>1864.2496789556756</v>
      </c>
      <c r="I1921">
        <v>0.83889999999999998</v>
      </c>
      <c r="J1921">
        <v>1.1051</v>
      </c>
      <c r="K1921">
        <v>0.58940000000000003</v>
      </c>
      <c r="L1921">
        <v>0.2177</v>
      </c>
      <c r="M1921">
        <v>0.16520000000000001</v>
      </c>
      <c r="N1921">
        <f>CONVERT(O1921,"lbf","N")</f>
        <v>17637.198704507882</v>
      </c>
      <c r="O1921">
        <v>3965</v>
      </c>
      <c r="P1921">
        <f t="shared" si="29"/>
        <v>0.75884244372990362</v>
      </c>
    </row>
    <row r="1922" spans="1:16" hidden="1" x14ac:dyDescent="0.25">
      <c r="A1922">
        <v>0</v>
      </c>
      <c r="B1922">
        <v>5000</v>
      </c>
      <c r="C1922">
        <f>1.225 * (1 - 0.00000687559 * B1922) ^ 4.2561</f>
        <v>1.0555380742846066</v>
      </c>
      <c r="D1922">
        <f>E1922*(SQRT($C$2/C1922))</f>
        <v>193.91151425482059</v>
      </c>
      <c r="E1922">
        <v>180</v>
      </c>
      <c r="F1922">
        <v>1215</v>
      </c>
      <c r="G1922">
        <v>2500</v>
      </c>
      <c r="H1922">
        <f>CONVERT(G1922,"HP","kW")</f>
        <v>1864.2496789556756</v>
      </c>
      <c r="I1922">
        <v>0.86080000000000001</v>
      </c>
      <c r="J1922">
        <v>1.2432000000000001</v>
      </c>
      <c r="K1922">
        <v>0.60529999999999995</v>
      </c>
      <c r="L1922">
        <v>0.2177</v>
      </c>
      <c r="M1922">
        <v>0.1507</v>
      </c>
      <c r="N1922">
        <f>CONVERT(O1922,"lbf","N")</f>
        <v>16086.103827266548</v>
      </c>
      <c r="O1922">
        <v>3616.3</v>
      </c>
      <c r="P1922">
        <f t="shared" si="29"/>
        <v>0.69223702342673399</v>
      </c>
    </row>
    <row r="1923" spans="1:16" hidden="1" x14ac:dyDescent="0.25">
      <c r="A1923">
        <v>0</v>
      </c>
      <c r="B1923">
        <v>5000</v>
      </c>
      <c r="C1923">
        <f>1.225 * (1 - 0.00000687559 * B1923) ^ 4.2561</f>
        <v>1.0555380742846066</v>
      </c>
      <c r="D1923">
        <f>E1923*(SQRT($C$2/C1923))</f>
        <v>215.45723806091175</v>
      </c>
      <c r="E1923">
        <v>200</v>
      </c>
      <c r="F1923">
        <v>1215</v>
      </c>
      <c r="G1923">
        <v>2500</v>
      </c>
      <c r="H1923">
        <f>CONVERT(G1923,"HP","kW")</f>
        <v>1864.2496789556756</v>
      </c>
      <c r="I1923">
        <v>0.876</v>
      </c>
      <c r="J1923">
        <v>1.3814</v>
      </c>
      <c r="K1923">
        <v>0.62250000000000005</v>
      </c>
      <c r="L1923">
        <v>0.2177</v>
      </c>
      <c r="M1923">
        <v>0.13800000000000001</v>
      </c>
      <c r="N1923">
        <f>CONVERT(O1923,"lbf","N")</f>
        <v>14734.289278388882</v>
      </c>
      <c r="O1923">
        <v>3312.4</v>
      </c>
      <c r="P1923">
        <f t="shared" ref="P1923:P1986" si="30">M1923/L1923</f>
        <v>0.63389986219568217</v>
      </c>
    </row>
    <row r="1924" spans="1:16" hidden="1" x14ac:dyDescent="0.25">
      <c r="A1924">
        <v>0</v>
      </c>
      <c r="B1924">
        <v>5000</v>
      </c>
      <c r="C1924">
        <f>1.225 * (1 - 0.00000687559 * B1924) ^ 4.2561</f>
        <v>1.0555380742846066</v>
      </c>
      <c r="D1924">
        <f>E1924*(SQRT($C$2/C1924))</f>
        <v>237.00296186700291</v>
      </c>
      <c r="E1924">
        <v>220</v>
      </c>
      <c r="F1924">
        <v>1215</v>
      </c>
      <c r="G1924">
        <v>2500</v>
      </c>
      <c r="H1924">
        <f>CONVERT(G1924,"HP","kW")</f>
        <v>1864.2496789556756</v>
      </c>
      <c r="I1924">
        <v>0.88639999999999997</v>
      </c>
      <c r="J1924">
        <v>1.5195000000000001</v>
      </c>
      <c r="K1924">
        <v>0.64090000000000003</v>
      </c>
      <c r="L1924">
        <v>0.2177</v>
      </c>
      <c r="M1924">
        <v>0.127</v>
      </c>
      <c r="N1924">
        <f>CONVERT(O1924,"lbf","N")</f>
        <v>13552.841617375694</v>
      </c>
      <c r="O1924">
        <v>3046.8</v>
      </c>
      <c r="P1924">
        <f t="shared" si="30"/>
        <v>0.58337161231051904</v>
      </c>
    </row>
    <row r="1925" spans="1:16" hidden="1" x14ac:dyDescent="0.25">
      <c r="A1925">
        <v>0</v>
      </c>
      <c r="B1925">
        <v>5000</v>
      </c>
      <c r="C1925">
        <f>1.225 * (1 - 0.00000687559 * B1925) ^ 4.2561</f>
        <v>1.0555380742846066</v>
      </c>
      <c r="D1925">
        <f>E1925*(SQRT($C$2/C1925))</f>
        <v>258.5486856730941</v>
      </c>
      <c r="E1925">
        <v>240</v>
      </c>
      <c r="F1925">
        <v>1215</v>
      </c>
      <c r="G1925">
        <v>2500</v>
      </c>
      <c r="H1925">
        <f>CONVERT(G1925,"HP","kW")</f>
        <v>1864.2496789556756</v>
      </c>
      <c r="I1925">
        <v>0.89280000000000004</v>
      </c>
      <c r="J1925">
        <v>1.6577</v>
      </c>
      <c r="K1925">
        <v>0.66039999999999999</v>
      </c>
      <c r="L1925">
        <v>0.2177</v>
      </c>
      <c r="M1925">
        <v>0.1172</v>
      </c>
      <c r="N1925">
        <f>CONVERT(O1925,"lbf","N")</f>
        <v>12513.737048050838</v>
      </c>
      <c r="O1925">
        <v>2813.2</v>
      </c>
      <c r="P1925">
        <f t="shared" si="30"/>
        <v>0.53835553514010104</v>
      </c>
    </row>
    <row r="1926" spans="1:16" hidden="1" x14ac:dyDescent="0.25">
      <c r="A1926">
        <v>0</v>
      </c>
      <c r="B1926">
        <v>5000</v>
      </c>
      <c r="C1926">
        <f>1.225 * (1 - 0.00000687559 * B1926) ^ 4.2561</f>
        <v>1.0555380742846066</v>
      </c>
      <c r="D1926">
        <f>E1926*(SQRT($C$2/C1926))</f>
        <v>280.09440947918529</v>
      </c>
      <c r="E1926">
        <v>260</v>
      </c>
      <c r="F1926">
        <v>1215</v>
      </c>
      <c r="G1926">
        <v>2500</v>
      </c>
      <c r="H1926">
        <f>CONVERT(G1926,"HP","kW")</f>
        <v>1864.2496789556756</v>
      </c>
      <c r="I1926">
        <v>0.89529999999999998</v>
      </c>
      <c r="J1926">
        <v>1.7958000000000001</v>
      </c>
      <c r="K1926">
        <v>0.68100000000000005</v>
      </c>
      <c r="L1926">
        <v>0.2177</v>
      </c>
      <c r="M1926">
        <v>0.1085</v>
      </c>
      <c r="N1926">
        <f>CONVERT(O1926,"lbf","N")</f>
        <v>11583.169086138341</v>
      </c>
      <c r="O1926">
        <v>2604</v>
      </c>
      <c r="P1926">
        <f t="shared" si="30"/>
        <v>0.49839228295819932</v>
      </c>
    </row>
    <row r="1927" spans="1:16" hidden="1" x14ac:dyDescent="0.25">
      <c r="A1927">
        <v>0</v>
      </c>
      <c r="B1927">
        <v>5000</v>
      </c>
      <c r="C1927">
        <f>1.225 * (1 - 0.00000687559 * B1927) ^ 4.2561</f>
        <v>1.0555380742846066</v>
      </c>
      <c r="D1927">
        <f>E1927*(SQRT($C$2/C1927))</f>
        <v>107.72861903045587</v>
      </c>
      <c r="E1927">
        <v>100</v>
      </c>
      <c r="F1927">
        <v>1215</v>
      </c>
      <c r="G1927">
        <v>2500</v>
      </c>
      <c r="H1927">
        <f>CONVERT(G1927,"HP","kW")</f>
        <v>1864.2496789556756</v>
      </c>
      <c r="I1927">
        <v>0.70579999999999998</v>
      </c>
      <c r="J1927">
        <v>0.69069999999999998</v>
      </c>
      <c r="K1927">
        <v>0.54990000000000006</v>
      </c>
      <c r="L1927">
        <v>0.21779999999999999</v>
      </c>
      <c r="M1927">
        <v>0.2225</v>
      </c>
      <c r="N1927">
        <f>CONVERT(O1927,"lbf","N")</f>
        <v>23741.048404968336</v>
      </c>
      <c r="O1927">
        <v>5337.2</v>
      </c>
      <c r="P1927">
        <f t="shared" si="30"/>
        <v>1.0215794306703398</v>
      </c>
    </row>
    <row r="1928" spans="1:16" hidden="1" x14ac:dyDescent="0.25">
      <c r="A1928">
        <v>0</v>
      </c>
      <c r="B1928">
        <v>0</v>
      </c>
      <c r="C1928">
        <f>1.225 * (1 - 0.00000687559 * B1928) ^ 4.2561</f>
        <v>1.2250000000000001</v>
      </c>
      <c r="D1928">
        <f>E1928*(SQRT($C$2/C1928))</f>
        <v>100</v>
      </c>
      <c r="E1928">
        <v>100</v>
      </c>
      <c r="F1928">
        <v>1150</v>
      </c>
      <c r="G1928">
        <v>2500</v>
      </c>
      <c r="H1928">
        <f>CONVERT(G1928,"HP","kW")</f>
        <v>1864.2496789556756</v>
      </c>
      <c r="I1928">
        <v>0.69810000000000005</v>
      </c>
      <c r="J1928">
        <v>0.6774</v>
      </c>
      <c r="K1928">
        <v>0.51039999999999996</v>
      </c>
      <c r="L1928">
        <v>0.22109999999999999</v>
      </c>
      <c r="M1928">
        <v>0.22789999999999999</v>
      </c>
      <c r="N1928">
        <f>CONVERT(O1928,"lbf","N")</f>
        <v>25296.591503824933</v>
      </c>
      <c r="O1928">
        <v>5686.9</v>
      </c>
      <c r="P1928">
        <f t="shared" si="30"/>
        <v>1.030755314337404</v>
      </c>
    </row>
    <row r="1929" spans="1:16" hidden="1" x14ac:dyDescent="0.25">
      <c r="A1929">
        <v>0</v>
      </c>
      <c r="B1929">
        <v>0</v>
      </c>
      <c r="C1929">
        <f>1.225 * (1 - 0.00000687559 * B1929) ^ 4.2561</f>
        <v>1.2250000000000001</v>
      </c>
      <c r="D1929">
        <f>E1929*(SQRT($C$2/C1929))</f>
        <v>0</v>
      </c>
      <c r="E1929">
        <v>0</v>
      </c>
      <c r="F1929">
        <v>1150</v>
      </c>
      <c r="G1929">
        <v>2500</v>
      </c>
      <c r="H1929">
        <f>CONVERT(G1929,"HP","kW")</f>
        <v>1864.2496789556756</v>
      </c>
      <c r="I1929">
        <v>0</v>
      </c>
      <c r="J1929">
        <v>0</v>
      </c>
      <c r="K1929">
        <v>0.47639999999999999</v>
      </c>
      <c r="L1929">
        <v>0.22120000000000001</v>
      </c>
      <c r="M1929">
        <v>0.2757</v>
      </c>
      <c r="N1929">
        <f>CONVERT(O1929,"lbf","N")</f>
        <v>30595.313091923246</v>
      </c>
      <c r="O1929">
        <v>6878.1</v>
      </c>
      <c r="P1929">
        <f t="shared" si="30"/>
        <v>1.246383363471971</v>
      </c>
    </row>
    <row r="1930" spans="1:16" hidden="1" x14ac:dyDescent="0.25">
      <c r="A1930">
        <v>0</v>
      </c>
      <c r="B1930">
        <v>0</v>
      </c>
      <c r="C1930">
        <f>1.225 * (1 - 0.00000687559 * B1930) ^ 4.2561</f>
        <v>1.2250000000000001</v>
      </c>
      <c r="D1930">
        <f>E1930*(SQRT($C$2/C1930))</f>
        <v>20</v>
      </c>
      <c r="E1930">
        <v>20</v>
      </c>
      <c r="F1930">
        <v>1150</v>
      </c>
      <c r="G1930">
        <v>2500</v>
      </c>
      <c r="H1930">
        <f>CONVERT(G1930,"HP","kW")</f>
        <v>1864.2496789556756</v>
      </c>
      <c r="I1930">
        <v>0.17219999999999999</v>
      </c>
      <c r="J1930">
        <v>0.13550000000000001</v>
      </c>
      <c r="K1930">
        <v>0.48039999999999999</v>
      </c>
      <c r="L1930">
        <v>0.22120000000000001</v>
      </c>
      <c r="M1930">
        <v>0.28120000000000001</v>
      </c>
      <c r="N1930">
        <f>CONVERT(O1930,"lbf","N")</f>
        <v>31199.38158727562</v>
      </c>
      <c r="O1930">
        <v>7013.9</v>
      </c>
      <c r="P1930">
        <f t="shared" si="30"/>
        <v>1.27124773960217</v>
      </c>
    </row>
    <row r="1931" spans="1:16" hidden="1" x14ac:dyDescent="0.25">
      <c r="A1931">
        <v>0</v>
      </c>
      <c r="B1931">
        <v>0</v>
      </c>
      <c r="C1931">
        <f>1.225 * (1 - 0.00000687559 * B1931) ^ 4.2561</f>
        <v>1.2250000000000001</v>
      </c>
      <c r="D1931">
        <f>E1931*(SQRT($C$2/C1931))</f>
        <v>120</v>
      </c>
      <c r="E1931">
        <v>120</v>
      </c>
      <c r="F1931">
        <v>1150</v>
      </c>
      <c r="G1931">
        <v>2500</v>
      </c>
      <c r="H1931">
        <f>CONVERT(G1931,"HP","kW")</f>
        <v>1864.2496789556756</v>
      </c>
      <c r="I1931">
        <v>0.75839999999999996</v>
      </c>
      <c r="J1931">
        <v>0.81289999999999996</v>
      </c>
      <c r="K1931">
        <v>0.52110000000000001</v>
      </c>
      <c r="L1931">
        <v>0.22120000000000001</v>
      </c>
      <c r="M1931">
        <v>0.2064</v>
      </c>
      <c r="N1931">
        <f>CONVERT(O1931,"lbf","N")</f>
        <v>22903.893096976313</v>
      </c>
      <c r="O1931">
        <v>5149</v>
      </c>
      <c r="P1931">
        <f t="shared" si="30"/>
        <v>0.93309222423146465</v>
      </c>
    </row>
    <row r="1932" spans="1:16" hidden="1" x14ac:dyDescent="0.25">
      <c r="A1932">
        <v>0</v>
      </c>
      <c r="B1932">
        <v>0</v>
      </c>
      <c r="C1932">
        <f>1.225 * (1 - 0.00000687559 * B1932) ^ 4.2561</f>
        <v>1.2250000000000001</v>
      </c>
      <c r="D1932">
        <f>E1932*(SQRT($C$2/C1932))</f>
        <v>140</v>
      </c>
      <c r="E1932">
        <v>140</v>
      </c>
      <c r="F1932">
        <v>1150</v>
      </c>
      <c r="G1932">
        <v>2500</v>
      </c>
      <c r="H1932">
        <f>CONVERT(G1932,"HP","kW")</f>
        <v>1864.2496789556756</v>
      </c>
      <c r="I1932">
        <v>0.8024</v>
      </c>
      <c r="J1932">
        <v>0.94830000000000003</v>
      </c>
      <c r="K1932">
        <v>0.53290000000000004</v>
      </c>
      <c r="L1932">
        <v>0.22120000000000001</v>
      </c>
      <c r="M1932">
        <v>0.18720000000000001</v>
      </c>
      <c r="N1932">
        <f>CONVERT(O1932,"lbf","N")</f>
        <v>20770.081188135853</v>
      </c>
      <c r="O1932">
        <v>4669.3</v>
      </c>
      <c r="P1932">
        <f t="shared" si="30"/>
        <v>0.84629294755877038</v>
      </c>
    </row>
    <row r="1933" spans="1:16" hidden="1" x14ac:dyDescent="0.25">
      <c r="A1933">
        <v>0</v>
      </c>
      <c r="B1933">
        <v>0</v>
      </c>
      <c r="C1933">
        <f>1.225 * (1 - 0.00000687559 * B1933) ^ 4.2561</f>
        <v>1.2250000000000001</v>
      </c>
      <c r="D1933">
        <f>E1933*(SQRT($C$2/C1933))</f>
        <v>160</v>
      </c>
      <c r="E1933">
        <v>160</v>
      </c>
      <c r="F1933">
        <v>1150</v>
      </c>
      <c r="G1933">
        <v>2500</v>
      </c>
      <c r="H1933">
        <f>CONVERT(G1933,"HP","kW")</f>
        <v>1864.2496789556756</v>
      </c>
      <c r="I1933">
        <v>0.83420000000000005</v>
      </c>
      <c r="J1933">
        <v>1.0838000000000001</v>
      </c>
      <c r="K1933">
        <v>0.54600000000000004</v>
      </c>
      <c r="L1933">
        <v>0.22120000000000001</v>
      </c>
      <c r="M1933">
        <v>0.17030000000000001</v>
      </c>
      <c r="N1933">
        <f>CONVERT(O1933,"lbf","N")</f>
        <v>18893.821310818974</v>
      </c>
      <c r="O1933">
        <v>4247.5</v>
      </c>
      <c r="P1933">
        <f t="shared" si="30"/>
        <v>0.76989150090415914</v>
      </c>
    </row>
    <row r="1934" spans="1:16" hidden="1" x14ac:dyDescent="0.25">
      <c r="A1934">
        <v>0</v>
      </c>
      <c r="B1934">
        <v>0</v>
      </c>
      <c r="C1934">
        <f>1.225 * (1 - 0.00000687559 * B1934) ^ 4.2561</f>
        <v>1.2250000000000001</v>
      </c>
      <c r="D1934">
        <f>E1934*(SQRT($C$2/C1934))</f>
        <v>180</v>
      </c>
      <c r="E1934">
        <v>180</v>
      </c>
      <c r="F1934">
        <v>1150</v>
      </c>
      <c r="G1934">
        <v>2500</v>
      </c>
      <c r="H1934">
        <f>CONVERT(G1934,"HP","kW")</f>
        <v>1864.2496789556756</v>
      </c>
      <c r="I1934">
        <v>0.8569</v>
      </c>
      <c r="J1934">
        <v>1.2193000000000001</v>
      </c>
      <c r="K1934">
        <v>0.56030000000000002</v>
      </c>
      <c r="L1934">
        <v>0.22120000000000001</v>
      </c>
      <c r="M1934">
        <v>0.1555</v>
      </c>
      <c r="N1934">
        <f>CONVERT(O1934,"lbf","N")</f>
        <v>17251.982712626323</v>
      </c>
      <c r="O1934">
        <v>3878.4</v>
      </c>
      <c r="P1934">
        <f t="shared" si="30"/>
        <v>0.70298372513562379</v>
      </c>
    </row>
    <row r="1935" spans="1:16" hidden="1" x14ac:dyDescent="0.25">
      <c r="A1935">
        <v>0</v>
      </c>
      <c r="B1935">
        <v>0</v>
      </c>
      <c r="C1935">
        <f>1.225 * (1 - 0.00000687559 * B1935) ^ 4.2561</f>
        <v>1.2250000000000001</v>
      </c>
      <c r="D1935">
        <f>E1935*(SQRT($C$2/C1935))</f>
        <v>200</v>
      </c>
      <c r="E1935">
        <v>200</v>
      </c>
      <c r="F1935">
        <v>1150</v>
      </c>
      <c r="G1935">
        <v>2500</v>
      </c>
      <c r="H1935">
        <f>CONVERT(G1935,"HP","kW")</f>
        <v>1864.2496789556756</v>
      </c>
      <c r="I1935">
        <v>0.873</v>
      </c>
      <c r="J1935">
        <v>1.3548</v>
      </c>
      <c r="K1935">
        <v>0.57579999999999998</v>
      </c>
      <c r="L1935">
        <v>0.22120000000000001</v>
      </c>
      <c r="M1935">
        <v>0.1426</v>
      </c>
      <c r="N1935">
        <f>CONVERT(O1935,"lbf","N")</f>
        <v>15817.431241704811</v>
      </c>
      <c r="O1935">
        <v>3555.9</v>
      </c>
      <c r="P1935">
        <f t="shared" si="30"/>
        <v>0.6446654611211573</v>
      </c>
    </row>
    <row r="1936" spans="1:16" hidden="1" x14ac:dyDescent="0.25">
      <c r="A1936">
        <v>0</v>
      </c>
      <c r="B1936">
        <v>0</v>
      </c>
      <c r="C1936">
        <f>1.225 * (1 - 0.00000687559 * B1936) ^ 4.2561</f>
        <v>1.2250000000000001</v>
      </c>
      <c r="D1936">
        <f>E1936*(SQRT($C$2/C1936))</f>
        <v>220</v>
      </c>
      <c r="E1936">
        <v>220</v>
      </c>
      <c r="F1936">
        <v>1150</v>
      </c>
      <c r="G1936">
        <v>2500</v>
      </c>
      <c r="H1936">
        <f>CONVERT(G1936,"HP","kW")</f>
        <v>1864.2496789556756</v>
      </c>
      <c r="I1936">
        <v>0.88400000000000001</v>
      </c>
      <c r="J1936">
        <v>1.4902</v>
      </c>
      <c r="K1936">
        <v>0.59240000000000004</v>
      </c>
      <c r="L1936">
        <v>0.22120000000000001</v>
      </c>
      <c r="M1936">
        <v>0.13120000000000001</v>
      </c>
      <c r="N1936">
        <f>CONVERT(O1936,"lbf","N")</f>
        <v>14561.253457555247</v>
      </c>
      <c r="O1936">
        <v>3273.5</v>
      </c>
      <c r="P1936">
        <f t="shared" si="30"/>
        <v>0.59312839059674505</v>
      </c>
    </row>
    <row r="1937" spans="1:16" hidden="1" x14ac:dyDescent="0.25">
      <c r="A1937">
        <v>0</v>
      </c>
      <c r="B1937">
        <v>0</v>
      </c>
      <c r="C1937">
        <f>1.225 * (1 - 0.00000687559 * B1937) ^ 4.2561</f>
        <v>1.2250000000000001</v>
      </c>
      <c r="D1937">
        <f>E1937*(SQRT($C$2/C1937))</f>
        <v>240</v>
      </c>
      <c r="E1937">
        <v>240</v>
      </c>
      <c r="F1937">
        <v>1150</v>
      </c>
      <c r="G1937">
        <v>2500</v>
      </c>
      <c r="H1937">
        <f>CONVERT(G1937,"HP","kW")</f>
        <v>1864.2496789556756</v>
      </c>
      <c r="I1937">
        <v>0.89119999999999999</v>
      </c>
      <c r="J1937">
        <v>1.6256999999999999</v>
      </c>
      <c r="K1937">
        <v>0.61</v>
      </c>
      <c r="L1937">
        <v>0.22120000000000001</v>
      </c>
      <c r="M1937">
        <v>0.12130000000000001</v>
      </c>
      <c r="N1937">
        <f>CONVERT(O1937,"lbf","N")</f>
        <v>13456.760030486064</v>
      </c>
      <c r="O1937">
        <v>3025.2</v>
      </c>
      <c r="P1937">
        <f t="shared" si="30"/>
        <v>0.54837251356238703</v>
      </c>
    </row>
    <row r="1938" spans="1:16" hidden="1" x14ac:dyDescent="0.25">
      <c r="A1938">
        <v>0</v>
      </c>
      <c r="B1938">
        <v>0</v>
      </c>
      <c r="C1938">
        <f>1.225 * (1 - 0.00000687559 * B1938) ^ 4.2561</f>
        <v>1.2250000000000001</v>
      </c>
      <c r="D1938">
        <f>E1938*(SQRT($C$2/C1938))</f>
        <v>260</v>
      </c>
      <c r="E1938">
        <v>260</v>
      </c>
      <c r="F1938">
        <v>1150</v>
      </c>
      <c r="G1938">
        <v>2500</v>
      </c>
      <c r="H1938">
        <f>CONVERT(G1938,"HP","kW")</f>
        <v>1864.2496789556756</v>
      </c>
      <c r="I1938">
        <v>0.89529999999999998</v>
      </c>
      <c r="J1938">
        <v>1.7612000000000001</v>
      </c>
      <c r="K1938">
        <v>0.62849999999999995</v>
      </c>
      <c r="L1938">
        <v>0.22120000000000001</v>
      </c>
      <c r="M1938">
        <v>0.1125</v>
      </c>
      <c r="N1938">
        <f>CONVERT(O1938,"lbf","N")</f>
        <v>12477.70645296723</v>
      </c>
      <c r="O1938">
        <v>2805.1</v>
      </c>
      <c r="P1938">
        <f t="shared" si="30"/>
        <v>0.50858951175406875</v>
      </c>
    </row>
    <row r="1939" spans="1:16" hidden="1" x14ac:dyDescent="0.25">
      <c r="A1939">
        <v>0</v>
      </c>
      <c r="B1939">
        <v>0</v>
      </c>
      <c r="C1939">
        <f>1.225 * (1 - 0.00000687559 * B1939) ^ 4.2561</f>
        <v>1.2250000000000001</v>
      </c>
      <c r="D1939">
        <f>E1939*(SQRT($C$2/C1939))</f>
        <v>40</v>
      </c>
      <c r="E1939">
        <v>40</v>
      </c>
      <c r="F1939">
        <v>1150</v>
      </c>
      <c r="G1939">
        <v>2500</v>
      </c>
      <c r="H1939">
        <f>CONVERT(G1939,"HP","kW")</f>
        <v>1864.2496789556756</v>
      </c>
      <c r="I1939">
        <v>0.3453</v>
      </c>
      <c r="J1939">
        <v>0.27100000000000002</v>
      </c>
      <c r="K1939">
        <v>0.48570000000000002</v>
      </c>
      <c r="L1939">
        <v>0.2213</v>
      </c>
      <c r="M1939">
        <v>0.28199999999999997</v>
      </c>
      <c r="N1939">
        <f>CONVERT(O1939,"lbf","N")</f>
        <v>31283.008153642517</v>
      </c>
      <c r="O1939">
        <v>7032.7</v>
      </c>
      <c r="P1939">
        <f t="shared" si="30"/>
        <v>1.2742882964301852</v>
      </c>
    </row>
    <row r="1940" spans="1:16" hidden="1" x14ac:dyDescent="0.25">
      <c r="A1940">
        <v>0</v>
      </c>
      <c r="B1940">
        <v>0</v>
      </c>
      <c r="C1940">
        <f>1.225 * (1 - 0.00000687559 * B1940) ^ 4.2561</f>
        <v>1.2250000000000001</v>
      </c>
      <c r="D1940">
        <f>E1940*(SQRT($C$2/C1940))</f>
        <v>60</v>
      </c>
      <c r="E1940">
        <v>60</v>
      </c>
      <c r="F1940">
        <v>1150</v>
      </c>
      <c r="G1940">
        <v>2500</v>
      </c>
      <c r="H1940">
        <f>CONVERT(G1940,"HP","kW")</f>
        <v>1864.2496789556756</v>
      </c>
      <c r="I1940">
        <v>0.49959999999999999</v>
      </c>
      <c r="J1940">
        <v>0.40639999999999998</v>
      </c>
      <c r="K1940">
        <v>0.49259999999999998</v>
      </c>
      <c r="L1940">
        <v>0.2213</v>
      </c>
      <c r="M1940">
        <v>0.27210000000000001</v>
      </c>
      <c r="N1940">
        <f>CONVERT(O1940,"lbf","N")</f>
        <v>30177.180260088757</v>
      </c>
      <c r="O1940">
        <v>6784.1</v>
      </c>
      <c r="P1940">
        <f t="shared" si="30"/>
        <v>1.2295526434704023</v>
      </c>
    </row>
    <row r="1941" spans="1:16" hidden="1" x14ac:dyDescent="0.25">
      <c r="A1941">
        <v>0</v>
      </c>
      <c r="B1941">
        <v>0</v>
      </c>
      <c r="C1941">
        <f>1.225 * (1 - 0.00000687559 * B1941) ^ 4.2561</f>
        <v>1.2250000000000001</v>
      </c>
      <c r="D1941">
        <f>E1941*(SQRT($C$2/C1941))</f>
        <v>80</v>
      </c>
      <c r="E1941">
        <v>80</v>
      </c>
      <c r="F1941">
        <v>1150</v>
      </c>
      <c r="G1941">
        <v>2500</v>
      </c>
      <c r="H1941">
        <f>CONVERT(G1941,"HP","kW")</f>
        <v>1864.2496789556756</v>
      </c>
      <c r="I1941">
        <v>0.61509999999999998</v>
      </c>
      <c r="J1941">
        <v>0.54190000000000005</v>
      </c>
      <c r="K1941">
        <v>0.50090000000000001</v>
      </c>
      <c r="L1941">
        <v>0.2213</v>
      </c>
      <c r="M1941">
        <v>0.25119999999999998</v>
      </c>
      <c r="N1941">
        <f>CONVERT(O1941,"lbf","N")</f>
        <v>27864.994664476351</v>
      </c>
      <c r="O1941">
        <v>6264.3</v>
      </c>
      <c r="P1941">
        <f t="shared" si="30"/>
        <v>1.1351107094441932</v>
      </c>
    </row>
    <row r="1942" spans="1:16" hidden="1" x14ac:dyDescent="0.25">
      <c r="A1942">
        <v>0</v>
      </c>
      <c r="B1942">
        <v>15000</v>
      </c>
      <c r="C1942">
        <f>1.225 * (1 - 0.00000687559 * B1942) ^ 4.2561</f>
        <v>0.77079726910167001</v>
      </c>
      <c r="D1942">
        <f>E1942*(SQRT($C$2/C1942))</f>
        <v>277.34519205286364</v>
      </c>
      <c r="E1942">
        <v>220</v>
      </c>
      <c r="F1942">
        <v>987</v>
      </c>
      <c r="G1942">
        <v>1000</v>
      </c>
      <c r="H1942">
        <f>CONVERT(G1942,"HP","kW")</f>
        <v>745.69987158227025</v>
      </c>
      <c r="I1942">
        <v>0.88690000000000002</v>
      </c>
      <c r="J1942">
        <v>2.1888999999999998</v>
      </c>
      <c r="K1942">
        <v>0.62739999999999996</v>
      </c>
      <c r="L1942">
        <v>0.22220000000000001</v>
      </c>
      <c r="M1942">
        <v>0.09</v>
      </c>
      <c r="N1942">
        <f>CONVERT(O1942,"lbf","N")</f>
        <v>4635.491745262967</v>
      </c>
      <c r="O1942">
        <v>1042.0999999999999</v>
      </c>
      <c r="P1942">
        <f t="shared" si="30"/>
        <v>0.40504050405040504</v>
      </c>
    </row>
    <row r="1943" spans="1:16" hidden="1" x14ac:dyDescent="0.25">
      <c r="A1943">
        <v>0</v>
      </c>
      <c r="B1943">
        <v>15000</v>
      </c>
      <c r="C1943">
        <f>1.225 * (1 - 0.00000687559 * B1943) ^ 4.2561</f>
        <v>0.77079726910167001</v>
      </c>
      <c r="D1943">
        <f>E1943*(SQRT($C$2/C1943))</f>
        <v>327.77159060792974</v>
      </c>
      <c r="E1943">
        <v>260</v>
      </c>
      <c r="F1943">
        <v>987</v>
      </c>
      <c r="G1943">
        <v>1000</v>
      </c>
      <c r="H1943">
        <f>CONVERT(G1943,"HP","kW")</f>
        <v>745.69987158227025</v>
      </c>
      <c r="I1943">
        <v>0.83479999999999999</v>
      </c>
      <c r="J1943">
        <v>2.5869</v>
      </c>
      <c r="K1943">
        <v>0.68669999999999998</v>
      </c>
      <c r="L1943">
        <v>0.2223</v>
      </c>
      <c r="M1943">
        <v>7.17E-2</v>
      </c>
      <c r="N1943">
        <f>CONVERT(O1943,"lbf","N")</f>
        <v>3692.0239406662149</v>
      </c>
      <c r="O1943">
        <v>830</v>
      </c>
      <c r="P1943">
        <f t="shared" si="30"/>
        <v>0.32253711201079621</v>
      </c>
    </row>
    <row r="1944" spans="1:16" hidden="1" x14ac:dyDescent="0.25">
      <c r="A1944">
        <v>0</v>
      </c>
      <c r="B1944">
        <v>15000</v>
      </c>
      <c r="C1944">
        <f>1.225 * (1 - 0.00000687559 * B1944) ^ 4.2561</f>
        <v>0.77079726910167001</v>
      </c>
      <c r="D1944">
        <f>E1944*(SQRT($C$2/C1944))</f>
        <v>50.426398555066115</v>
      </c>
      <c r="E1944">
        <v>40</v>
      </c>
      <c r="F1944">
        <v>987</v>
      </c>
      <c r="G1944">
        <v>1000</v>
      </c>
      <c r="H1944">
        <f>CONVERT(G1944,"HP","kW")</f>
        <v>745.69987158227025</v>
      </c>
      <c r="I1944">
        <v>0.49109999999999998</v>
      </c>
      <c r="J1944">
        <v>0.39800000000000002</v>
      </c>
      <c r="K1944">
        <v>0.44600000000000001</v>
      </c>
      <c r="L1944">
        <v>0.22239999999999999</v>
      </c>
      <c r="M1944">
        <v>0.27439999999999998</v>
      </c>
      <c r="N1944">
        <f>CONVERT(O1944,"lbf","N")</f>
        <v>14116.431296029199</v>
      </c>
      <c r="O1944">
        <v>3173.5</v>
      </c>
      <c r="P1944">
        <f t="shared" si="30"/>
        <v>1.2338129496402876</v>
      </c>
    </row>
    <row r="1945" spans="1:16" hidden="1" x14ac:dyDescent="0.25">
      <c r="A1945">
        <v>0</v>
      </c>
      <c r="B1945">
        <v>15000</v>
      </c>
      <c r="C1945">
        <f>1.225 * (1 - 0.00000687559 * B1945) ^ 4.2561</f>
        <v>0.77079726910167001</v>
      </c>
      <c r="D1945">
        <f>E1945*(SQRT($C$2/C1945))</f>
        <v>100.85279711013223</v>
      </c>
      <c r="E1945">
        <v>80</v>
      </c>
      <c r="F1945">
        <v>987</v>
      </c>
      <c r="G1945">
        <v>1000</v>
      </c>
      <c r="H1945">
        <f>CONVERT(G1945,"HP","kW")</f>
        <v>745.69987158227025</v>
      </c>
      <c r="I1945">
        <v>0.75170000000000003</v>
      </c>
      <c r="J1945">
        <v>0.79600000000000004</v>
      </c>
      <c r="K1945">
        <v>0.47099999999999997</v>
      </c>
      <c r="L1945">
        <v>0.22239999999999999</v>
      </c>
      <c r="M1945">
        <v>0.21</v>
      </c>
      <c r="N1945">
        <f>CONVERT(O1945,"lbf","N")</f>
        <v>10803.395836983174</v>
      </c>
      <c r="O1945">
        <v>2428.6999999999998</v>
      </c>
      <c r="P1945">
        <f t="shared" si="30"/>
        <v>0.94424460431654678</v>
      </c>
    </row>
    <row r="1946" spans="1:16" hidden="1" x14ac:dyDescent="0.25">
      <c r="A1946">
        <v>0</v>
      </c>
      <c r="B1946">
        <v>15000</v>
      </c>
      <c r="C1946">
        <f>1.225 * (1 - 0.00000687559 * B1946) ^ 4.2561</f>
        <v>0.77079726910167001</v>
      </c>
      <c r="D1946">
        <f>E1946*(SQRT($C$2/C1946))</f>
        <v>0</v>
      </c>
      <c r="E1946">
        <v>0</v>
      </c>
      <c r="F1946">
        <v>987</v>
      </c>
      <c r="G1946">
        <v>1000</v>
      </c>
      <c r="H1946">
        <f>CONVERT(G1946,"HP","kW")</f>
        <v>745.69987158227025</v>
      </c>
      <c r="I1946">
        <v>0</v>
      </c>
      <c r="J1946">
        <v>0</v>
      </c>
      <c r="K1946">
        <v>0.43169999999999997</v>
      </c>
      <c r="L1946">
        <v>0.2225</v>
      </c>
      <c r="M1946">
        <v>0.27489999999999998</v>
      </c>
      <c r="N1946">
        <f>CONVERT(O1946,"lbf","N")</f>
        <v>14135.113826813291</v>
      </c>
      <c r="O1946">
        <v>3177.7</v>
      </c>
      <c r="P1946">
        <f t="shared" si="30"/>
        <v>1.2355056179775279</v>
      </c>
    </row>
    <row r="1947" spans="1:16" hidden="1" x14ac:dyDescent="0.25">
      <c r="A1947">
        <v>0</v>
      </c>
      <c r="B1947">
        <v>15000</v>
      </c>
      <c r="C1947">
        <f>1.225 * (1 - 0.00000687559 * B1947) ^ 4.2561</f>
        <v>0.77079726910167001</v>
      </c>
      <c r="D1947">
        <f>E1947*(SQRT($C$2/C1947))</f>
        <v>25.213199277533057</v>
      </c>
      <c r="E1947">
        <v>20</v>
      </c>
      <c r="F1947">
        <v>987</v>
      </c>
      <c r="G1947">
        <v>1000</v>
      </c>
      <c r="H1947">
        <f>CONVERT(G1947,"HP","kW")</f>
        <v>745.69987158227025</v>
      </c>
      <c r="I1947">
        <v>0.25340000000000001</v>
      </c>
      <c r="J1947">
        <v>0.19900000000000001</v>
      </c>
      <c r="K1947">
        <v>0.43740000000000001</v>
      </c>
      <c r="L1947">
        <v>0.2225</v>
      </c>
      <c r="M1947">
        <v>0.2833</v>
      </c>
      <c r="N1947">
        <f>CONVERT(O1947,"lbf","N")</f>
        <v>14569.260256462718</v>
      </c>
      <c r="O1947">
        <v>3275.3</v>
      </c>
      <c r="P1947">
        <f t="shared" si="30"/>
        <v>1.2732584269662921</v>
      </c>
    </row>
    <row r="1948" spans="1:16" hidden="1" x14ac:dyDescent="0.25">
      <c r="A1948">
        <v>0</v>
      </c>
      <c r="B1948">
        <v>15000</v>
      </c>
      <c r="C1948">
        <f>1.225 * (1 - 0.00000687559 * B1948) ^ 4.2561</f>
        <v>0.77079726910167001</v>
      </c>
      <c r="D1948">
        <f>E1948*(SQRT($C$2/C1948))</f>
        <v>75.639597832599179</v>
      </c>
      <c r="E1948">
        <v>60</v>
      </c>
      <c r="F1948">
        <v>987</v>
      </c>
      <c r="G1948">
        <v>1000</v>
      </c>
      <c r="H1948">
        <f>CONVERT(G1948,"HP","kW")</f>
        <v>745.69987158227025</v>
      </c>
      <c r="I1948">
        <v>0.65180000000000005</v>
      </c>
      <c r="J1948">
        <v>0.59699999999999998</v>
      </c>
      <c r="K1948">
        <v>0.45739999999999997</v>
      </c>
      <c r="L1948">
        <v>0.2225</v>
      </c>
      <c r="M1948">
        <v>0.2429</v>
      </c>
      <c r="N1948">
        <f>CONVERT(O1948,"lbf","N")</f>
        <v>12491.051117813011</v>
      </c>
      <c r="O1948">
        <v>2808.1</v>
      </c>
      <c r="P1948">
        <f t="shared" si="30"/>
        <v>1.091685393258427</v>
      </c>
    </row>
    <row r="1949" spans="1:16" hidden="1" x14ac:dyDescent="0.25">
      <c r="A1949">
        <v>0</v>
      </c>
      <c r="B1949">
        <v>15000</v>
      </c>
      <c r="C1949">
        <f>1.225 * (1 - 0.00000687559 * B1949) ^ 4.2561</f>
        <v>0.77079726910167001</v>
      </c>
      <c r="D1949">
        <f>E1949*(SQRT($C$2/C1949))</f>
        <v>126.06599638766529</v>
      </c>
      <c r="E1949">
        <v>100</v>
      </c>
      <c r="F1949">
        <v>987</v>
      </c>
      <c r="G1949">
        <v>1000</v>
      </c>
      <c r="H1949">
        <f>CONVERT(G1949,"HP","kW")</f>
        <v>745.69987158227025</v>
      </c>
      <c r="I1949">
        <v>0.81430000000000002</v>
      </c>
      <c r="J1949">
        <v>0.995</v>
      </c>
      <c r="K1949">
        <v>0.4869</v>
      </c>
      <c r="L1949">
        <v>0.2225</v>
      </c>
      <c r="M1949">
        <v>0.18210000000000001</v>
      </c>
      <c r="N1949">
        <f>CONVERT(O1949,"lbf","N")</f>
        <v>9363.5065001233525</v>
      </c>
      <c r="O1949">
        <v>2105</v>
      </c>
      <c r="P1949">
        <f t="shared" si="30"/>
        <v>0.81842696629213485</v>
      </c>
    </row>
    <row r="1950" spans="1:16" hidden="1" x14ac:dyDescent="0.25">
      <c r="A1950">
        <v>0</v>
      </c>
      <c r="B1950">
        <v>15000</v>
      </c>
      <c r="C1950">
        <f>1.225 * (1 - 0.00000687559 * B1950) ^ 4.2561</f>
        <v>0.77079726910167001</v>
      </c>
      <c r="D1950">
        <f>E1950*(SQRT($C$2/C1950))</f>
        <v>151.27919566519836</v>
      </c>
      <c r="E1950">
        <v>120</v>
      </c>
      <c r="F1950">
        <v>987</v>
      </c>
      <c r="G1950">
        <v>1000</v>
      </c>
      <c r="H1950">
        <f>CONVERT(G1950,"HP","kW")</f>
        <v>745.69987158227025</v>
      </c>
      <c r="I1950">
        <v>0.85309999999999997</v>
      </c>
      <c r="J1950">
        <v>1.1939</v>
      </c>
      <c r="K1950">
        <v>0.50529999999999997</v>
      </c>
      <c r="L1950">
        <v>0.2225</v>
      </c>
      <c r="M1950">
        <v>0.159</v>
      </c>
      <c r="N1950">
        <f>CONVERT(O1950,"lbf","N")</f>
        <v>8174.052040202695</v>
      </c>
      <c r="O1950">
        <v>1837.6</v>
      </c>
      <c r="P1950">
        <f t="shared" si="30"/>
        <v>0.71460674157303372</v>
      </c>
    </row>
    <row r="1951" spans="1:16" hidden="1" x14ac:dyDescent="0.25">
      <c r="A1951">
        <v>0</v>
      </c>
      <c r="B1951">
        <v>15000</v>
      </c>
      <c r="C1951">
        <f>1.225 * (1 - 0.00000687559 * B1951) ^ 4.2561</f>
        <v>0.77079726910167001</v>
      </c>
      <c r="D1951">
        <f>E1951*(SQRT($C$2/C1951))</f>
        <v>176.49239494273141</v>
      </c>
      <c r="E1951">
        <v>140</v>
      </c>
      <c r="F1951">
        <v>987</v>
      </c>
      <c r="G1951">
        <v>1000</v>
      </c>
      <c r="H1951">
        <f>CONVERT(G1951,"HP","kW")</f>
        <v>745.69987158227025</v>
      </c>
      <c r="I1951">
        <v>0.87629999999999997</v>
      </c>
      <c r="J1951">
        <v>1.3929</v>
      </c>
      <c r="K1951">
        <v>0.52600000000000002</v>
      </c>
      <c r="L1951">
        <v>0.2225</v>
      </c>
      <c r="M1951">
        <v>0.14000000000000001</v>
      </c>
      <c r="N1951">
        <f>CONVERT(O1951,"lbf","N")</f>
        <v>7197.2225734914891</v>
      </c>
      <c r="O1951">
        <v>1618</v>
      </c>
      <c r="P1951">
        <f t="shared" si="30"/>
        <v>0.62921348314606751</v>
      </c>
    </row>
    <row r="1952" spans="1:16" hidden="1" x14ac:dyDescent="0.25">
      <c r="A1952">
        <v>0</v>
      </c>
      <c r="B1952">
        <v>15000</v>
      </c>
      <c r="C1952">
        <f>1.225 * (1 - 0.00000687559 * B1952) ^ 4.2561</f>
        <v>0.77079726910167001</v>
      </c>
      <c r="D1952">
        <f>E1952*(SQRT($C$2/C1952))</f>
        <v>201.70559422026446</v>
      </c>
      <c r="E1952">
        <v>160</v>
      </c>
      <c r="F1952">
        <v>987</v>
      </c>
      <c r="G1952">
        <v>1000</v>
      </c>
      <c r="H1952">
        <f>CONVERT(G1952,"HP","kW")</f>
        <v>745.69987158227025</v>
      </c>
      <c r="I1952">
        <v>0.88949999999999996</v>
      </c>
      <c r="J1952">
        <v>1.5919000000000001</v>
      </c>
      <c r="K1952">
        <v>0.54869999999999997</v>
      </c>
      <c r="L1952">
        <v>0.2225</v>
      </c>
      <c r="M1952">
        <v>0.12429999999999999</v>
      </c>
      <c r="N1952">
        <f>CONVERT(O1952,"lbf","N")</f>
        <v>6392.5392832908647</v>
      </c>
      <c r="O1952">
        <v>1437.1</v>
      </c>
      <c r="P1952">
        <f t="shared" si="30"/>
        <v>0.55865168539325838</v>
      </c>
    </row>
    <row r="1953" spans="1:16" hidden="1" x14ac:dyDescent="0.25">
      <c r="A1953">
        <v>0</v>
      </c>
      <c r="B1953">
        <v>15000</v>
      </c>
      <c r="C1953">
        <f>1.225 * (1 - 0.00000687559 * B1953) ^ 4.2561</f>
        <v>0.77079726910167001</v>
      </c>
      <c r="D1953">
        <f>E1953*(SQRT($C$2/C1953))</f>
        <v>226.91879349779754</v>
      </c>
      <c r="E1953">
        <v>180</v>
      </c>
      <c r="F1953">
        <v>987</v>
      </c>
      <c r="G1953">
        <v>1000</v>
      </c>
      <c r="H1953">
        <f>CONVERT(G1953,"HP","kW")</f>
        <v>745.69987158227025</v>
      </c>
      <c r="I1953">
        <v>0.89549999999999996</v>
      </c>
      <c r="J1953">
        <v>1.7908999999999999</v>
      </c>
      <c r="K1953">
        <v>0.57340000000000002</v>
      </c>
      <c r="L1953">
        <v>0.2225</v>
      </c>
      <c r="M1953">
        <v>0.11119999999999999</v>
      </c>
      <c r="N1953">
        <f>CONVERT(O1953,"lbf","N")</f>
        <v>5720.412997225003</v>
      </c>
      <c r="O1953">
        <v>1286</v>
      </c>
      <c r="P1953">
        <f t="shared" si="30"/>
        <v>0.49977528089887635</v>
      </c>
    </row>
    <row r="1954" spans="1:16" hidden="1" x14ac:dyDescent="0.25">
      <c r="A1954" s="6">
        <v>0</v>
      </c>
      <c r="B1954" s="6">
        <v>15000</v>
      </c>
      <c r="C1954" s="6">
        <f>1.225 * (1 - 0.00000687559 * B1954) ^ 4.2561</f>
        <v>0.77079726910167001</v>
      </c>
      <c r="D1954" s="6">
        <f>E1954*(SQRT($C$2/C1954))</f>
        <v>252.13199277533059</v>
      </c>
      <c r="E1954" s="6">
        <v>200</v>
      </c>
      <c r="F1954" s="6">
        <v>987</v>
      </c>
      <c r="G1954" s="6">
        <v>1000</v>
      </c>
      <c r="H1954" s="6">
        <f>CONVERT(G1954,"HP","kW")</f>
        <v>745.69987158227025</v>
      </c>
      <c r="I1954" s="6">
        <v>0.8952</v>
      </c>
      <c r="J1954" s="6">
        <v>1.9899</v>
      </c>
      <c r="K1954" s="6">
        <v>0.59970000000000001</v>
      </c>
      <c r="L1954" s="6">
        <v>0.2225</v>
      </c>
      <c r="M1954" s="6">
        <v>0.10009999999999999</v>
      </c>
      <c r="N1954" s="6">
        <f>CONVERT(O1954,"lbf","N")</f>
        <v>5146.5924088563988</v>
      </c>
      <c r="O1954" s="6">
        <v>1157</v>
      </c>
      <c r="P1954">
        <f t="shared" si="30"/>
        <v>0.44988764044943819</v>
      </c>
    </row>
    <row r="1955" spans="1:16" hidden="1" x14ac:dyDescent="0.25">
      <c r="A1955">
        <v>0</v>
      </c>
      <c r="B1955">
        <v>15000</v>
      </c>
      <c r="C1955">
        <f>1.225 * (1 - 0.00000687559 * B1955) ^ 4.2561</f>
        <v>0.77079726910167001</v>
      </c>
      <c r="D1955">
        <f>E1955*(SQRT($C$2/C1955))</f>
        <v>302.55839133039672</v>
      </c>
      <c r="E1955">
        <v>240</v>
      </c>
      <c r="F1955">
        <v>987</v>
      </c>
      <c r="G1955">
        <v>1000</v>
      </c>
      <c r="H1955">
        <f>CONVERT(G1955,"HP","kW")</f>
        <v>745.69987158227025</v>
      </c>
      <c r="I1955">
        <v>0.86880000000000002</v>
      </c>
      <c r="J1955">
        <v>2.3879000000000001</v>
      </c>
      <c r="K1955">
        <v>0.65649999999999997</v>
      </c>
      <c r="L1955">
        <v>0.2225</v>
      </c>
      <c r="M1955">
        <v>8.09E-2</v>
      </c>
      <c r="N1955">
        <f>CONVERT(O1955,"lbf","N")</f>
        <v>4162.20096539925</v>
      </c>
      <c r="O1955">
        <v>935.7</v>
      </c>
      <c r="P1955">
        <f t="shared" si="30"/>
        <v>0.36359550561797754</v>
      </c>
    </row>
    <row r="1956" spans="1:16" hidden="1" x14ac:dyDescent="0.25">
      <c r="A1956">
        <v>0</v>
      </c>
      <c r="B1956">
        <v>10000</v>
      </c>
      <c r="C1956">
        <f>1.225 * (1 - 0.00000687559 * B1956) ^ 4.2561</f>
        <v>0.90462252368600637</v>
      </c>
      <c r="D1956">
        <f>E1956*(SQRT($C$2/C1956))</f>
        <v>162.91549099457848</v>
      </c>
      <c r="E1956">
        <v>140</v>
      </c>
      <c r="F1956">
        <v>1215</v>
      </c>
      <c r="G1956">
        <v>2250</v>
      </c>
      <c r="H1956">
        <f>CONVERT(G1956,"HP","kW")</f>
        <v>1677.8247110601083</v>
      </c>
      <c r="I1956">
        <v>0.82169999999999999</v>
      </c>
      <c r="J1956">
        <v>1.0445</v>
      </c>
      <c r="K1956">
        <v>0.59340000000000004</v>
      </c>
      <c r="L1956">
        <v>0.22850000000000001</v>
      </c>
      <c r="M1956">
        <v>0.17979999999999999</v>
      </c>
      <c r="N1956">
        <f>CONVERT(O1956,"lbf","N")</f>
        <v>16449.523533233329</v>
      </c>
      <c r="O1956">
        <v>3698</v>
      </c>
      <c r="P1956">
        <f t="shared" si="30"/>
        <v>0.78687089715536096</v>
      </c>
    </row>
    <row r="1957" spans="1:16" hidden="1" x14ac:dyDescent="0.25">
      <c r="A1957">
        <v>0</v>
      </c>
      <c r="B1957">
        <v>10000</v>
      </c>
      <c r="C1957">
        <f>1.225 * (1 - 0.00000687559 * B1957) ^ 4.2561</f>
        <v>0.90462252368600637</v>
      </c>
      <c r="D1957">
        <f>E1957*(SQRT($C$2/C1957))</f>
        <v>186.18913256523254</v>
      </c>
      <c r="E1957">
        <v>160</v>
      </c>
      <c r="F1957">
        <v>1215</v>
      </c>
      <c r="G1957">
        <v>2250</v>
      </c>
      <c r="H1957">
        <f>CONVERT(G1957,"HP","kW")</f>
        <v>1677.8247110601083</v>
      </c>
      <c r="I1957">
        <v>0.84989999999999999</v>
      </c>
      <c r="J1957">
        <v>1.1937</v>
      </c>
      <c r="K1957">
        <v>0.61029999999999995</v>
      </c>
      <c r="L1957">
        <v>0.22850000000000001</v>
      </c>
      <c r="M1957">
        <v>0.16270000000000001</v>
      </c>
      <c r="N1957">
        <f>CONVERT(O1957,"lbf","N")</f>
        <v>14887.75292411537</v>
      </c>
      <c r="O1957">
        <v>3346.9</v>
      </c>
      <c r="P1957">
        <f t="shared" si="30"/>
        <v>0.71203501094091903</v>
      </c>
    </row>
    <row r="1958" spans="1:16" hidden="1" x14ac:dyDescent="0.25">
      <c r="A1958">
        <v>0</v>
      </c>
      <c r="B1958">
        <v>10000</v>
      </c>
      <c r="C1958">
        <f>1.225 * (1 - 0.00000687559 * B1958) ^ 4.2561</f>
        <v>0.90462252368600637</v>
      </c>
      <c r="D1958">
        <f>E1958*(SQRT($C$2/C1958))</f>
        <v>0</v>
      </c>
      <c r="E1958">
        <v>0</v>
      </c>
      <c r="F1958">
        <v>1215</v>
      </c>
      <c r="G1958">
        <v>2250</v>
      </c>
      <c r="H1958">
        <f>CONVERT(G1958,"HP","kW")</f>
        <v>1677.8247110601083</v>
      </c>
      <c r="I1958">
        <v>0</v>
      </c>
      <c r="J1958">
        <v>0</v>
      </c>
      <c r="K1958">
        <v>0.52149999999999996</v>
      </c>
      <c r="L1958">
        <v>0.2286</v>
      </c>
      <c r="M1958">
        <v>0.27200000000000002</v>
      </c>
      <c r="N1958">
        <f>CONVERT(O1958,"lbf","N")</f>
        <v>24877.124205505876</v>
      </c>
      <c r="O1958">
        <v>5592.6</v>
      </c>
      <c r="P1958">
        <f t="shared" si="30"/>
        <v>1.1898512685914262</v>
      </c>
    </row>
    <row r="1959" spans="1:16" hidden="1" x14ac:dyDescent="0.25">
      <c r="A1959">
        <v>0</v>
      </c>
      <c r="B1959">
        <v>10000</v>
      </c>
      <c r="C1959">
        <f>1.225 * (1 - 0.00000687559 * B1959) ^ 4.2561</f>
        <v>0.90462252368600637</v>
      </c>
      <c r="D1959">
        <f>E1959*(SQRT($C$2/C1959))</f>
        <v>23.273641570654068</v>
      </c>
      <c r="E1959">
        <v>20</v>
      </c>
      <c r="F1959">
        <v>1215</v>
      </c>
      <c r="G1959">
        <v>2250</v>
      </c>
      <c r="H1959">
        <f>CONVERT(G1959,"HP","kW")</f>
        <v>1677.8247110601083</v>
      </c>
      <c r="I1959">
        <v>0.1827</v>
      </c>
      <c r="J1959">
        <v>0.1492</v>
      </c>
      <c r="K1959">
        <v>0.52649999999999997</v>
      </c>
      <c r="L1959">
        <v>0.2286</v>
      </c>
      <c r="M1959">
        <v>0.27989999999999998</v>
      </c>
      <c r="N1959">
        <f>CONVERT(O1959,"lbf","N")</f>
        <v>25602.629150954861</v>
      </c>
      <c r="O1959">
        <v>5755.7</v>
      </c>
      <c r="P1959">
        <f t="shared" si="30"/>
        <v>1.2244094488188977</v>
      </c>
    </row>
    <row r="1960" spans="1:16" hidden="1" x14ac:dyDescent="0.25">
      <c r="A1960">
        <v>0</v>
      </c>
      <c r="B1960">
        <v>10000</v>
      </c>
      <c r="C1960">
        <f>1.225 * (1 - 0.00000687559 * B1960) ^ 4.2561</f>
        <v>0.90462252368600637</v>
      </c>
      <c r="D1960">
        <f>E1960*(SQRT($C$2/C1960))</f>
        <v>93.09456628261627</v>
      </c>
      <c r="E1960">
        <v>80</v>
      </c>
      <c r="F1960">
        <v>1215</v>
      </c>
      <c r="G1960">
        <v>2250</v>
      </c>
      <c r="H1960">
        <f>CONVERT(G1960,"HP","kW")</f>
        <v>1677.8247110601083</v>
      </c>
      <c r="I1960">
        <v>0.64559999999999995</v>
      </c>
      <c r="J1960">
        <v>0.59689999999999999</v>
      </c>
      <c r="K1960">
        <v>0.55230000000000001</v>
      </c>
      <c r="L1960">
        <v>0.2286</v>
      </c>
      <c r="M1960">
        <v>0.24729999999999999</v>
      </c>
      <c r="N1960">
        <f>CONVERT(O1960,"lbf","N")</f>
        <v>22617.872447115064</v>
      </c>
      <c r="O1960">
        <v>5084.7</v>
      </c>
      <c r="P1960">
        <f t="shared" si="30"/>
        <v>1.0818022747156606</v>
      </c>
    </row>
    <row r="1961" spans="1:16" hidden="1" x14ac:dyDescent="0.25">
      <c r="A1961">
        <v>0</v>
      </c>
      <c r="B1961">
        <v>10000</v>
      </c>
      <c r="C1961">
        <f>1.225 * (1 - 0.00000687559 * B1961) ^ 4.2561</f>
        <v>0.90462252368600637</v>
      </c>
      <c r="D1961">
        <f>E1961*(SQRT($C$2/C1961))</f>
        <v>116.36820785327033</v>
      </c>
      <c r="E1961">
        <v>100</v>
      </c>
      <c r="F1961">
        <v>1215</v>
      </c>
      <c r="G1961">
        <v>2250</v>
      </c>
      <c r="H1961">
        <f>CONVERT(G1961,"HP","kW")</f>
        <v>1677.8247110601083</v>
      </c>
      <c r="I1961">
        <v>0.7248</v>
      </c>
      <c r="J1961">
        <v>0.74609999999999999</v>
      </c>
      <c r="K1961">
        <v>0.56440000000000001</v>
      </c>
      <c r="L1961">
        <v>0.2286</v>
      </c>
      <c r="M1961">
        <v>0.22209999999999999</v>
      </c>
      <c r="N1961">
        <f>CONVERT(O1961,"lbf","N")</f>
        <v>20315.028116894704</v>
      </c>
      <c r="O1961">
        <v>4567</v>
      </c>
      <c r="P1961">
        <f t="shared" si="30"/>
        <v>0.97156605424321962</v>
      </c>
    </row>
    <row r="1962" spans="1:16" hidden="1" x14ac:dyDescent="0.25">
      <c r="A1962">
        <v>0</v>
      </c>
      <c r="B1962">
        <v>10000</v>
      </c>
      <c r="C1962">
        <f>1.225 * (1 - 0.00000687559 * B1962) ^ 4.2561</f>
        <v>0.90462252368600637</v>
      </c>
      <c r="D1962">
        <f>E1962*(SQRT($C$2/C1962))</f>
        <v>139.64184942392441</v>
      </c>
      <c r="E1962">
        <v>120</v>
      </c>
      <c r="F1962">
        <v>1215</v>
      </c>
      <c r="G1962">
        <v>2250</v>
      </c>
      <c r="H1962">
        <f>CONVERT(G1962,"HP","kW")</f>
        <v>1677.8247110601083</v>
      </c>
      <c r="I1962">
        <v>0.78139999999999998</v>
      </c>
      <c r="J1962">
        <v>0.89529999999999998</v>
      </c>
      <c r="K1962">
        <v>0.57809999999999995</v>
      </c>
      <c r="L1962">
        <v>0.2286</v>
      </c>
      <c r="M1962">
        <v>0.19950000000000001</v>
      </c>
      <c r="N1962">
        <f>CONVERT(O1962,"lbf","N")</f>
        <v>18251.053287413833</v>
      </c>
      <c r="O1962">
        <v>4103</v>
      </c>
      <c r="P1962">
        <f t="shared" si="30"/>
        <v>0.87270341207349089</v>
      </c>
    </row>
    <row r="1963" spans="1:16" hidden="1" x14ac:dyDescent="0.25">
      <c r="A1963">
        <v>0</v>
      </c>
      <c r="B1963">
        <v>10000</v>
      </c>
      <c r="C1963">
        <f>1.225 * (1 - 0.00000687559 * B1963) ^ 4.2561</f>
        <v>0.90462252368600637</v>
      </c>
      <c r="D1963">
        <f>E1963*(SQRT($C$2/C1963))</f>
        <v>209.4627741358866</v>
      </c>
      <c r="E1963">
        <v>180</v>
      </c>
      <c r="F1963">
        <v>1215</v>
      </c>
      <c r="G1963">
        <v>2250</v>
      </c>
      <c r="H1963">
        <f>CONVERT(G1963,"HP","kW")</f>
        <v>1677.8247110601083</v>
      </c>
      <c r="I1963">
        <v>0.86950000000000005</v>
      </c>
      <c r="J1963">
        <v>1.3429</v>
      </c>
      <c r="K1963">
        <v>0.62880000000000003</v>
      </c>
      <c r="L1963">
        <v>0.2286</v>
      </c>
      <c r="M1963">
        <v>0.14799999999999999</v>
      </c>
      <c r="N1963">
        <f>CONVERT(O1963,"lbf","N")</f>
        <v>13538.162486045332</v>
      </c>
      <c r="O1963">
        <v>3043.5</v>
      </c>
      <c r="P1963">
        <f t="shared" si="30"/>
        <v>0.64741907261592302</v>
      </c>
    </row>
    <row r="1964" spans="1:16" hidden="1" x14ac:dyDescent="0.25">
      <c r="A1964">
        <v>0</v>
      </c>
      <c r="B1964">
        <v>10000</v>
      </c>
      <c r="C1964">
        <f>1.225 * (1 - 0.00000687559 * B1964) ^ 4.2561</f>
        <v>0.90462252368600637</v>
      </c>
      <c r="D1964">
        <f>E1964*(SQRT($C$2/C1964))</f>
        <v>232.73641570654067</v>
      </c>
      <c r="E1964">
        <v>200</v>
      </c>
      <c r="F1964">
        <v>1215</v>
      </c>
      <c r="G1964">
        <v>2250</v>
      </c>
      <c r="H1964">
        <f>CONVERT(G1964,"HP","kW")</f>
        <v>1677.8247110601083</v>
      </c>
      <c r="I1964">
        <v>0.88260000000000005</v>
      </c>
      <c r="J1964">
        <v>1.4922</v>
      </c>
      <c r="K1964">
        <v>0.64880000000000004</v>
      </c>
      <c r="L1964">
        <v>0.2286</v>
      </c>
      <c r="M1964">
        <v>0.13519999999999999</v>
      </c>
      <c r="N1964">
        <f>CONVERT(O1964,"lbf","N")</f>
        <v>12368.280201231821</v>
      </c>
      <c r="O1964">
        <v>2780.5</v>
      </c>
      <c r="P1964">
        <f t="shared" si="30"/>
        <v>0.59142607174103234</v>
      </c>
    </row>
    <row r="1965" spans="1:16" hidden="1" x14ac:dyDescent="0.25">
      <c r="A1965">
        <v>0</v>
      </c>
      <c r="B1965">
        <v>10000</v>
      </c>
      <c r="C1965">
        <f>1.225 * (1 - 0.00000687559 * B1965) ^ 4.2561</f>
        <v>0.90462252368600637</v>
      </c>
      <c r="D1965">
        <f>E1965*(SQRT($C$2/C1965))</f>
        <v>256.01005727719473</v>
      </c>
      <c r="E1965">
        <v>220</v>
      </c>
      <c r="F1965">
        <v>1215</v>
      </c>
      <c r="G1965">
        <v>2250</v>
      </c>
      <c r="H1965">
        <f>CONVERT(G1965,"HP","kW")</f>
        <v>1677.8247110601083</v>
      </c>
      <c r="I1965">
        <v>0.8911</v>
      </c>
      <c r="J1965">
        <v>1.6414</v>
      </c>
      <c r="K1965">
        <v>0.67010000000000003</v>
      </c>
      <c r="L1965">
        <v>0.2286</v>
      </c>
      <c r="M1965">
        <v>0.1241</v>
      </c>
      <c r="N1965">
        <f>CONVERT(O1965,"lbf","N")</f>
        <v>11351.861562144797</v>
      </c>
      <c r="O1965">
        <v>2552</v>
      </c>
      <c r="P1965">
        <f t="shared" si="30"/>
        <v>0.54286964129483817</v>
      </c>
    </row>
    <row r="1966" spans="1:16" hidden="1" x14ac:dyDescent="0.25">
      <c r="A1966">
        <v>0</v>
      </c>
      <c r="B1966">
        <v>10000</v>
      </c>
      <c r="C1966">
        <f>1.225 * (1 - 0.00000687559 * B1966) ^ 4.2561</f>
        <v>0.90462252368600637</v>
      </c>
      <c r="D1966">
        <f>E1966*(SQRT($C$2/C1966))</f>
        <v>279.28369884784883</v>
      </c>
      <c r="E1966">
        <v>240</v>
      </c>
      <c r="F1966">
        <v>1215</v>
      </c>
      <c r="G1966">
        <v>2250</v>
      </c>
      <c r="H1966">
        <f>CONVERT(G1966,"HP","kW")</f>
        <v>1677.8247110601083</v>
      </c>
      <c r="I1966">
        <v>0.89370000000000005</v>
      </c>
      <c r="J1966">
        <v>1.7906</v>
      </c>
      <c r="K1966">
        <v>0.69259999999999999</v>
      </c>
      <c r="L1966">
        <v>0.2286</v>
      </c>
      <c r="M1966">
        <v>0.11409999999999999</v>
      </c>
      <c r="N1966">
        <f>CONVERT(O1966,"lbf","N")</f>
        <v>10435.972731562659</v>
      </c>
      <c r="O1966">
        <v>2346.1</v>
      </c>
      <c r="P1966">
        <f t="shared" si="30"/>
        <v>0.49912510936132981</v>
      </c>
    </row>
    <row r="1967" spans="1:16" hidden="1" x14ac:dyDescent="0.25">
      <c r="A1967">
        <v>0</v>
      </c>
      <c r="B1967">
        <v>10000</v>
      </c>
      <c r="C1967">
        <f>1.225 * (1 - 0.00000687559 * B1967) ^ 4.2561</f>
        <v>0.90462252368600637</v>
      </c>
      <c r="D1967">
        <f>E1967*(SQRT($C$2/C1967))</f>
        <v>302.55734041850286</v>
      </c>
      <c r="E1967">
        <v>260</v>
      </c>
      <c r="F1967">
        <v>1215</v>
      </c>
      <c r="G1967">
        <v>2250</v>
      </c>
      <c r="H1967">
        <f>CONVERT(G1967,"HP","kW")</f>
        <v>1677.8247110601083</v>
      </c>
      <c r="I1967">
        <v>0.88460000000000005</v>
      </c>
      <c r="J1967">
        <v>1.9398</v>
      </c>
      <c r="K1967">
        <v>0.71630000000000005</v>
      </c>
      <c r="L1967">
        <v>0.2286</v>
      </c>
      <c r="M1967">
        <v>0.1042</v>
      </c>
      <c r="N1967">
        <f>CONVERT(O1967,"lbf","N")</f>
        <v>9535.6526766339339</v>
      </c>
      <c r="O1967">
        <v>2143.6999999999998</v>
      </c>
      <c r="P1967">
        <f t="shared" si="30"/>
        <v>0.4558180227471566</v>
      </c>
    </row>
    <row r="1968" spans="1:16" hidden="1" x14ac:dyDescent="0.25">
      <c r="A1968">
        <v>0</v>
      </c>
      <c r="B1968">
        <v>10000</v>
      </c>
      <c r="C1968">
        <f>1.225 * (1 - 0.00000687559 * B1968) ^ 4.2561</f>
        <v>0.90462252368600637</v>
      </c>
      <c r="D1968">
        <f>E1968*(SQRT($C$2/C1968))</f>
        <v>46.547283141308135</v>
      </c>
      <c r="E1968">
        <v>40</v>
      </c>
      <c r="F1968">
        <v>1215</v>
      </c>
      <c r="G1968">
        <v>2250</v>
      </c>
      <c r="H1968">
        <f>CONVERT(G1968,"HP","kW")</f>
        <v>1677.8247110601083</v>
      </c>
      <c r="I1968">
        <v>0.36680000000000001</v>
      </c>
      <c r="J1968">
        <v>0.2984</v>
      </c>
      <c r="K1968">
        <v>0.53300000000000003</v>
      </c>
      <c r="L1968">
        <v>0.22869999999999999</v>
      </c>
      <c r="M1968">
        <v>0.28110000000000002</v>
      </c>
      <c r="N1968">
        <f>CONVERT(O1968,"lbf","N")</f>
        <v>25702.269315136698</v>
      </c>
      <c r="O1968">
        <v>5778.1</v>
      </c>
      <c r="P1968">
        <f t="shared" si="30"/>
        <v>1.2291211193703544</v>
      </c>
    </row>
    <row r="1969" spans="1:16" hidden="1" x14ac:dyDescent="0.25">
      <c r="A1969">
        <v>0</v>
      </c>
      <c r="B1969">
        <v>10000</v>
      </c>
      <c r="C1969">
        <f>1.225 * (1 - 0.00000687559 * B1969) ^ 4.2561</f>
        <v>0.90462252368600637</v>
      </c>
      <c r="D1969">
        <f>E1969*(SQRT($C$2/C1969))</f>
        <v>69.820924711962206</v>
      </c>
      <c r="E1969">
        <v>60</v>
      </c>
      <c r="F1969">
        <v>1215</v>
      </c>
      <c r="G1969">
        <v>2250</v>
      </c>
      <c r="H1969">
        <f>CONVERT(G1969,"HP","kW")</f>
        <v>1677.8247110601083</v>
      </c>
      <c r="I1969">
        <v>0.52929999999999999</v>
      </c>
      <c r="J1969">
        <v>0.4476</v>
      </c>
      <c r="K1969">
        <v>0.54169999999999996</v>
      </c>
      <c r="L1969">
        <v>0.22869999999999999</v>
      </c>
      <c r="M1969">
        <v>0.27050000000000002</v>
      </c>
      <c r="N1969">
        <f>CONVERT(O1969,"lbf","N")</f>
        <v>24726.32949274854</v>
      </c>
      <c r="O1969">
        <v>5558.7</v>
      </c>
      <c r="P1969">
        <f t="shared" si="30"/>
        <v>1.1827721906427635</v>
      </c>
    </row>
    <row r="1970" spans="1:16" hidden="1" x14ac:dyDescent="0.25">
      <c r="A1970">
        <v>0</v>
      </c>
      <c r="B1970">
        <v>5000</v>
      </c>
      <c r="C1970">
        <f>1.225 * (1 - 0.00000687559 * B1970) ^ 4.2561</f>
        <v>1.0555380742846066</v>
      </c>
      <c r="D1970">
        <f>E1970*(SQRT($C$2/C1970))</f>
        <v>86.1828952243647</v>
      </c>
      <c r="E1970">
        <v>80</v>
      </c>
      <c r="F1970">
        <v>1150</v>
      </c>
      <c r="G1970">
        <v>2250</v>
      </c>
      <c r="H1970">
        <f>CONVERT(G1970,"HP","kW")</f>
        <v>1677.8247110601083</v>
      </c>
      <c r="I1970">
        <v>0.63670000000000004</v>
      </c>
      <c r="J1970">
        <v>0.58379999999999999</v>
      </c>
      <c r="K1970">
        <v>0.51239999999999997</v>
      </c>
      <c r="L1970">
        <v>0.23089999999999999</v>
      </c>
      <c r="M1970">
        <v>0.25190000000000001</v>
      </c>
      <c r="N1970">
        <f>CONVERT(O1970,"lbf","N")</f>
        <v>24096.906134189183</v>
      </c>
      <c r="O1970">
        <v>5417.2</v>
      </c>
      <c r="P1970">
        <f t="shared" si="30"/>
        <v>1.0909484625378953</v>
      </c>
    </row>
    <row r="1971" spans="1:16" hidden="1" x14ac:dyDescent="0.25">
      <c r="A1971">
        <v>0</v>
      </c>
      <c r="B1971">
        <v>5000</v>
      </c>
      <c r="C1971">
        <f>1.225 * (1 - 0.00000687559 * B1971) ^ 4.2561</f>
        <v>1.0555380742846066</v>
      </c>
      <c r="D1971">
        <f>E1971*(SQRT($C$2/C1971))</f>
        <v>0</v>
      </c>
      <c r="E1971">
        <v>0</v>
      </c>
      <c r="F1971">
        <v>1150</v>
      </c>
      <c r="G1971">
        <v>2250</v>
      </c>
      <c r="H1971">
        <f>CONVERT(G1971,"HP","kW")</f>
        <v>1677.8247110601083</v>
      </c>
      <c r="I1971">
        <v>0</v>
      </c>
      <c r="J1971">
        <v>0</v>
      </c>
      <c r="K1971">
        <v>0.48480000000000001</v>
      </c>
      <c r="L1971">
        <v>0.2311</v>
      </c>
      <c r="M1971">
        <v>0.27360000000000001</v>
      </c>
      <c r="N1971">
        <f>CONVERT(O1971,"lbf","N")</f>
        <v>26150.650053954952</v>
      </c>
      <c r="O1971">
        <v>5878.9</v>
      </c>
      <c r="P1971">
        <f t="shared" si="30"/>
        <v>1.1839030722630897</v>
      </c>
    </row>
    <row r="1972" spans="1:16" hidden="1" x14ac:dyDescent="0.25">
      <c r="A1972">
        <v>0</v>
      </c>
      <c r="B1972">
        <v>5000</v>
      </c>
      <c r="C1972">
        <f>1.225 * (1 - 0.00000687559 * B1972) ^ 4.2561</f>
        <v>1.0555380742846066</v>
      </c>
      <c r="D1972">
        <f>E1972*(SQRT($C$2/C1972))</f>
        <v>21.545723806091175</v>
      </c>
      <c r="E1972">
        <v>20</v>
      </c>
      <c r="F1972">
        <v>1150</v>
      </c>
      <c r="G1972">
        <v>2250</v>
      </c>
      <c r="H1972">
        <f>CONVERT(G1972,"HP","kW")</f>
        <v>1677.8247110601083</v>
      </c>
      <c r="I1972">
        <v>0.17730000000000001</v>
      </c>
      <c r="J1972">
        <v>0.1459</v>
      </c>
      <c r="K1972">
        <v>0.48930000000000001</v>
      </c>
      <c r="L1972">
        <v>0.2311</v>
      </c>
      <c r="M1972">
        <v>0.28070000000000001</v>
      </c>
      <c r="N1972">
        <f>CONVERT(O1972,"lbf","N")</f>
        <v>26837.010649189648</v>
      </c>
      <c r="O1972">
        <v>6033.2</v>
      </c>
      <c r="P1972">
        <f t="shared" si="30"/>
        <v>1.2146257031588057</v>
      </c>
    </row>
    <row r="1973" spans="1:16" hidden="1" x14ac:dyDescent="0.25">
      <c r="A1973">
        <v>0</v>
      </c>
      <c r="B1973">
        <v>5000</v>
      </c>
      <c r="C1973">
        <f>1.225 * (1 - 0.00000687559 * B1973) ^ 4.2561</f>
        <v>1.0555380742846066</v>
      </c>
      <c r="D1973">
        <f>E1973*(SQRT($C$2/C1973))</f>
        <v>64.637171418273525</v>
      </c>
      <c r="E1973">
        <v>60</v>
      </c>
      <c r="F1973">
        <v>1150</v>
      </c>
      <c r="G1973">
        <v>2250</v>
      </c>
      <c r="H1973">
        <f>CONVERT(G1973,"HP","kW")</f>
        <v>1677.8247110601083</v>
      </c>
      <c r="I1973">
        <v>0.52</v>
      </c>
      <c r="J1973">
        <v>0.43780000000000002</v>
      </c>
      <c r="K1973">
        <v>0.50290000000000001</v>
      </c>
      <c r="L1973">
        <v>0.2311</v>
      </c>
      <c r="M1973">
        <v>0.27450000000000002</v>
      </c>
      <c r="N1973">
        <f>CONVERT(O1973,"lbf","N")</f>
        <v>26239.169664098641</v>
      </c>
      <c r="O1973">
        <v>5898.8</v>
      </c>
      <c r="P1973">
        <f t="shared" si="30"/>
        <v>1.1877974902639552</v>
      </c>
    </row>
    <row r="1974" spans="1:16" hidden="1" x14ac:dyDescent="0.25">
      <c r="A1974">
        <v>0</v>
      </c>
      <c r="B1974">
        <v>5000</v>
      </c>
      <c r="C1974">
        <f>1.225 * (1 - 0.00000687559 * B1974) ^ 4.2561</f>
        <v>1.0555380742846066</v>
      </c>
      <c r="D1974">
        <f>E1974*(SQRT($C$2/C1974))</f>
        <v>107.72861903045587</v>
      </c>
      <c r="E1974">
        <v>100</v>
      </c>
      <c r="F1974">
        <v>1150</v>
      </c>
      <c r="G1974">
        <v>2250</v>
      </c>
      <c r="H1974">
        <f>CONVERT(G1974,"HP","kW")</f>
        <v>1677.8247110601083</v>
      </c>
      <c r="I1974">
        <v>0.71730000000000005</v>
      </c>
      <c r="J1974">
        <v>0.72970000000000002</v>
      </c>
      <c r="K1974">
        <v>0.52329999999999999</v>
      </c>
      <c r="L1974">
        <v>0.2311</v>
      </c>
      <c r="M1974">
        <v>0.2271</v>
      </c>
      <c r="N1974">
        <f>CONVERT(O1974,"lbf","N")</f>
        <v>21716.21792570176</v>
      </c>
      <c r="O1974">
        <v>4882</v>
      </c>
      <c r="P1974">
        <f t="shared" si="30"/>
        <v>0.98269147555170921</v>
      </c>
    </row>
    <row r="1975" spans="1:16" hidden="1" x14ac:dyDescent="0.25">
      <c r="A1975">
        <v>0</v>
      </c>
      <c r="B1975">
        <v>5000</v>
      </c>
      <c r="C1975">
        <f>1.225 * (1 - 0.00000687559 * B1975) ^ 4.2561</f>
        <v>1.0555380742846066</v>
      </c>
      <c r="D1975">
        <f>E1975*(SQRT($C$2/C1975))</f>
        <v>129.27434283654705</v>
      </c>
      <c r="E1975">
        <v>120</v>
      </c>
      <c r="F1975">
        <v>1150</v>
      </c>
      <c r="G1975">
        <v>2250</v>
      </c>
      <c r="H1975">
        <f>CONVERT(G1975,"HP","kW")</f>
        <v>1677.8247110601083</v>
      </c>
      <c r="I1975">
        <v>0.7752</v>
      </c>
      <c r="J1975">
        <v>0.87570000000000003</v>
      </c>
      <c r="K1975">
        <v>0.53559999999999997</v>
      </c>
      <c r="L1975">
        <v>0.2311</v>
      </c>
      <c r="M1975">
        <v>0.2046</v>
      </c>
      <c r="N1975">
        <f>CONVERT(O1975,"lbf","N")</f>
        <v>19556.606331492789</v>
      </c>
      <c r="O1975">
        <v>4396.5</v>
      </c>
      <c r="P1975">
        <f t="shared" si="30"/>
        <v>0.88533102553007359</v>
      </c>
    </row>
    <row r="1976" spans="1:16" hidden="1" x14ac:dyDescent="0.25">
      <c r="A1976">
        <v>0</v>
      </c>
      <c r="B1976">
        <v>5000</v>
      </c>
      <c r="C1976">
        <f>1.225 * (1 - 0.00000687559 * B1976) ^ 4.2561</f>
        <v>1.0555380742846066</v>
      </c>
      <c r="D1976">
        <f>E1976*(SQRT($C$2/C1976))</f>
        <v>150.82006664263821</v>
      </c>
      <c r="E1976">
        <v>140</v>
      </c>
      <c r="F1976">
        <v>1150</v>
      </c>
      <c r="G1976">
        <v>2250</v>
      </c>
      <c r="H1976">
        <f>CONVERT(G1976,"HP","kW")</f>
        <v>1677.8247110601083</v>
      </c>
      <c r="I1976">
        <v>0.81640000000000001</v>
      </c>
      <c r="J1976">
        <v>1.0216000000000001</v>
      </c>
      <c r="K1976">
        <v>0.54930000000000001</v>
      </c>
      <c r="L1976">
        <v>0.2311</v>
      </c>
      <c r="M1976">
        <v>0.1847</v>
      </c>
      <c r="N1976">
        <f>CONVERT(O1976,"lbf","N")</f>
        <v>17654.991590968926</v>
      </c>
      <c r="O1976">
        <v>3969</v>
      </c>
      <c r="P1976">
        <f t="shared" si="30"/>
        <v>0.79922111639982696</v>
      </c>
    </row>
    <row r="1977" spans="1:16" hidden="1" x14ac:dyDescent="0.25">
      <c r="A1977">
        <v>0</v>
      </c>
      <c r="B1977">
        <v>5000</v>
      </c>
      <c r="C1977">
        <f>1.225 * (1 - 0.00000687559 * B1977) ^ 4.2561</f>
        <v>1.0555380742846066</v>
      </c>
      <c r="D1977">
        <f>E1977*(SQRT($C$2/C1977))</f>
        <v>172.3657904487294</v>
      </c>
      <c r="E1977">
        <v>160</v>
      </c>
      <c r="F1977">
        <v>1150</v>
      </c>
      <c r="G1977">
        <v>2250</v>
      </c>
      <c r="H1977">
        <f>CONVERT(G1977,"HP","kW")</f>
        <v>1677.8247110601083</v>
      </c>
      <c r="I1977">
        <v>0.84560000000000002</v>
      </c>
      <c r="J1977">
        <v>1.1676</v>
      </c>
      <c r="K1977">
        <v>0.5645</v>
      </c>
      <c r="L1977">
        <v>0.2311</v>
      </c>
      <c r="M1977">
        <v>0.16739999999999999</v>
      </c>
      <c r="N1977">
        <f>CONVERT(O1977,"lbf","N")</f>
        <v>16000.253150092019</v>
      </c>
      <c r="O1977">
        <v>3597</v>
      </c>
      <c r="P1977">
        <f t="shared" si="30"/>
        <v>0.72436174816096921</v>
      </c>
    </row>
    <row r="1978" spans="1:16" hidden="1" x14ac:dyDescent="0.25">
      <c r="A1978">
        <v>0</v>
      </c>
      <c r="B1978">
        <v>5000</v>
      </c>
      <c r="C1978">
        <f>1.225 * (1 - 0.00000687559 * B1978) ^ 4.2561</f>
        <v>1.0555380742846066</v>
      </c>
      <c r="D1978">
        <f>E1978*(SQRT($C$2/C1978))</f>
        <v>193.91151425482059</v>
      </c>
      <c r="E1978">
        <v>180</v>
      </c>
      <c r="F1978">
        <v>1150</v>
      </c>
      <c r="G1978">
        <v>2250</v>
      </c>
      <c r="H1978">
        <f>CONVERT(G1978,"HP","kW")</f>
        <v>1677.8247110601083</v>
      </c>
      <c r="I1978">
        <v>0.86599999999999999</v>
      </c>
      <c r="J1978">
        <v>1.3134999999999999</v>
      </c>
      <c r="K1978">
        <v>0.58099999999999996</v>
      </c>
      <c r="L1978">
        <v>0.2311</v>
      </c>
      <c r="M1978">
        <v>0.15229999999999999</v>
      </c>
      <c r="N1978">
        <f>CONVERT(O1978,"lbf","N")</f>
        <v>14564.812034847457</v>
      </c>
      <c r="O1978">
        <v>3274.3</v>
      </c>
      <c r="P1978">
        <f t="shared" si="30"/>
        <v>0.6590220683686715</v>
      </c>
    </row>
    <row r="1979" spans="1:16" hidden="1" x14ac:dyDescent="0.25">
      <c r="A1979">
        <v>0</v>
      </c>
      <c r="B1979">
        <v>5000</v>
      </c>
      <c r="C1979">
        <f>1.225 * (1 - 0.00000687559 * B1979) ^ 4.2561</f>
        <v>1.0555380742846066</v>
      </c>
      <c r="D1979">
        <f>E1979*(SQRT($C$2/C1979))</f>
        <v>215.45723806091175</v>
      </c>
      <c r="E1979">
        <v>200</v>
      </c>
      <c r="F1979">
        <v>1150</v>
      </c>
      <c r="G1979">
        <v>2250</v>
      </c>
      <c r="H1979">
        <f>CONVERT(G1979,"HP","kW")</f>
        <v>1677.8247110601083</v>
      </c>
      <c r="I1979">
        <v>0.87990000000000002</v>
      </c>
      <c r="J1979">
        <v>1.4595</v>
      </c>
      <c r="K1979">
        <v>0.59889999999999999</v>
      </c>
      <c r="L1979">
        <v>0.2311</v>
      </c>
      <c r="M1979">
        <v>0.13930000000000001</v>
      </c>
      <c r="N1979">
        <f>CONVERT(O1979,"lbf","N")</f>
        <v>13319.754804736041</v>
      </c>
      <c r="O1979">
        <v>2994.4</v>
      </c>
      <c r="P1979">
        <f t="shared" si="30"/>
        <v>0.60276936391172653</v>
      </c>
    </row>
    <row r="1980" spans="1:16" hidden="1" x14ac:dyDescent="0.25">
      <c r="A1980">
        <v>0</v>
      </c>
      <c r="B1980">
        <v>5000</v>
      </c>
      <c r="C1980">
        <f>1.225 * (1 - 0.00000687559 * B1980) ^ 4.2561</f>
        <v>1.0555380742846066</v>
      </c>
      <c r="D1980">
        <f>E1980*(SQRT($C$2/C1980))</f>
        <v>237.00296186700291</v>
      </c>
      <c r="E1980">
        <v>220</v>
      </c>
      <c r="F1980">
        <v>1150</v>
      </c>
      <c r="G1980">
        <v>2250</v>
      </c>
      <c r="H1980">
        <f>CONVERT(G1980,"HP","kW")</f>
        <v>1677.8247110601083</v>
      </c>
      <c r="I1980">
        <v>0.8891</v>
      </c>
      <c r="J1980">
        <v>1.6053999999999999</v>
      </c>
      <c r="K1980">
        <v>0.6179</v>
      </c>
      <c r="L1980">
        <v>0.2311</v>
      </c>
      <c r="M1980">
        <v>0.128</v>
      </c>
      <c r="N1980">
        <f>CONVERT(O1980,"lbf","N")</f>
        <v>12235.278374935531</v>
      </c>
      <c r="O1980">
        <v>2750.6</v>
      </c>
      <c r="P1980">
        <f t="shared" si="30"/>
        <v>0.55387278234530513</v>
      </c>
    </row>
    <row r="1981" spans="1:16" hidden="1" x14ac:dyDescent="0.25">
      <c r="A1981">
        <v>0</v>
      </c>
      <c r="B1981">
        <v>5000</v>
      </c>
      <c r="C1981">
        <f>1.225 * (1 - 0.00000687559 * B1981) ^ 4.2561</f>
        <v>1.0555380742846066</v>
      </c>
      <c r="D1981">
        <f>E1981*(SQRT($C$2/C1981))</f>
        <v>258.5486856730941</v>
      </c>
      <c r="E1981">
        <v>240</v>
      </c>
      <c r="F1981">
        <v>1150</v>
      </c>
      <c r="G1981">
        <v>2250</v>
      </c>
      <c r="H1981">
        <f>CONVERT(G1981,"HP","kW")</f>
        <v>1677.8247110601083</v>
      </c>
      <c r="I1981">
        <v>0.89459999999999995</v>
      </c>
      <c r="J1981">
        <v>1.7513000000000001</v>
      </c>
      <c r="K1981">
        <v>0.63819999999999999</v>
      </c>
      <c r="L1981">
        <v>0.2311</v>
      </c>
      <c r="M1981">
        <v>0.11799999999999999</v>
      </c>
      <c r="N1981">
        <f>CONVERT(O1981,"lbf","N")</f>
        <v>11284.693415754364</v>
      </c>
      <c r="O1981">
        <v>2536.9</v>
      </c>
      <c r="P1981">
        <f t="shared" si="30"/>
        <v>0.51060147122457811</v>
      </c>
    </row>
    <row r="1982" spans="1:16" hidden="1" x14ac:dyDescent="0.25">
      <c r="A1982">
        <v>0</v>
      </c>
      <c r="B1982">
        <v>5000</v>
      </c>
      <c r="C1982">
        <f>1.225 * (1 - 0.00000687559 * B1982) ^ 4.2561</f>
        <v>1.0555380742846066</v>
      </c>
      <c r="D1982">
        <f>E1982*(SQRT($C$2/C1982))</f>
        <v>280.09440947918529</v>
      </c>
      <c r="E1982">
        <v>260</v>
      </c>
      <c r="F1982">
        <v>1150</v>
      </c>
      <c r="G1982">
        <v>2250</v>
      </c>
      <c r="H1982">
        <f>CONVERT(G1982,"HP","kW")</f>
        <v>1677.8247110601083</v>
      </c>
      <c r="I1982">
        <v>0.89659999999999995</v>
      </c>
      <c r="J1982">
        <v>1.8973</v>
      </c>
      <c r="K1982">
        <v>0.65939999999999999</v>
      </c>
      <c r="L1982">
        <v>0.2311</v>
      </c>
      <c r="M1982">
        <v>0.10920000000000001</v>
      </c>
      <c r="N1982">
        <f>CONVERT(O1982,"lbf","N")</f>
        <v>10439.976131016394</v>
      </c>
      <c r="O1982">
        <v>2347</v>
      </c>
      <c r="P1982">
        <f t="shared" si="30"/>
        <v>0.4725227174383384</v>
      </c>
    </row>
    <row r="1983" spans="1:16" hidden="1" x14ac:dyDescent="0.25">
      <c r="A1983">
        <v>0</v>
      </c>
      <c r="B1983">
        <v>5000</v>
      </c>
      <c r="C1983">
        <f>1.225 * (1 - 0.00000687559 * B1983) ^ 4.2561</f>
        <v>1.0555380742846066</v>
      </c>
      <c r="D1983">
        <f>E1983*(SQRT($C$2/C1983))</f>
        <v>43.09144761218235</v>
      </c>
      <c r="E1983">
        <v>40</v>
      </c>
      <c r="F1983">
        <v>1150</v>
      </c>
      <c r="G1983">
        <v>2250</v>
      </c>
      <c r="H1983">
        <f>CONVERT(G1983,"HP","kW")</f>
        <v>1677.8247110601083</v>
      </c>
      <c r="I1983">
        <v>0.35820000000000002</v>
      </c>
      <c r="J1983">
        <v>0.29189999999999999</v>
      </c>
      <c r="K1983">
        <v>0.49509999999999998</v>
      </c>
      <c r="L1983">
        <v>0.23130000000000001</v>
      </c>
      <c r="M1983">
        <v>0.28389999999999999</v>
      </c>
      <c r="N1983">
        <f>CONVERT(O1983,"lbf","N")</f>
        <v>27114.134855820379</v>
      </c>
      <c r="O1983">
        <v>6095.5</v>
      </c>
      <c r="P1983">
        <f t="shared" si="30"/>
        <v>1.2274102896670989</v>
      </c>
    </row>
    <row r="1984" spans="1:16" hidden="1" x14ac:dyDescent="0.25">
      <c r="A1984">
        <v>0</v>
      </c>
      <c r="B1984">
        <v>25000</v>
      </c>
      <c r="C1984">
        <f>1.225 * (1 - 0.00000687559 * B1984) ^ 4.2561</f>
        <v>0.54892259437885793</v>
      </c>
      <c r="D1984">
        <f>E1984*(SQRT($C$2/C1984))</f>
        <v>29.877378321820672</v>
      </c>
      <c r="E1984">
        <v>20</v>
      </c>
      <c r="F1984">
        <v>987</v>
      </c>
      <c r="G1984">
        <v>750</v>
      </c>
      <c r="H1984">
        <f>CONVERT(G1984,"HP","kW")</f>
        <v>559.27490368670271</v>
      </c>
      <c r="I1984">
        <v>0.28670000000000001</v>
      </c>
      <c r="J1984">
        <v>0.23580000000000001</v>
      </c>
      <c r="K1984">
        <v>0.45660000000000001</v>
      </c>
      <c r="L1984">
        <v>0.2341</v>
      </c>
      <c r="M1984">
        <v>0.28460000000000002</v>
      </c>
      <c r="N1984">
        <f>CONVERT(O1984,"lbf","N")</f>
        <v>10431.969332108923</v>
      </c>
      <c r="O1984">
        <v>2345.1999999999998</v>
      </c>
      <c r="P1984">
        <f t="shared" si="30"/>
        <v>1.215719777872704</v>
      </c>
    </row>
    <row r="1985" spans="1:16" hidden="1" x14ac:dyDescent="0.25">
      <c r="A1985">
        <v>0</v>
      </c>
      <c r="B1985">
        <v>25000</v>
      </c>
      <c r="C1985">
        <f>1.225 * (1 - 0.00000687559 * B1985) ^ 4.2561</f>
        <v>0.54892259437885793</v>
      </c>
      <c r="D1985">
        <f>E1985*(SQRT($C$2/C1985))</f>
        <v>328.65116154002743</v>
      </c>
      <c r="E1985">
        <v>220</v>
      </c>
      <c r="F1985">
        <v>987</v>
      </c>
      <c r="G1985">
        <v>750</v>
      </c>
      <c r="H1985">
        <f>CONVERT(G1985,"HP","kW")</f>
        <v>559.27490368670271</v>
      </c>
      <c r="I1985">
        <v>0.83240000000000003</v>
      </c>
      <c r="J1985">
        <v>2.5937999999999999</v>
      </c>
      <c r="K1985">
        <v>0.7157</v>
      </c>
      <c r="L1985">
        <v>0.2341</v>
      </c>
      <c r="M1985">
        <v>7.51E-2</v>
      </c>
      <c r="N1985">
        <f>CONVERT(O1985,"lbf","N")</f>
        <v>2753.44917984625</v>
      </c>
      <c r="O1985">
        <v>619</v>
      </c>
      <c r="P1985">
        <f t="shared" si="30"/>
        <v>0.32080307560871424</v>
      </c>
    </row>
    <row r="1986" spans="1:16" hidden="1" x14ac:dyDescent="0.25">
      <c r="A1986">
        <v>0</v>
      </c>
      <c r="B1986">
        <v>25000</v>
      </c>
      <c r="C1986">
        <f>1.225 * (1 - 0.00000687559 * B1986) ^ 4.2561</f>
        <v>0.54892259437885793</v>
      </c>
      <c r="D1986">
        <f>E1986*(SQRT($C$2/C1986))</f>
        <v>0</v>
      </c>
      <c r="E1986">
        <v>0</v>
      </c>
      <c r="F1986">
        <v>987</v>
      </c>
      <c r="G1986">
        <v>750</v>
      </c>
      <c r="H1986">
        <f>CONVERT(G1986,"HP","kW")</f>
        <v>559.27490368670271</v>
      </c>
      <c r="I1986">
        <v>0</v>
      </c>
      <c r="J1986">
        <v>0</v>
      </c>
      <c r="K1986">
        <v>0.44940000000000002</v>
      </c>
      <c r="L1986">
        <v>0.23430000000000001</v>
      </c>
      <c r="M1986">
        <v>0.27250000000000002</v>
      </c>
      <c r="N1986">
        <f>CONVERT(O1986,"lbf","N")</f>
        <v>9978.2507273523534</v>
      </c>
      <c r="O1986">
        <v>2243.1999999999998</v>
      </c>
      <c r="P1986">
        <f t="shared" si="30"/>
        <v>1.1630388390951771</v>
      </c>
    </row>
    <row r="1987" spans="1:16" hidden="1" x14ac:dyDescent="0.25">
      <c r="A1987">
        <v>0</v>
      </c>
      <c r="B1987">
        <v>25000</v>
      </c>
      <c r="C1987">
        <f>1.225 * (1 - 0.00000687559 * B1987) ^ 4.2561</f>
        <v>0.54892259437885793</v>
      </c>
      <c r="D1987">
        <f>E1987*(SQRT($C$2/C1987))</f>
        <v>59.754756643641343</v>
      </c>
      <c r="E1987">
        <v>40</v>
      </c>
      <c r="F1987">
        <v>987</v>
      </c>
      <c r="G1987">
        <v>750</v>
      </c>
      <c r="H1987">
        <f>CONVERT(G1987,"HP","kW")</f>
        <v>559.27490368670271</v>
      </c>
      <c r="I1987">
        <v>0.54949999999999999</v>
      </c>
      <c r="J1987">
        <v>0.47160000000000002</v>
      </c>
      <c r="K1987">
        <v>0.46789999999999998</v>
      </c>
      <c r="L1987">
        <v>0.23430000000000001</v>
      </c>
      <c r="M1987">
        <v>0.27289999999999998</v>
      </c>
      <c r="N1987">
        <f>CONVERT(O1987,"lbf","N")</f>
        <v>9996.9332581364488</v>
      </c>
      <c r="O1987">
        <v>2247.4</v>
      </c>
      <c r="P1987">
        <f t="shared" ref="P1987:P2050" si="31">M1987/L1987</f>
        <v>1.1647460520699955</v>
      </c>
    </row>
    <row r="1988" spans="1:16" hidden="1" x14ac:dyDescent="0.25">
      <c r="A1988">
        <v>0</v>
      </c>
      <c r="B1988">
        <v>25000</v>
      </c>
      <c r="C1988">
        <f>1.225 * (1 - 0.00000687559 * B1988) ^ 4.2561</f>
        <v>0.54892259437885793</v>
      </c>
      <c r="D1988">
        <f>E1988*(SQRT($C$2/C1988))</f>
        <v>89.632134965462015</v>
      </c>
      <c r="E1988">
        <v>60</v>
      </c>
      <c r="F1988">
        <v>987</v>
      </c>
      <c r="G1988">
        <v>750</v>
      </c>
      <c r="H1988">
        <f>CONVERT(G1988,"HP","kW")</f>
        <v>559.27490368670271</v>
      </c>
      <c r="I1988">
        <v>0.70540000000000003</v>
      </c>
      <c r="J1988">
        <v>0.70740000000000003</v>
      </c>
      <c r="K1988">
        <v>0.48330000000000001</v>
      </c>
      <c r="L1988">
        <v>0.23430000000000001</v>
      </c>
      <c r="M1988">
        <v>0.2336</v>
      </c>
      <c r="N1988">
        <f>CONVERT(O1988,"lbf","N")</f>
        <v>8555.709454792046</v>
      </c>
      <c r="O1988">
        <v>1923.4</v>
      </c>
      <c r="P1988">
        <f t="shared" si="31"/>
        <v>0.99701237729406744</v>
      </c>
    </row>
    <row r="1989" spans="1:16" hidden="1" x14ac:dyDescent="0.25">
      <c r="A1989">
        <v>0</v>
      </c>
      <c r="B1989">
        <v>25000</v>
      </c>
      <c r="C1989">
        <f>1.225 * (1 - 0.00000687559 * B1989) ^ 4.2561</f>
        <v>0.54892259437885793</v>
      </c>
      <c r="D1989">
        <f>E1989*(SQRT($C$2/C1989))</f>
        <v>119.50951328728269</v>
      </c>
      <c r="E1989">
        <v>80</v>
      </c>
      <c r="F1989">
        <v>987</v>
      </c>
      <c r="G1989">
        <v>750</v>
      </c>
      <c r="H1989">
        <f>CONVERT(G1989,"HP","kW")</f>
        <v>559.27490368670271</v>
      </c>
      <c r="I1989">
        <v>0.79510000000000003</v>
      </c>
      <c r="J1989">
        <v>0.94320000000000004</v>
      </c>
      <c r="K1989">
        <v>0.50209999999999999</v>
      </c>
      <c r="L1989">
        <v>0.23430000000000001</v>
      </c>
      <c r="M1989">
        <v>0.19750000000000001</v>
      </c>
      <c r="N1989">
        <f>CONVERT(O1989,"lbf","N")</f>
        <v>7232.3635242520477</v>
      </c>
      <c r="O1989">
        <v>1625.9</v>
      </c>
      <c r="P1989">
        <f t="shared" si="31"/>
        <v>0.84293640631668798</v>
      </c>
    </row>
    <row r="1990" spans="1:16" hidden="1" x14ac:dyDescent="0.25">
      <c r="A1990">
        <v>0</v>
      </c>
      <c r="B1990">
        <v>25000</v>
      </c>
      <c r="C1990">
        <f>1.225 * (1 - 0.00000687559 * B1990) ^ 4.2561</f>
        <v>0.54892259437885793</v>
      </c>
      <c r="D1990">
        <f>E1990*(SQRT($C$2/C1990))</f>
        <v>149.38689160910337</v>
      </c>
      <c r="E1990">
        <v>100</v>
      </c>
      <c r="F1990">
        <v>987</v>
      </c>
      <c r="G1990">
        <v>750</v>
      </c>
      <c r="H1990">
        <f>CONVERT(G1990,"HP","kW")</f>
        <v>559.27490368670271</v>
      </c>
      <c r="I1990">
        <v>0.8468</v>
      </c>
      <c r="J1990">
        <v>1.179</v>
      </c>
      <c r="K1990">
        <v>0.52429999999999999</v>
      </c>
      <c r="L1990">
        <v>0.23430000000000001</v>
      </c>
      <c r="M1990">
        <v>0.16830000000000001</v>
      </c>
      <c r="N1990">
        <f>CONVERT(O1990,"lbf","N")</f>
        <v>6162.5662257818976</v>
      </c>
      <c r="O1990">
        <v>1385.4</v>
      </c>
      <c r="P1990">
        <f t="shared" si="31"/>
        <v>0.71830985915492962</v>
      </c>
    </row>
    <row r="1991" spans="1:16" hidden="1" x14ac:dyDescent="0.25">
      <c r="A1991">
        <v>0</v>
      </c>
      <c r="B1991">
        <v>25000</v>
      </c>
      <c r="C1991">
        <f>1.225 * (1 - 0.00000687559 * B1991) ^ 4.2561</f>
        <v>0.54892259437885793</v>
      </c>
      <c r="D1991">
        <f>E1991*(SQRT($C$2/C1991))</f>
        <v>179.26426993092403</v>
      </c>
      <c r="E1991">
        <v>120</v>
      </c>
      <c r="F1991">
        <v>987</v>
      </c>
      <c r="G1991">
        <v>750</v>
      </c>
      <c r="H1991">
        <f>CONVERT(G1991,"HP","kW")</f>
        <v>559.27490368670271</v>
      </c>
      <c r="I1991">
        <v>0.87570000000000003</v>
      </c>
      <c r="J1991">
        <v>1.4148000000000001</v>
      </c>
      <c r="K1991">
        <v>0.54979999999999996</v>
      </c>
      <c r="L1991">
        <v>0.23430000000000001</v>
      </c>
      <c r="M1991">
        <v>0.14499999999999999</v>
      </c>
      <c r="N1991">
        <f>CONVERT(O1991,"lbf","N")</f>
        <v>5310.7317864595116</v>
      </c>
      <c r="O1991">
        <v>1193.9000000000001</v>
      </c>
      <c r="P1991">
        <f t="shared" si="31"/>
        <v>0.61886470337174559</v>
      </c>
    </row>
    <row r="1992" spans="1:16" hidden="1" x14ac:dyDescent="0.25">
      <c r="A1992">
        <v>0</v>
      </c>
      <c r="B1992">
        <v>25000</v>
      </c>
      <c r="C1992">
        <f>1.225 * (1 - 0.00000687559 * B1992) ^ 4.2561</f>
        <v>0.54892259437885793</v>
      </c>
      <c r="D1992">
        <f>E1992*(SQRT($C$2/C1992))</f>
        <v>209.14164825274472</v>
      </c>
      <c r="E1992">
        <v>140</v>
      </c>
      <c r="F1992">
        <v>987</v>
      </c>
      <c r="G1992">
        <v>750</v>
      </c>
      <c r="H1992">
        <f>CONVERT(G1992,"HP","kW")</f>
        <v>559.27490368670271</v>
      </c>
      <c r="I1992">
        <v>0.89080000000000004</v>
      </c>
      <c r="J1992">
        <v>1.6506000000000001</v>
      </c>
      <c r="K1992">
        <v>0.57840000000000003</v>
      </c>
      <c r="L1992">
        <v>0.23430000000000001</v>
      </c>
      <c r="M1992">
        <v>0.12640000000000001</v>
      </c>
      <c r="N1992">
        <f>CONVERT(O1992,"lbf","N")</f>
        <v>4630.5987014861803</v>
      </c>
      <c r="O1992">
        <v>1041</v>
      </c>
      <c r="P1992">
        <f t="shared" si="31"/>
        <v>0.53947930004268041</v>
      </c>
    </row>
    <row r="1993" spans="1:16" hidden="1" x14ac:dyDescent="0.25">
      <c r="A1993">
        <v>0</v>
      </c>
      <c r="B1993">
        <v>25000</v>
      </c>
      <c r="C1993">
        <f>1.225 * (1 - 0.00000687559 * B1993) ^ 4.2561</f>
        <v>0.54892259437885793</v>
      </c>
      <c r="D1993">
        <f>E1993*(SQRT($C$2/C1993))</f>
        <v>239.01902657456537</v>
      </c>
      <c r="E1993">
        <v>160</v>
      </c>
      <c r="F1993">
        <v>987</v>
      </c>
      <c r="G1993">
        <v>750</v>
      </c>
      <c r="H1993">
        <f>CONVERT(G1993,"HP","kW")</f>
        <v>559.27490368670271</v>
      </c>
      <c r="I1993">
        <v>0.89639999999999997</v>
      </c>
      <c r="J1993">
        <v>1.8864000000000001</v>
      </c>
      <c r="K1993">
        <v>0.60960000000000003</v>
      </c>
      <c r="L1993">
        <v>0.23430000000000001</v>
      </c>
      <c r="M1993">
        <v>0.1113</v>
      </c>
      <c r="N1993">
        <f>CONVERT(O1993,"lbf","N")</f>
        <v>4077.2399325477745</v>
      </c>
      <c r="O1993">
        <v>916.6</v>
      </c>
      <c r="P1993">
        <f t="shared" si="31"/>
        <v>0.47503201024327779</v>
      </c>
    </row>
    <row r="1994" spans="1:16" hidden="1" x14ac:dyDescent="0.25">
      <c r="A1994">
        <v>0</v>
      </c>
      <c r="B1994">
        <v>25000</v>
      </c>
      <c r="C1994">
        <f>1.225 * (1 - 0.00000687559 * B1994) ^ 4.2561</f>
        <v>0.54892259437885793</v>
      </c>
      <c r="D1994">
        <f>E1994*(SQRT($C$2/C1994))</f>
        <v>268.89640489638606</v>
      </c>
      <c r="E1994">
        <v>180</v>
      </c>
      <c r="F1994">
        <v>987</v>
      </c>
      <c r="G1994">
        <v>750</v>
      </c>
      <c r="H1994">
        <f>CONVERT(G1994,"HP","kW")</f>
        <v>559.27490368670271</v>
      </c>
      <c r="I1994">
        <v>0.89259999999999995</v>
      </c>
      <c r="J1994">
        <v>2.1221999999999999</v>
      </c>
      <c r="K1994">
        <v>0.6431</v>
      </c>
      <c r="L1994">
        <v>0.23430000000000001</v>
      </c>
      <c r="M1994">
        <v>9.8599999999999993E-2</v>
      </c>
      <c r="N1994">
        <f>CONVERT(O1994,"lbf","N")</f>
        <v>3608.8421964608438</v>
      </c>
      <c r="O1994">
        <v>811.3</v>
      </c>
      <c r="P1994">
        <f t="shared" si="31"/>
        <v>0.420827998292787</v>
      </c>
    </row>
    <row r="1995" spans="1:16" hidden="1" x14ac:dyDescent="0.25">
      <c r="A1995">
        <v>0</v>
      </c>
      <c r="B1995">
        <v>25000</v>
      </c>
      <c r="C1995">
        <f>1.225 * (1 - 0.00000687559 * B1995) ^ 4.2561</f>
        <v>0.54892259437885793</v>
      </c>
      <c r="D1995">
        <f>E1995*(SQRT($C$2/C1995))</f>
        <v>298.77378321820675</v>
      </c>
      <c r="E1995">
        <v>200</v>
      </c>
      <c r="F1995">
        <v>987</v>
      </c>
      <c r="G1995">
        <v>750</v>
      </c>
      <c r="H1995">
        <f>CONVERT(G1995,"HP","kW")</f>
        <v>559.27490368670271</v>
      </c>
      <c r="I1995">
        <v>0.87570000000000003</v>
      </c>
      <c r="J1995">
        <v>2.3580000000000001</v>
      </c>
      <c r="K1995">
        <v>0.67859999999999998</v>
      </c>
      <c r="L1995">
        <v>0.23430000000000001</v>
      </c>
      <c r="M1995">
        <v>8.6999999999999994E-2</v>
      </c>
      <c r="N1995">
        <f>CONVERT(O1995,"lbf","N")</f>
        <v>3186.261143011096</v>
      </c>
      <c r="O1995">
        <v>716.3</v>
      </c>
      <c r="P1995">
        <f t="shared" si="31"/>
        <v>0.37131882202304733</v>
      </c>
    </row>
    <row r="1996" spans="1:16" hidden="1" x14ac:dyDescent="0.25">
      <c r="A1996">
        <v>0</v>
      </c>
      <c r="B1996">
        <v>25000</v>
      </c>
      <c r="C1996">
        <f>1.225 * (1 - 0.00000687559 * B1996) ^ 4.2561</f>
        <v>0.54892259437885793</v>
      </c>
      <c r="D1996">
        <f>E1996*(SQRT($C$2/C1996))</f>
        <v>358.52853986184806</v>
      </c>
      <c r="E1996">
        <v>240</v>
      </c>
      <c r="F1996">
        <v>987</v>
      </c>
      <c r="G1996">
        <v>750</v>
      </c>
      <c r="H1996">
        <f>CONVERT(G1996,"HP","kW")</f>
        <v>559.27490368670271</v>
      </c>
      <c r="I1996">
        <v>0.71199999999999997</v>
      </c>
      <c r="J1996">
        <v>2.8296000000000001</v>
      </c>
      <c r="K1996">
        <v>0.75429999999999997</v>
      </c>
      <c r="L1996">
        <v>0.23430000000000001</v>
      </c>
      <c r="M1996">
        <v>5.8999999999999997E-2</v>
      </c>
      <c r="N1996">
        <f>CONVERT(O1996,"lbf","N")</f>
        <v>2159.1667720474466</v>
      </c>
      <c r="O1996">
        <v>485.4</v>
      </c>
      <c r="P1996">
        <f t="shared" si="31"/>
        <v>0.25181391378574475</v>
      </c>
    </row>
    <row r="1997" spans="1:16" hidden="1" x14ac:dyDescent="0.25">
      <c r="A1997">
        <v>0</v>
      </c>
      <c r="B1997">
        <v>25000</v>
      </c>
      <c r="C1997">
        <f>1.225 * (1 - 0.00000687559 * B1997) ^ 4.2561</f>
        <v>0.54892259437885793</v>
      </c>
      <c r="D1997">
        <f>E1997*(SQRT($C$2/C1997))</f>
        <v>388.40591818366875</v>
      </c>
      <c r="E1997">
        <v>260</v>
      </c>
      <c r="F1997">
        <v>987</v>
      </c>
      <c r="G1997">
        <v>750</v>
      </c>
      <c r="H1997">
        <f>CONVERT(G1997,"HP","kW")</f>
        <v>559.27490368670271</v>
      </c>
      <c r="I1997">
        <v>0.47899999999999998</v>
      </c>
      <c r="J1997">
        <v>3.0653999999999999</v>
      </c>
      <c r="K1997">
        <v>0.79410000000000003</v>
      </c>
      <c r="L1997">
        <v>0.23430000000000001</v>
      </c>
      <c r="M1997">
        <v>3.6600000000000001E-2</v>
      </c>
      <c r="N1997">
        <f>CONVERT(O1997,"lbf","N")</f>
        <v>1340.6939948395147</v>
      </c>
      <c r="O1997">
        <v>301.39999999999998</v>
      </c>
      <c r="P1997">
        <f t="shared" si="31"/>
        <v>0.15620998719590268</v>
      </c>
    </row>
    <row r="1998" spans="1:16" hidden="1" x14ac:dyDescent="0.25">
      <c r="A1998">
        <v>0</v>
      </c>
      <c r="B1998">
        <v>30000</v>
      </c>
      <c r="C1998">
        <f>1.225 * (1 - 0.00000687559 * B1998) ^ 4.2561</f>
        <v>0.45828836225470948</v>
      </c>
      <c r="D1998">
        <f>E1998*(SQRT($C$2/C1998))</f>
        <v>425.08127823858405</v>
      </c>
      <c r="E1998">
        <v>260</v>
      </c>
      <c r="F1998">
        <v>1150</v>
      </c>
      <c r="G1998">
        <v>1000</v>
      </c>
      <c r="H1998">
        <f>CONVERT(G1998,"HP","kW")</f>
        <v>745.69987158227025</v>
      </c>
      <c r="I1998">
        <v>6.9400000000000003E-2</v>
      </c>
      <c r="J1998">
        <v>2.8793000000000002</v>
      </c>
      <c r="K1998">
        <v>0.90749999999999997</v>
      </c>
      <c r="L1998">
        <v>0.23630000000000001</v>
      </c>
      <c r="M1998">
        <v>5.7000000000000002E-3</v>
      </c>
      <c r="N1998">
        <f>CONVERT(O1998,"lbf","N")</f>
        <v>236.64538993185863</v>
      </c>
      <c r="O1998">
        <v>53.2</v>
      </c>
      <c r="P1998">
        <f t="shared" si="31"/>
        <v>2.4121878967414304E-2</v>
      </c>
    </row>
    <row r="1999" spans="1:16" hidden="1" x14ac:dyDescent="0.25">
      <c r="A1999">
        <v>0</v>
      </c>
      <c r="B1999">
        <v>30000</v>
      </c>
      <c r="C1999">
        <f>1.225 * (1 - 0.00000687559 * B1999) ^ 4.2561</f>
        <v>0.45828836225470948</v>
      </c>
      <c r="D1999">
        <f>E1999*(SQRT($C$2/C1999))</f>
        <v>163.49279932253233</v>
      </c>
      <c r="E1999">
        <v>100</v>
      </c>
      <c r="F1999">
        <v>1150</v>
      </c>
      <c r="G1999">
        <v>1000</v>
      </c>
      <c r="H1999">
        <f>CONVERT(G1999,"HP","kW")</f>
        <v>745.69987158227025</v>
      </c>
      <c r="I1999">
        <v>0.83130000000000004</v>
      </c>
      <c r="J1999">
        <v>1.1073999999999999</v>
      </c>
      <c r="K1999">
        <v>0.61539999999999995</v>
      </c>
      <c r="L1999">
        <v>0.2364</v>
      </c>
      <c r="M1999">
        <v>0.1774</v>
      </c>
      <c r="N1999">
        <f>CONVERT(O1999,"lbf","N")</f>
        <v>7370.7032164866487</v>
      </c>
      <c r="O1999">
        <v>1657</v>
      </c>
      <c r="P1999">
        <f t="shared" si="31"/>
        <v>0.75042301184433169</v>
      </c>
    </row>
    <row r="2000" spans="1:16" hidden="1" x14ac:dyDescent="0.25">
      <c r="A2000">
        <v>0</v>
      </c>
      <c r="B2000">
        <v>30000</v>
      </c>
      <c r="C2000">
        <f>1.225 * (1 - 0.00000687559 * B2000) ^ 4.2561</f>
        <v>0.45828836225470948</v>
      </c>
      <c r="D2000">
        <f>E2000*(SQRT($C$2/C2000))</f>
        <v>196.19135918703881</v>
      </c>
      <c r="E2000">
        <v>120</v>
      </c>
      <c r="F2000">
        <v>1150</v>
      </c>
      <c r="G2000">
        <v>1000</v>
      </c>
      <c r="H2000">
        <f>CONVERT(G2000,"HP","kW")</f>
        <v>745.69987158227025</v>
      </c>
      <c r="I2000">
        <v>0.86539999999999995</v>
      </c>
      <c r="J2000">
        <v>1.3289</v>
      </c>
      <c r="K2000">
        <v>0.64280000000000004</v>
      </c>
      <c r="L2000">
        <v>0.2364</v>
      </c>
      <c r="M2000">
        <v>0.15390000000000001</v>
      </c>
      <c r="N2000">
        <f>CONVERT(O2000,"lbf","N")</f>
        <v>6394.3185719369685</v>
      </c>
      <c r="O2000">
        <v>1437.5</v>
      </c>
      <c r="P2000">
        <f t="shared" si="31"/>
        <v>0.65101522842639603</v>
      </c>
    </row>
    <row r="2001" spans="1:16" hidden="1" x14ac:dyDescent="0.25">
      <c r="A2001">
        <v>0</v>
      </c>
      <c r="B2001">
        <v>30000</v>
      </c>
      <c r="C2001">
        <f>1.225 * (1 - 0.00000687559 * B2001) ^ 4.2561</f>
        <v>0.45828836225470948</v>
      </c>
      <c r="D2001">
        <f>E2001*(SQRT($C$2/C2001))</f>
        <v>228.88991905154526</v>
      </c>
      <c r="E2001">
        <v>140</v>
      </c>
      <c r="F2001">
        <v>1150</v>
      </c>
      <c r="G2001">
        <v>1000</v>
      </c>
      <c r="H2001">
        <f>CONVERT(G2001,"HP","kW")</f>
        <v>745.69987158227025</v>
      </c>
      <c r="I2001">
        <v>0.88490000000000002</v>
      </c>
      <c r="J2001">
        <v>1.5504</v>
      </c>
      <c r="K2001">
        <v>0.67349999999999999</v>
      </c>
      <c r="L2001">
        <v>0.2364</v>
      </c>
      <c r="M2001">
        <v>0.13489999999999999</v>
      </c>
      <c r="N2001">
        <f>CONVERT(O2001,"lbf","N")</f>
        <v>5604.3144130667042</v>
      </c>
      <c r="O2001">
        <v>1259.9000000000001</v>
      </c>
      <c r="P2001">
        <f t="shared" si="31"/>
        <v>0.57064297800338404</v>
      </c>
    </row>
    <row r="2002" spans="1:16" hidden="1" x14ac:dyDescent="0.25">
      <c r="A2002">
        <v>0</v>
      </c>
      <c r="B2002">
        <v>30000</v>
      </c>
      <c r="C2002">
        <f>1.225 * (1 - 0.00000687559 * B2002) ^ 4.2561</f>
        <v>0.45828836225470948</v>
      </c>
      <c r="D2002">
        <f>E2002*(SQRT($C$2/C2002))</f>
        <v>261.58847891605171</v>
      </c>
      <c r="E2002">
        <v>160</v>
      </c>
      <c r="F2002">
        <v>1150</v>
      </c>
      <c r="G2002">
        <v>1000</v>
      </c>
      <c r="H2002">
        <f>CONVERT(G2002,"HP","kW")</f>
        <v>745.69987158227025</v>
      </c>
      <c r="I2002">
        <v>0.88790000000000002</v>
      </c>
      <c r="J2002">
        <v>1.7719</v>
      </c>
      <c r="K2002">
        <v>0.70709999999999995</v>
      </c>
      <c r="L2002">
        <v>0.2364</v>
      </c>
      <c r="M2002">
        <v>0.11849999999999999</v>
      </c>
      <c r="N2002">
        <f>CONVERT(O2002,"lbf","N")</f>
        <v>4920.1779286396386</v>
      </c>
      <c r="O2002">
        <v>1106.0999999999999</v>
      </c>
      <c r="P2002">
        <f t="shared" si="31"/>
        <v>0.50126903553299496</v>
      </c>
    </row>
    <row r="2003" spans="1:16" hidden="1" x14ac:dyDescent="0.25">
      <c r="A2003">
        <v>0</v>
      </c>
      <c r="B2003">
        <v>30000</v>
      </c>
      <c r="C2003">
        <f>1.225 * (1 - 0.00000687559 * B2003) ^ 4.2561</f>
        <v>0.45828836225470948</v>
      </c>
      <c r="D2003">
        <f>E2003*(SQRT($C$2/C2003))</f>
        <v>326.98559864506467</v>
      </c>
      <c r="E2003">
        <v>200</v>
      </c>
      <c r="F2003">
        <v>1150</v>
      </c>
      <c r="G2003">
        <v>1000</v>
      </c>
      <c r="H2003">
        <f>CONVERT(G2003,"HP","kW")</f>
        <v>745.69987158227025</v>
      </c>
      <c r="I2003">
        <v>0.80989999999999995</v>
      </c>
      <c r="J2003">
        <v>2.2149000000000001</v>
      </c>
      <c r="K2003">
        <v>0.78169999999999995</v>
      </c>
      <c r="L2003">
        <v>0.2364</v>
      </c>
      <c r="M2003">
        <v>8.6400000000000005E-2</v>
      </c>
      <c r="N2003">
        <f>CONVERT(O2003,"lbf","N")</f>
        <v>3590.1596656767501</v>
      </c>
      <c r="O2003">
        <v>807.1</v>
      </c>
      <c r="P2003">
        <f t="shared" si="31"/>
        <v>0.36548223350253811</v>
      </c>
    </row>
    <row r="2004" spans="1:16" hidden="1" x14ac:dyDescent="0.25">
      <c r="A2004">
        <v>0</v>
      </c>
      <c r="B2004">
        <v>30000</v>
      </c>
      <c r="C2004">
        <f>1.225 * (1 - 0.00000687559 * B2004) ^ 4.2561</f>
        <v>0.45828836225470948</v>
      </c>
      <c r="D2004">
        <f>E2004*(SQRT($C$2/C2004))</f>
        <v>0</v>
      </c>
      <c r="E2004">
        <v>0</v>
      </c>
      <c r="F2004">
        <v>1150</v>
      </c>
      <c r="G2004">
        <v>1000</v>
      </c>
      <c r="H2004">
        <f>CONVERT(G2004,"HP","kW")</f>
        <v>745.69987158227025</v>
      </c>
      <c r="I2004">
        <v>0</v>
      </c>
      <c r="J2004">
        <v>0</v>
      </c>
      <c r="K2004">
        <v>0.53469999999999995</v>
      </c>
      <c r="L2004">
        <v>0.23649999999999999</v>
      </c>
      <c r="M2004">
        <v>0.26960000000000001</v>
      </c>
      <c r="N2004">
        <f>CONVERT(O2004,"lbf","N")</f>
        <v>11189.946295349315</v>
      </c>
      <c r="O2004">
        <v>2515.6</v>
      </c>
      <c r="P2004">
        <f t="shared" si="31"/>
        <v>1.1399577167019028</v>
      </c>
    </row>
    <row r="2005" spans="1:16" x14ac:dyDescent="0.25">
      <c r="A2005">
        <v>0</v>
      </c>
      <c r="B2005">
        <v>30000</v>
      </c>
      <c r="C2005">
        <f>1.225 * (1 - 0.00000687559 * B2005) ^ 4.2561</f>
        <v>0.45828836225470948</v>
      </c>
      <c r="D2005">
        <f>E2005*(SQRT($C$2/C2005))</f>
        <v>294.28703878055819</v>
      </c>
      <c r="E2005">
        <v>180</v>
      </c>
      <c r="F2005">
        <v>1150</v>
      </c>
      <c r="G2005">
        <v>1000</v>
      </c>
      <c r="H2005">
        <f>CONVERT(G2005,"HP","kW")</f>
        <v>745.69987158227025</v>
      </c>
      <c r="I2005">
        <v>0.86550000000000005</v>
      </c>
      <c r="J2005">
        <v>1.9934000000000001</v>
      </c>
      <c r="K2005">
        <v>0.74329999999999996</v>
      </c>
      <c r="L2005">
        <v>0.23649999999999999</v>
      </c>
      <c r="M2005">
        <v>0.1027</v>
      </c>
      <c r="N2005">
        <f>CONVERT(O2005,"lbf","N")</f>
        <v>4263.1755960656628</v>
      </c>
      <c r="O2005">
        <v>958.4</v>
      </c>
      <c r="P2005">
        <f t="shared" si="31"/>
        <v>0.43424947145877379</v>
      </c>
    </row>
    <row r="2006" spans="1:16" hidden="1" x14ac:dyDescent="0.25">
      <c r="A2006">
        <v>0</v>
      </c>
      <c r="B2006">
        <v>30000</v>
      </c>
      <c r="C2006">
        <f>1.225 * (1 - 0.00000687559 * B2006) ^ 4.2561</f>
        <v>0.45828836225470948</v>
      </c>
      <c r="D2006">
        <f>E2006*(SQRT($C$2/C2006))</f>
        <v>32.698559864506464</v>
      </c>
      <c r="E2006">
        <v>20</v>
      </c>
      <c r="F2006">
        <v>1150</v>
      </c>
      <c r="G2006">
        <v>1000</v>
      </c>
      <c r="H2006">
        <f>CONVERT(G2006,"HP","kW")</f>
        <v>745.69987158227025</v>
      </c>
      <c r="I2006">
        <v>0.26400000000000001</v>
      </c>
      <c r="J2006">
        <v>0.2215</v>
      </c>
      <c r="K2006">
        <v>0.54269999999999996</v>
      </c>
      <c r="L2006">
        <v>0.2366</v>
      </c>
      <c r="M2006">
        <v>0.28199999999999997</v>
      </c>
      <c r="N2006">
        <f>CONVERT(O2006,"lbf","N")</f>
        <v>11704.605536234956</v>
      </c>
      <c r="O2006">
        <v>2631.3</v>
      </c>
      <c r="P2006">
        <f t="shared" si="31"/>
        <v>1.1918850380388841</v>
      </c>
    </row>
    <row r="2007" spans="1:16" hidden="1" x14ac:dyDescent="0.25">
      <c r="A2007">
        <v>0</v>
      </c>
      <c r="B2007">
        <v>30000</v>
      </c>
      <c r="C2007">
        <f>1.225 * (1 - 0.00000687559 * B2007) ^ 4.2561</f>
        <v>0.45828836225470948</v>
      </c>
      <c r="D2007">
        <f>E2007*(SQRT($C$2/C2007))</f>
        <v>65.397119729012928</v>
      </c>
      <c r="E2007">
        <v>40</v>
      </c>
      <c r="F2007">
        <v>1150</v>
      </c>
      <c r="G2007">
        <v>1000</v>
      </c>
      <c r="H2007">
        <f>CONVERT(G2007,"HP","kW")</f>
        <v>745.69987158227025</v>
      </c>
      <c r="I2007">
        <v>0.51449999999999996</v>
      </c>
      <c r="J2007">
        <v>0.443</v>
      </c>
      <c r="K2007">
        <v>0.55489999999999995</v>
      </c>
      <c r="L2007">
        <v>0.2366</v>
      </c>
      <c r="M2007">
        <v>0.27479999999999999</v>
      </c>
      <c r="N2007">
        <f>CONVERT(O2007,"lbf","N")</f>
        <v>11404.795399366396</v>
      </c>
      <c r="O2007">
        <v>2563.9</v>
      </c>
      <c r="P2007">
        <f t="shared" si="31"/>
        <v>1.1614539306846998</v>
      </c>
    </row>
    <row r="2008" spans="1:16" hidden="1" x14ac:dyDescent="0.25">
      <c r="A2008">
        <v>0</v>
      </c>
      <c r="B2008">
        <v>30000</v>
      </c>
      <c r="C2008">
        <f>1.225 * (1 - 0.00000687559 * B2008) ^ 4.2561</f>
        <v>0.45828836225470948</v>
      </c>
      <c r="D2008">
        <f>E2008*(SQRT($C$2/C2008))</f>
        <v>98.095679593519407</v>
      </c>
      <c r="E2008">
        <v>60</v>
      </c>
      <c r="F2008">
        <v>1150</v>
      </c>
      <c r="G2008">
        <v>1000</v>
      </c>
      <c r="H2008">
        <f>CONVERT(G2008,"HP","kW")</f>
        <v>745.69987158227025</v>
      </c>
      <c r="I2008">
        <v>0.67930000000000001</v>
      </c>
      <c r="J2008">
        <v>0.66449999999999998</v>
      </c>
      <c r="K2008">
        <v>0.57150000000000001</v>
      </c>
      <c r="L2008">
        <v>0.2366</v>
      </c>
      <c r="M2008">
        <v>0.24179999999999999</v>
      </c>
      <c r="N2008">
        <f>CONVERT(O2008,"lbf","N")</f>
        <v>10038.301719158369</v>
      </c>
      <c r="O2008">
        <v>2256.6999999999998</v>
      </c>
      <c r="P2008">
        <f t="shared" si="31"/>
        <v>1.0219780219780219</v>
      </c>
    </row>
    <row r="2009" spans="1:16" hidden="1" x14ac:dyDescent="0.25">
      <c r="A2009">
        <v>0</v>
      </c>
      <c r="B2009">
        <v>30000</v>
      </c>
      <c r="C2009">
        <f>1.225 * (1 - 0.00000687559 * B2009) ^ 4.2561</f>
        <v>0.45828836225470948</v>
      </c>
      <c r="D2009">
        <f>E2009*(SQRT($C$2/C2009))</f>
        <v>130.79423945802586</v>
      </c>
      <c r="E2009">
        <v>80</v>
      </c>
      <c r="F2009">
        <v>1150</v>
      </c>
      <c r="G2009">
        <v>1000</v>
      </c>
      <c r="H2009">
        <f>CONVERT(G2009,"HP","kW")</f>
        <v>745.69987158227025</v>
      </c>
      <c r="I2009">
        <v>0.77390000000000003</v>
      </c>
      <c r="J2009">
        <v>0.88590000000000002</v>
      </c>
      <c r="K2009">
        <v>0.59160000000000001</v>
      </c>
      <c r="L2009">
        <v>0.2366</v>
      </c>
      <c r="M2009">
        <v>0.20660000000000001</v>
      </c>
      <c r="N2009">
        <f>CONVERT(O2009,"lbf","N")</f>
        <v>8577.0609185452959</v>
      </c>
      <c r="O2009">
        <v>1928.2</v>
      </c>
      <c r="P2009">
        <f t="shared" si="31"/>
        <v>0.87320371935756547</v>
      </c>
    </row>
    <row r="2010" spans="1:16" hidden="1" x14ac:dyDescent="0.25">
      <c r="A2010">
        <v>0</v>
      </c>
      <c r="B2010">
        <v>30000</v>
      </c>
      <c r="C2010">
        <f>1.225 * (1 - 0.00000687559 * B2010) ^ 4.2561</f>
        <v>0.45828836225470948</v>
      </c>
      <c r="D2010">
        <f>E2010*(SQRT($C$2/C2010))</f>
        <v>359.68415850957115</v>
      </c>
      <c r="E2010">
        <v>220</v>
      </c>
      <c r="F2010">
        <v>1150</v>
      </c>
      <c r="G2010">
        <v>1000</v>
      </c>
      <c r="H2010">
        <f>CONVERT(G2010,"HP","kW")</f>
        <v>745.69987158227025</v>
      </c>
      <c r="I2010">
        <v>0.68889999999999996</v>
      </c>
      <c r="J2010">
        <v>2.4363999999999999</v>
      </c>
      <c r="K2010">
        <v>0.82210000000000005</v>
      </c>
      <c r="L2010">
        <v>0.2366</v>
      </c>
      <c r="M2010">
        <v>6.6900000000000001E-2</v>
      </c>
      <c r="N2010">
        <f>CONVERT(O2010,"lbf","N")</f>
        <v>2776.1351100840784</v>
      </c>
      <c r="O2010">
        <v>624.1</v>
      </c>
      <c r="P2010">
        <f t="shared" si="31"/>
        <v>0.28275570583262893</v>
      </c>
    </row>
    <row r="2011" spans="1:16" hidden="1" x14ac:dyDescent="0.25">
      <c r="A2011">
        <v>0</v>
      </c>
      <c r="B2011">
        <v>30000</v>
      </c>
      <c r="C2011">
        <f>1.225 * (1 - 0.00000687559 * B2011) ^ 4.2561</f>
        <v>0.45828836225470948</v>
      </c>
      <c r="D2011">
        <f>E2011*(SQRT($C$2/C2011))</f>
        <v>392.38271837407763</v>
      </c>
      <c r="E2011">
        <v>240</v>
      </c>
      <c r="F2011">
        <v>1150</v>
      </c>
      <c r="G2011">
        <v>1000</v>
      </c>
      <c r="H2011">
        <f>CONVERT(G2011,"HP","kW")</f>
        <v>745.69987158227025</v>
      </c>
      <c r="I2011">
        <v>0.44840000000000002</v>
      </c>
      <c r="J2011">
        <v>2.6577999999999999</v>
      </c>
      <c r="K2011">
        <v>0.86409999999999998</v>
      </c>
      <c r="L2011">
        <v>0.2366</v>
      </c>
      <c r="M2011">
        <v>3.9899999999999998E-2</v>
      </c>
      <c r="N2011">
        <f>CONVERT(O2011,"lbf","N")</f>
        <v>1656.5177295230103</v>
      </c>
      <c r="O2011">
        <v>372.4</v>
      </c>
      <c r="P2011">
        <f t="shared" si="31"/>
        <v>0.16863905325443787</v>
      </c>
    </row>
    <row r="2012" spans="1:16" hidden="1" x14ac:dyDescent="0.25">
      <c r="A2012">
        <v>0</v>
      </c>
      <c r="B2012">
        <v>10000</v>
      </c>
      <c r="C2012">
        <f>1.225 * (1 - 0.00000687559 * B2012) ^ 4.2561</f>
        <v>0.90462252368600637</v>
      </c>
      <c r="D2012">
        <f>E2012*(SQRT($C$2/C2012))</f>
        <v>116.36820785327033</v>
      </c>
      <c r="E2012">
        <v>100</v>
      </c>
      <c r="F2012">
        <v>987</v>
      </c>
      <c r="G2012">
        <v>1250</v>
      </c>
      <c r="H2012">
        <f>CONVERT(G2012,"HP","kW")</f>
        <v>932.12483947783778</v>
      </c>
      <c r="I2012">
        <v>0.78649999999999998</v>
      </c>
      <c r="J2012">
        <v>0.91839999999999999</v>
      </c>
      <c r="K2012">
        <v>0.47139999999999999</v>
      </c>
      <c r="L2012">
        <v>0.2369</v>
      </c>
      <c r="M2012">
        <v>0.2029</v>
      </c>
      <c r="N2012">
        <f>CONVERT(O2012,"lbf","N")</f>
        <v>12245.954106812158</v>
      </c>
      <c r="O2012">
        <v>2753</v>
      </c>
      <c r="P2012">
        <f t="shared" si="31"/>
        <v>0.85647952722667786</v>
      </c>
    </row>
    <row r="2013" spans="1:16" hidden="1" x14ac:dyDescent="0.25">
      <c r="A2013">
        <v>0</v>
      </c>
      <c r="B2013">
        <v>10000</v>
      </c>
      <c r="C2013">
        <f>1.225 * (1 - 0.00000687559 * B2013) ^ 4.2561</f>
        <v>0.90462252368600637</v>
      </c>
      <c r="D2013">
        <f>E2013*(SQRT($C$2/C2013))</f>
        <v>139.64184942392441</v>
      </c>
      <c r="E2013">
        <v>120</v>
      </c>
      <c r="F2013">
        <v>987</v>
      </c>
      <c r="G2013">
        <v>1250</v>
      </c>
      <c r="H2013">
        <f>CONVERT(G2013,"HP","kW")</f>
        <v>932.12483947783778</v>
      </c>
      <c r="I2013">
        <v>0.83199999999999996</v>
      </c>
      <c r="J2013">
        <v>1.1021000000000001</v>
      </c>
      <c r="K2013">
        <v>0.48720000000000002</v>
      </c>
      <c r="L2013">
        <v>0.2369</v>
      </c>
      <c r="M2013">
        <v>0.1789</v>
      </c>
      <c r="N2013">
        <f>CONVERT(O2013,"lbf","N")</f>
        <v>10796.278682398761</v>
      </c>
      <c r="O2013">
        <v>2427.1</v>
      </c>
      <c r="P2013">
        <f t="shared" si="31"/>
        <v>0.75517095821021529</v>
      </c>
    </row>
    <row r="2014" spans="1:16" hidden="1" x14ac:dyDescent="0.25">
      <c r="A2014">
        <v>0</v>
      </c>
      <c r="B2014">
        <v>10000</v>
      </c>
      <c r="C2014">
        <f>1.225 * (1 - 0.00000687559 * B2014) ^ 4.2561</f>
        <v>0.90462252368600637</v>
      </c>
      <c r="D2014">
        <f>E2014*(SQRT($C$2/C2014))</f>
        <v>162.91549099457848</v>
      </c>
      <c r="E2014">
        <v>140</v>
      </c>
      <c r="F2014">
        <v>987</v>
      </c>
      <c r="G2014">
        <v>1250</v>
      </c>
      <c r="H2014">
        <f>CONVERT(G2014,"HP","kW")</f>
        <v>932.12483947783778</v>
      </c>
      <c r="I2014">
        <v>0.86129999999999995</v>
      </c>
      <c r="J2014">
        <v>1.2858000000000001</v>
      </c>
      <c r="K2014">
        <v>0.50490000000000002</v>
      </c>
      <c r="L2014">
        <v>0.2369</v>
      </c>
      <c r="M2014">
        <v>0.15870000000000001</v>
      </c>
      <c r="N2014">
        <f>CONVERT(O2014,"lbf","N")</f>
        <v>9579.2452484634869</v>
      </c>
      <c r="O2014">
        <v>2153.5</v>
      </c>
      <c r="P2014">
        <f t="shared" si="31"/>
        <v>0.66990291262135926</v>
      </c>
    </row>
    <row r="2015" spans="1:16" hidden="1" x14ac:dyDescent="0.25">
      <c r="A2015">
        <v>0</v>
      </c>
      <c r="B2015">
        <v>10000</v>
      </c>
      <c r="C2015">
        <f>1.225 * (1 - 0.00000687559 * B2015) ^ 4.2561</f>
        <v>0.90462252368600637</v>
      </c>
      <c r="D2015">
        <f>E2015*(SQRT($C$2/C2015))</f>
        <v>279.28369884784883</v>
      </c>
      <c r="E2015">
        <v>240</v>
      </c>
      <c r="F2015">
        <v>987</v>
      </c>
      <c r="G2015">
        <v>1250</v>
      </c>
      <c r="H2015">
        <f>CONVERT(G2015,"HP","kW")</f>
        <v>932.12483947783778</v>
      </c>
      <c r="I2015">
        <v>0.88980000000000004</v>
      </c>
      <c r="J2015">
        <v>2.2042000000000002</v>
      </c>
      <c r="K2015">
        <v>0.6179</v>
      </c>
      <c r="L2015">
        <v>0.2369</v>
      </c>
      <c r="M2015">
        <v>9.5600000000000004E-2</v>
      </c>
      <c r="N2015">
        <f>CONVERT(O2015,"lbf","N")</f>
        <v>5772.9020122850761</v>
      </c>
      <c r="O2015">
        <v>1297.8</v>
      </c>
      <c r="P2015">
        <f t="shared" si="31"/>
        <v>0.40354579991557621</v>
      </c>
    </row>
    <row r="2016" spans="1:16" hidden="1" x14ac:dyDescent="0.25">
      <c r="A2016">
        <v>0</v>
      </c>
      <c r="B2016">
        <v>10000</v>
      </c>
      <c r="C2016">
        <f>1.225 * (1 - 0.00000687559 * B2016) ^ 4.2561</f>
        <v>0.90462252368600637</v>
      </c>
      <c r="D2016">
        <f>E2016*(SQRT($C$2/C2016))</f>
        <v>23.273641570654068</v>
      </c>
      <c r="E2016">
        <v>20</v>
      </c>
      <c r="F2016">
        <v>987</v>
      </c>
      <c r="G2016">
        <v>1250</v>
      </c>
      <c r="H2016">
        <f>CONVERT(G2016,"HP","kW")</f>
        <v>932.12483947783778</v>
      </c>
      <c r="I2016">
        <v>0.21859999999999999</v>
      </c>
      <c r="J2016">
        <v>0.1837</v>
      </c>
      <c r="K2016">
        <v>0.42880000000000001</v>
      </c>
      <c r="L2016">
        <v>0.23699999999999999</v>
      </c>
      <c r="M2016">
        <v>0.28199999999999997</v>
      </c>
      <c r="N2016">
        <f>CONVERT(O2016,"lbf","N")</f>
        <v>17021.120010794304</v>
      </c>
      <c r="O2016">
        <v>3826.5</v>
      </c>
      <c r="P2016">
        <f t="shared" si="31"/>
        <v>1.1898734177215189</v>
      </c>
    </row>
    <row r="2017" spans="1:16" hidden="1" x14ac:dyDescent="0.25">
      <c r="A2017">
        <v>0</v>
      </c>
      <c r="B2017">
        <v>10000</v>
      </c>
      <c r="C2017">
        <f>1.225 * (1 - 0.00000687559 * B2017) ^ 4.2561</f>
        <v>0.90462252368600637</v>
      </c>
      <c r="D2017">
        <f>E2017*(SQRT($C$2/C2017))</f>
        <v>46.547283141308135</v>
      </c>
      <c r="E2017">
        <v>40</v>
      </c>
      <c r="F2017">
        <v>987</v>
      </c>
      <c r="G2017">
        <v>1250</v>
      </c>
      <c r="H2017">
        <f>CONVERT(G2017,"HP","kW")</f>
        <v>932.12483947783778</v>
      </c>
      <c r="I2017">
        <v>0.441</v>
      </c>
      <c r="J2017">
        <v>0.3674</v>
      </c>
      <c r="K2017">
        <v>0.43590000000000001</v>
      </c>
      <c r="L2017">
        <v>0.23699999999999999</v>
      </c>
      <c r="M2017">
        <v>0.28439999999999999</v>
      </c>
      <c r="N2017">
        <f>CONVERT(O2017,"lbf","N")</f>
        <v>17165.242391128744</v>
      </c>
      <c r="O2017">
        <v>3858.9</v>
      </c>
      <c r="P2017">
        <f t="shared" si="31"/>
        <v>1.2</v>
      </c>
    </row>
    <row r="2018" spans="1:16" hidden="1" x14ac:dyDescent="0.25">
      <c r="A2018">
        <v>0</v>
      </c>
      <c r="B2018">
        <v>10000</v>
      </c>
      <c r="C2018">
        <f>1.225 * (1 - 0.00000687559 * B2018) ^ 4.2561</f>
        <v>0.90462252368600637</v>
      </c>
      <c r="D2018">
        <f>E2018*(SQRT($C$2/C2018))</f>
        <v>69.820924711962206</v>
      </c>
      <c r="E2018">
        <v>60</v>
      </c>
      <c r="F2018">
        <v>987</v>
      </c>
      <c r="G2018">
        <v>1250</v>
      </c>
      <c r="H2018">
        <f>CONVERT(G2018,"HP","kW")</f>
        <v>932.12483947783778</v>
      </c>
      <c r="I2018">
        <v>0.61080000000000001</v>
      </c>
      <c r="J2018">
        <v>0.55110000000000003</v>
      </c>
      <c r="K2018">
        <v>0.44569999999999999</v>
      </c>
      <c r="L2018">
        <v>0.23699999999999999</v>
      </c>
      <c r="M2018">
        <v>0.26269999999999999</v>
      </c>
      <c r="N2018">
        <f>CONVERT(O2018,"lbf","N")</f>
        <v>15851.237725980793</v>
      </c>
      <c r="O2018">
        <v>3563.5</v>
      </c>
      <c r="P2018">
        <f t="shared" si="31"/>
        <v>1.1084388185654008</v>
      </c>
    </row>
    <row r="2019" spans="1:16" hidden="1" x14ac:dyDescent="0.25">
      <c r="A2019">
        <v>0</v>
      </c>
      <c r="B2019">
        <v>10000</v>
      </c>
      <c r="C2019">
        <f>1.225 * (1 - 0.00000687559 * B2019) ^ 4.2561</f>
        <v>0.90462252368600637</v>
      </c>
      <c r="D2019">
        <f>E2019*(SQRT($C$2/C2019))</f>
        <v>93.09456628261627</v>
      </c>
      <c r="E2019">
        <v>80</v>
      </c>
      <c r="F2019">
        <v>987</v>
      </c>
      <c r="G2019">
        <v>1250</v>
      </c>
      <c r="H2019">
        <f>CONVERT(G2019,"HP","kW")</f>
        <v>932.12483947783778</v>
      </c>
      <c r="I2019">
        <v>0.71689999999999998</v>
      </c>
      <c r="J2019">
        <v>0.73470000000000002</v>
      </c>
      <c r="K2019">
        <v>0.45760000000000001</v>
      </c>
      <c r="L2019">
        <v>0.23699999999999999</v>
      </c>
      <c r="M2019">
        <v>0.23119999999999999</v>
      </c>
      <c r="N2019">
        <f>CONVERT(O2019,"lbf","N")</f>
        <v>13953.181562749138</v>
      </c>
      <c r="O2019">
        <v>3136.8</v>
      </c>
      <c r="P2019">
        <f t="shared" si="31"/>
        <v>0.97552742616033761</v>
      </c>
    </row>
    <row r="2020" spans="1:16" hidden="1" x14ac:dyDescent="0.25">
      <c r="A2020">
        <v>0</v>
      </c>
      <c r="B2020">
        <v>10000</v>
      </c>
      <c r="C2020">
        <f>1.225 * (1 - 0.00000687559 * B2020) ^ 4.2561</f>
        <v>0.90462252368600637</v>
      </c>
      <c r="D2020">
        <f>E2020*(SQRT($C$2/C2020))</f>
        <v>186.18913256523254</v>
      </c>
      <c r="E2020">
        <v>160</v>
      </c>
      <c r="F2020">
        <v>987</v>
      </c>
      <c r="G2020">
        <v>1250</v>
      </c>
      <c r="H2020">
        <f>CONVERT(G2020,"HP","kW")</f>
        <v>932.12483947783778</v>
      </c>
      <c r="I2020">
        <v>0.87960000000000005</v>
      </c>
      <c r="J2020">
        <v>1.4695</v>
      </c>
      <c r="K2020">
        <v>0.52449999999999997</v>
      </c>
      <c r="L2020">
        <v>0.23699999999999999</v>
      </c>
      <c r="M2020">
        <v>0.14180000000000001</v>
      </c>
      <c r="N2020">
        <f>CONVERT(O2020,"lbf","N")</f>
        <v>8560.6024985688327</v>
      </c>
      <c r="O2020">
        <v>1924.5</v>
      </c>
      <c r="P2020">
        <f t="shared" si="31"/>
        <v>0.59831223628691987</v>
      </c>
    </row>
    <row r="2021" spans="1:16" hidden="1" x14ac:dyDescent="0.25">
      <c r="A2021">
        <v>0</v>
      </c>
      <c r="B2021">
        <v>10000</v>
      </c>
      <c r="C2021">
        <f>1.225 * (1 - 0.00000687559 * B2021) ^ 4.2561</f>
        <v>0.90462252368600637</v>
      </c>
      <c r="D2021">
        <f>E2021*(SQRT($C$2/C2021))</f>
        <v>209.4627741358866</v>
      </c>
      <c r="E2021">
        <v>180</v>
      </c>
      <c r="F2021">
        <v>987</v>
      </c>
      <c r="G2021">
        <v>1250</v>
      </c>
      <c r="H2021">
        <f>CONVERT(G2021,"HP","kW")</f>
        <v>932.12483947783778</v>
      </c>
      <c r="I2021">
        <v>0.89049999999999996</v>
      </c>
      <c r="J2021">
        <v>1.6532</v>
      </c>
      <c r="K2021">
        <v>0.54569999999999996</v>
      </c>
      <c r="L2021">
        <v>0.23699999999999999</v>
      </c>
      <c r="M2021">
        <v>0.12759999999999999</v>
      </c>
      <c r="N2021">
        <f>CONVERT(O2021,"lbf","N")</f>
        <v>7703.4301933081342</v>
      </c>
      <c r="O2021">
        <v>1731.8</v>
      </c>
      <c r="P2021">
        <f t="shared" si="31"/>
        <v>0.53839662447257386</v>
      </c>
    </row>
    <row r="2022" spans="1:16" x14ac:dyDescent="0.25">
      <c r="A2022">
        <v>0</v>
      </c>
      <c r="B2022">
        <v>10000</v>
      </c>
      <c r="C2022">
        <f>1.225 * (1 - 0.00000687559 * B2022) ^ 4.2561</f>
        <v>0.90462252368600637</v>
      </c>
      <c r="D2022">
        <f>E2022*(SQRT($C$2/C2022))</f>
        <v>232.73641570654067</v>
      </c>
      <c r="E2022">
        <v>200</v>
      </c>
      <c r="F2022">
        <v>987</v>
      </c>
      <c r="G2022">
        <v>1250</v>
      </c>
      <c r="H2022">
        <f>CONVERT(G2022,"HP","kW")</f>
        <v>932.12483947783778</v>
      </c>
      <c r="I2022">
        <v>0.89570000000000005</v>
      </c>
      <c r="J2022">
        <v>1.8368</v>
      </c>
      <c r="K2022">
        <v>0.56850000000000001</v>
      </c>
      <c r="L2022">
        <v>0.23699999999999999</v>
      </c>
      <c r="M2022">
        <v>0.11550000000000001</v>
      </c>
      <c r="N2022">
        <f>CONVERT(O2022,"lbf","N")</f>
        <v>6973.477026243886</v>
      </c>
      <c r="O2022">
        <v>1567.7</v>
      </c>
      <c r="P2022">
        <f t="shared" si="31"/>
        <v>0.48734177215189878</v>
      </c>
    </row>
    <row r="2023" spans="1:16" x14ac:dyDescent="0.25">
      <c r="A2023">
        <v>0</v>
      </c>
      <c r="B2023">
        <v>10000</v>
      </c>
      <c r="C2023">
        <f>1.225 * (1 - 0.00000687559 * B2023) ^ 4.2561</f>
        <v>0.90462252368600637</v>
      </c>
      <c r="D2023">
        <f>E2023*(SQRT($C$2/C2023))</f>
        <v>256.01005727719473</v>
      </c>
      <c r="E2023">
        <v>220</v>
      </c>
      <c r="F2023">
        <v>987</v>
      </c>
      <c r="G2023">
        <v>1250</v>
      </c>
      <c r="H2023">
        <f>CONVERT(G2023,"HP","kW")</f>
        <v>932.12483947783778</v>
      </c>
      <c r="I2023">
        <v>0.89590000000000003</v>
      </c>
      <c r="J2023">
        <v>2.0205000000000002</v>
      </c>
      <c r="K2023">
        <v>0.59260000000000002</v>
      </c>
      <c r="L2023">
        <v>0.23699999999999999</v>
      </c>
      <c r="M2023">
        <v>0.1051</v>
      </c>
      <c r="N2023">
        <f>CONVERT(O2023,"lbf","N")</f>
        <v>6340.939912553843</v>
      </c>
      <c r="O2023">
        <v>1425.5</v>
      </c>
      <c r="P2023">
        <f t="shared" si="31"/>
        <v>0.44345991561181436</v>
      </c>
    </row>
    <row r="2024" spans="1:16" hidden="1" x14ac:dyDescent="0.25">
      <c r="A2024">
        <v>0</v>
      </c>
      <c r="B2024">
        <v>10000</v>
      </c>
      <c r="C2024">
        <f>1.225 * (1 - 0.00000687559 * B2024) ^ 4.2561</f>
        <v>0.90462252368600637</v>
      </c>
      <c r="D2024">
        <f>E2024*(SQRT($C$2/C2024))</f>
        <v>302.55734041850286</v>
      </c>
      <c r="E2024">
        <v>260</v>
      </c>
      <c r="F2024">
        <v>987</v>
      </c>
      <c r="G2024">
        <v>1250</v>
      </c>
      <c r="H2024">
        <f>CONVERT(G2024,"HP","kW")</f>
        <v>932.12483947783778</v>
      </c>
      <c r="I2024">
        <v>0.87590000000000001</v>
      </c>
      <c r="J2024">
        <v>2.3879000000000001</v>
      </c>
      <c r="K2024">
        <v>0.64429999999999998</v>
      </c>
      <c r="L2024">
        <v>0.23699999999999999</v>
      </c>
      <c r="M2024">
        <v>8.6900000000000005E-2</v>
      </c>
      <c r="N2024">
        <f>CONVERT(O2024,"lbf","N")</f>
        <v>5245.3429287151821</v>
      </c>
      <c r="O2024">
        <v>1179.2</v>
      </c>
      <c r="P2024">
        <f t="shared" si="31"/>
        <v>0.3666666666666667</v>
      </c>
    </row>
    <row r="2025" spans="1:16" hidden="1" x14ac:dyDescent="0.25">
      <c r="A2025">
        <v>0</v>
      </c>
      <c r="B2025">
        <v>10000</v>
      </c>
      <c r="C2025">
        <f>1.225 * (1 - 0.00000687559 * B2025) ^ 4.2561</f>
        <v>0.90462252368600637</v>
      </c>
      <c r="D2025">
        <f>E2025*(SQRT($C$2/C2025))</f>
        <v>0</v>
      </c>
      <c r="E2025">
        <v>0</v>
      </c>
      <c r="F2025">
        <v>987</v>
      </c>
      <c r="G2025">
        <v>1250</v>
      </c>
      <c r="H2025">
        <f>CONVERT(G2025,"HP","kW")</f>
        <v>932.12483947783778</v>
      </c>
      <c r="I2025">
        <v>0</v>
      </c>
      <c r="J2025">
        <v>0</v>
      </c>
      <c r="K2025">
        <v>0.42370000000000002</v>
      </c>
      <c r="L2025">
        <v>0.23719999999999999</v>
      </c>
      <c r="M2025">
        <v>0.2712</v>
      </c>
      <c r="N2025">
        <f>CONVERT(O2025,"lbf","N")</f>
        <v>16351.217835536072</v>
      </c>
      <c r="O2025">
        <v>3675.9</v>
      </c>
      <c r="P2025">
        <f t="shared" si="31"/>
        <v>1.1433389544688026</v>
      </c>
    </row>
    <row r="2026" spans="1:16" hidden="1" x14ac:dyDescent="0.25">
      <c r="A2026">
        <v>0</v>
      </c>
      <c r="B2026">
        <v>15000</v>
      </c>
      <c r="C2026">
        <f>1.225 * (1 - 0.00000687559 * B2026) ^ 4.2561</f>
        <v>0.77079726910167001</v>
      </c>
      <c r="D2026">
        <f>E2026*(SQRT($C$2/C2026))</f>
        <v>25.213199277533057</v>
      </c>
      <c r="E2026">
        <v>20</v>
      </c>
      <c r="F2026">
        <v>1215</v>
      </c>
      <c r="G2026">
        <v>2000</v>
      </c>
      <c r="H2026">
        <f>CONVERT(G2026,"HP","kW")</f>
        <v>1491.3997431645405</v>
      </c>
      <c r="I2026">
        <v>0.1888</v>
      </c>
      <c r="J2026">
        <v>0.16159999999999999</v>
      </c>
      <c r="K2026">
        <v>0.53690000000000004</v>
      </c>
      <c r="L2026">
        <v>0.2384</v>
      </c>
      <c r="M2026">
        <v>0.27850000000000003</v>
      </c>
      <c r="N2026">
        <f>CONVERT(O2026,"lbf","N")</f>
        <v>21709.990415440396</v>
      </c>
      <c r="O2026">
        <v>4880.6000000000004</v>
      </c>
      <c r="P2026">
        <f t="shared" si="31"/>
        <v>1.1682046979865772</v>
      </c>
    </row>
    <row r="2027" spans="1:16" hidden="1" x14ac:dyDescent="0.25">
      <c r="A2027">
        <v>0</v>
      </c>
      <c r="B2027">
        <v>15000</v>
      </c>
      <c r="C2027">
        <f>1.225 * (1 - 0.00000687559 * B2027) ^ 4.2561</f>
        <v>0.77079726910167001</v>
      </c>
      <c r="D2027">
        <f>E2027*(SQRT($C$2/C2027))</f>
        <v>126.06599638766529</v>
      </c>
      <c r="E2027">
        <v>100</v>
      </c>
      <c r="F2027">
        <v>1215</v>
      </c>
      <c r="G2027">
        <v>2000</v>
      </c>
      <c r="H2027">
        <f>CONVERT(G2027,"HP","kW")</f>
        <v>1491.3997431645405</v>
      </c>
      <c r="I2027">
        <v>0.745</v>
      </c>
      <c r="J2027">
        <v>0.80820000000000003</v>
      </c>
      <c r="K2027">
        <v>0.58050000000000002</v>
      </c>
      <c r="L2027">
        <v>0.2384</v>
      </c>
      <c r="M2027">
        <v>0.21970000000000001</v>
      </c>
      <c r="N2027">
        <f>CONVERT(O2027,"lbf","N")</f>
        <v>17131.88072901429</v>
      </c>
      <c r="O2027">
        <v>3851.4</v>
      </c>
      <c r="P2027">
        <f t="shared" si="31"/>
        <v>0.92156040268456374</v>
      </c>
    </row>
    <row r="2028" spans="1:16" hidden="1" x14ac:dyDescent="0.25">
      <c r="A2028">
        <v>0</v>
      </c>
      <c r="B2028">
        <v>15000</v>
      </c>
      <c r="C2028">
        <f>1.225 * (1 - 0.00000687559 * B2028) ^ 4.2561</f>
        <v>0.77079726910167001</v>
      </c>
      <c r="D2028">
        <f>E2028*(SQRT($C$2/C2028))</f>
        <v>176.49239494273141</v>
      </c>
      <c r="E2028">
        <v>140</v>
      </c>
      <c r="F2028">
        <v>1215</v>
      </c>
      <c r="G2028">
        <v>2000</v>
      </c>
      <c r="H2028">
        <f>CONVERT(G2028,"HP","kW")</f>
        <v>1491.3997431645405</v>
      </c>
      <c r="I2028">
        <v>0.83530000000000004</v>
      </c>
      <c r="J2028">
        <v>1.1315</v>
      </c>
      <c r="K2028">
        <v>0.61439999999999995</v>
      </c>
      <c r="L2028">
        <v>0.2384</v>
      </c>
      <c r="M2028">
        <v>0.17599999999999999</v>
      </c>
      <c r="N2028">
        <f>CONVERT(O2028,"lbf","N")</f>
        <v>13720.984394432537</v>
      </c>
      <c r="O2028">
        <v>3084.6</v>
      </c>
      <c r="P2028">
        <f t="shared" si="31"/>
        <v>0.73825503355704691</v>
      </c>
    </row>
    <row r="2029" spans="1:16" hidden="1" x14ac:dyDescent="0.25">
      <c r="A2029">
        <v>0</v>
      </c>
      <c r="B2029">
        <v>15000</v>
      </c>
      <c r="C2029">
        <f>1.225 * (1 - 0.00000687559 * B2029) ^ 4.2561</f>
        <v>0.77079726910167001</v>
      </c>
      <c r="D2029">
        <f>E2029*(SQRT($C$2/C2029))</f>
        <v>201.70559422026446</v>
      </c>
      <c r="E2029">
        <v>160</v>
      </c>
      <c r="F2029">
        <v>1215</v>
      </c>
      <c r="G2029">
        <v>2000</v>
      </c>
      <c r="H2029">
        <f>CONVERT(G2029,"HP","kW")</f>
        <v>1491.3997431645405</v>
      </c>
      <c r="I2029">
        <v>0.86060000000000003</v>
      </c>
      <c r="J2029">
        <v>1.2931999999999999</v>
      </c>
      <c r="K2029">
        <v>0.63419999999999999</v>
      </c>
      <c r="L2029">
        <v>0.2384</v>
      </c>
      <c r="M2029">
        <v>0.15859999999999999</v>
      </c>
      <c r="N2029">
        <f>CONVERT(O2029,"lbf","N")</f>
        <v>12369.614667716402</v>
      </c>
      <c r="O2029">
        <v>2780.8</v>
      </c>
      <c r="P2029">
        <f t="shared" si="31"/>
        <v>0.66526845637583887</v>
      </c>
    </row>
    <row r="2030" spans="1:16" hidden="1" x14ac:dyDescent="0.25">
      <c r="A2030">
        <v>0</v>
      </c>
      <c r="B2030">
        <v>15000</v>
      </c>
      <c r="C2030">
        <f>1.225 * (1 - 0.00000687559 * B2030) ^ 4.2561</f>
        <v>0.77079726910167001</v>
      </c>
      <c r="D2030">
        <f>E2030*(SQRT($C$2/C2030))</f>
        <v>226.91879349779754</v>
      </c>
      <c r="E2030">
        <v>180</v>
      </c>
      <c r="F2030">
        <v>1215</v>
      </c>
      <c r="G2030">
        <v>2000</v>
      </c>
      <c r="H2030">
        <f>CONVERT(G2030,"HP","kW")</f>
        <v>1491.3997431645405</v>
      </c>
      <c r="I2030">
        <v>0.87760000000000005</v>
      </c>
      <c r="J2030">
        <v>1.4548000000000001</v>
      </c>
      <c r="K2030">
        <v>0.65580000000000005</v>
      </c>
      <c r="L2030">
        <v>0.2384</v>
      </c>
      <c r="M2030">
        <v>0.14380000000000001</v>
      </c>
      <c r="N2030">
        <f>CONVERT(O2030,"lbf","N")</f>
        <v>11211.74258126409</v>
      </c>
      <c r="O2030">
        <v>2520.5</v>
      </c>
      <c r="P2030">
        <f t="shared" si="31"/>
        <v>0.60318791946308725</v>
      </c>
    </row>
    <row r="2031" spans="1:16" hidden="1" x14ac:dyDescent="0.25">
      <c r="A2031">
        <v>0</v>
      </c>
      <c r="B2031">
        <v>15000</v>
      </c>
      <c r="C2031">
        <f>1.225 * (1 - 0.00000687559 * B2031) ^ 4.2561</f>
        <v>0.77079726910167001</v>
      </c>
      <c r="D2031">
        <f>E2031*(SQRT($C$2/C2031))</f>
        <v>252.13199277533059</v>
      </c>
      <c r="E2031">
        <v>200</v>
      </c>
      <c r="F2031">
        <v>1215</v>
      </c>
      <c r="G2031">
        <v>2000</v>
      </c>
      <c r="H2031">
        <f>CONVERT(G2031,"HP","kW")</f>
        <v>1491.3997431645405</v>
      </c>
      <c r="I2031">
        <v>0.88829999999999998</v>
      </c>
      <c r="J2031">
        <v>1.6165</v>
      </c>
      <c r="K2031">
        <v>0.67900000000000005</v>
      </c>
      <c r="L2031">
        <v>0.2384</v>
      </c>
      <c r="M2031">
        <v>0.13100000000000001</v>
      </c>
      <c r="N2031">
        <f>CONVERT(O2031,"lbf","N")</f>
        <v>10213.561650799635</v>
      </c>
      <c r="O2031">
        <v>2296.1</v>
      </c>
      <c r="P2031">
        <f t="shared" si="31"/>
        <v>0.54949664429530198</v>
      </c>
    </row>
    <row r="2032" spans="1:16" hidden="1" x14ac:dyDescent="0.25">
      <c r="A2032">
        <v>0</v>
      </c>
      <c r="B2032">
        <v>15000</v>
      </c>
      <c r="C2032">
        <f>1.225 * (1 - 0.00000687559 * B2032) ^ 4.2561</f>
        <v>0.77079726910167001</v>
      </c>
      <c r="D2032">
        <f>E2032*(SQRT($C$2/C2032))</f>
        <v>277.34519205286364</v>
      </c>
      <c r="E2032">
        <v>220</v>
      </c>
      <c r="F2032">
        <v>1215</v>
      </c>
      <c r="G2032">
        <v>2000</v>
      </c>
      <c r="H2032">
        <f>CONVERT(G2032,"HP","kW")</f>
        <v>1491.3997431645405</v>
      </c>
      <c r="I2032">
        <v>0.88980000000000004</v>
      </c>
      <c r="J2032">
        <v>1.7781</v>
      </c>
      <c r="K2032">
        <v>0.70379999999999998</v>
      </c>
      <c r="L2032">
        <v>0.2384</v>
      </c>
      <c r="M2032">
        <v>0.1193</v>
      </c>
      <c r="N2032">
        <f>CONVERT(O2032,"lbf","N")</f>
        <v>9300.7865753481801</v>
      </c>
      <c r="O2032">
        <v>2090.9</v>
      </c>
      <c r="P2032">
        <f t="shared" si="31"/>
        <v>0.50041946308724838</v>
      </c>
    </row>
    <row r="2033" spans="1:16" hidden="1" x14ac:dyDescent="0.25">
      <c r="A2033">
        <v>0</v>
      </c>
      <c r="B2033">
        <v>15000</v>
      </c>
      <c r="C2033">
        <f>1.225 * (1 - 0.00000687559 * B2033) ^ 4.2561</f>
        <v>0.77079726910167001</v>
      </c>
      <c r="D2033">
        <f>E2033*(SQRT($C$2/C2033))</f>
        <v>302.55839133039672</v>
      </c>
      <c r="E2033">
        <v>240</v>
      </c>
      <c r="F2033">
        <v>1215</v>
      </c>
      <c r="G2033">
        <v>2000</v>
      </c>
      <c r="H2033">
        <f>CONVERT(G2033,"HP","kW")</f>
        <v>1491.3997431645405</v>
      </c>
      <c r="I2033">
        <v>0.87670000000000003</v>
      </c>
      <c r="J2033">
        <v>1.9398</v>
      </c>
      <c r="K2033">
        <v>0.7298</v>
      </c>
      <c r="L2033">
        <v>0.2384</v>
      </c>
      <c r="M2033">
        <v>0.1077</v>
      </c>
      <c r="N2033">
        <f>CONVERT(O2033,"lbf","N")</f>
        <v>8400.4665204194553</v>
      </c>
      <c r="O2033">
        <v>1888.5</v>
      </c>
      <c r="P2033">
        <f t="shared" si="31"/>
        <v>0.45176174496644295</v>
      </c>
    </row>
    <row r="2034" spans="1:16" hidden="1" x14ac:dyDescent="0.25">
      <c r="A2034">
        <v>0</v>
      </c>
      <c r="B2034">
        <v>15000</v>
      </c>
      <c r="C2034">
        <f>1.225 * (1 - 0.00000687559 * B2034) ^ 4.2561</f>
        <v>0.77079726910167001</v>
      </c>
      <c r="D2034">
        <f>E2034*(SQRT($C$2/C2034))</f>
        <v>0</v>
      </c>
      <c r="E2034">
        <v>0</v>
      </c>
      <c r="F2034">
        <v>1215</v>
      </c>
      <c r="G2034">
        <v>2000</v>
      </c>
      <c r="H2034">
        <f>CONVERT(G2034,"HP","kW")</f>
        <v>1491.3997431645405</v>
      </c>
      <c r="I2034">
        <v>0</v>
      </c>
      <c r="J2034">
        <v>0</v>
      </c>
      <c r="K2034">
        <v>0.53149999999999997</v>
      </c>
      <c r="L2034">
        <v>0.23849999999999999</v>
      </c>
      <c r="M2034">
        <v>0.26929999999999998</v>
      </c>
      <c r="N2034">
        <f>CONVERT(O2034,"lbf","N")</f>
        <v>20981.816537022252</v>
      </c>
      <c r="O2034">
        <v>4716.8999999999996</v>
      </c>
      <c r="P2034">
        <f t="shared" si="31"/>
        <v>1.1291404612159328</v>
      </c>
    </row>
    <row r="2035" spans="1:16" hidden="1" x14ac:dyDescent="0.25">
      <c r="A2035">
        <v>0</v>
      </c>
      <c r="B2035">
        <v>15000</v>
      </c>
      <c r="C2035">
        <f>1.225 * (1 - 0.00000687559 * B2035) ^ 4.2561</f>
        <v>0.77079726910167001</v>
      </c>
      <c r="D2035">
        <f>E2035*(SQRT($C$2/C2035))</f>
        <v>50.426398555066115</v>
      </c>
      <c r="E2035">
        <v>40</v>
      </c>
      <c r="F2035">
        <v>1215</v>
      </c>
      <c r="G2035">
        <v>2000</v>
      </c>
      <c r="H2035">
        <f>CONVERT(G2035,"HP","kW")</f>
        <v>1491.3997431645405</v>
      </c>
      <c r="I2035">
        <v>0.38340000000000002</v>
      </c>
      <c r="J2035">
        <v>0.32329999999999998</v>
      </c>
      <c r="K2035">
        <v>0.54430000000000001</v>
      </c>
      <c r="L2035">
        <v>0.23849999999999999</v>
      </c>
      <c r="M2035">
        <v>0.28289999999999998</v>
      </c>
      <c r="N2035">
        <f>CONVERT(O2035,"lbf","N")</f>
        <v>22044.941503069509</v>
      </c>
      <c r="O2035">
        <v>4955.8999999999996</v>
      </c>
      <c r="P2035">
        <f t="shared" si="31"/>
        <v>1.1861635220125786</v>
      </c>
    </row>
    <row r="2036" spans="1:16" hidden="1" x14ac:dyDescent="0.25">
      <c r="A2036">
        <v>0</v>
      </c>
      <c r="B2036">
        <v>15000</v>
      </c>
      <c r="C2036">
        <f>1.225 * (1 - 0.00000687559 * B2036) ^ 4.2561</f>
        <v>0.77079726910167001</v>
      </c>
      <c r="D2036">
        <f>E2036*(SQRT($C$2/C2036))</f>
        <v>75.639597832599179</v>
      </c>
      <c r="E2036">
        <v>60</v>
      </c>
      <c r="F2036">
        <v>1215</v>
      </c>
      <c r="G2036">
        <v>2000</v>
      </c>
      <c r="H2036">
        <f>CONVERT(G2036,"HP","kW")</f>
        <v>1491.3997431645405</v>
      </c>
      <c r="I2036">
        <v>0.55179999999999996</v>
      </c>
      <c r="J2036">
        <v>0.4849</v>
      </c>
      <c r="K2036">
        <v>0.55430000000000001</v>
      </c>
      <c r="L2036">
        <v>0.23849999999999999</v>
      </c>
      <c r="M2036">
        <v>0.27139999999999997</v>
      </c>
      <c r="N2036">
        <f>CONVERT(O2036,"lbf","N")</f>
        <v>21149.514491917573</v>
      </c>
      <c r="O2036">
        <v>4754.6000000000004</v>
      </c>
      <c r="P2036">
        <f t="shared" si="31"/>
        <v>1.1379454926624737</v>
      </c>
    </row>
    <row r="2037" spans="1:16" hidden="1" x14ac:dyDescent="0.25">
      <c r="A2037">
        <v>0</v>
      </c>
      <c r="B2037">
        <v>15000</v>
      </c>
      <c r="C2037">
        <f>1.225 * (1 - 0.00000687559 * B2037) ^ 4.2561</f>
        <v>0.77079726910167001</v>
      </c>
      <c r="D2037">
        <f>E2037*(SQRT($C$2/C2037))</f>
        <v>151.27919566519836</v>
      </c>
      <c r="E2037">
        <v>120</v>
      </c>
      <c r="F2037">
        <v>1215</v>
      </c>
      <c r="G2037">
        <v>2000</v>
      </c>
      <c r="H2037">
        <f>CONVERT(G2037,"HP","kW")</f>
        <v>1491.3997431645405</v>
      </c>
      <c r="I2037">
        <v>0.79830000000000001</v>
      </c>
      <c r="J2037">
        <v>0.96989999999999998</v>
      </c>
      <c r="K2037">
        <v>0.59650000000000003</v>
      </c>
      <c r="L2037">
        <v>0.23849999999999999</v>
      </c>
      <c r="M2037">
        <v>0.1963</v>
      </c>
      <c r="N2037">
        <f>CONVERT(O2037,"lbf","N")</f>
        <v>15297.434134880859</v>
      </c>
      <c r="O2037">
        <v>3439</v>
      </c>
      <c r="P2037">
        <f t="shared" si="31"/>
        <v>0.82306079664570231</v>
      </c>
    </row>
    <row r="2038" spans="1:16" s="7" customFormat="1" hidden="1" x14ac:dyDescent="0.25">
      <c r="A2038" s="7">
        <v>0</v>
      </c>
      <c r="B2038" s="7">
        <v>15000</v>
      </c>
      <c r="C2038" s="7">
        <f>1.225 * (1 - 0.00000687559 * B2038) ^ 4.2561</f>
        <v>0.77079726910167001</v>
      </c>
      <c r="D2038" s="7">
        <f>E2038*(SQRT($C$2/C2038))</f>
        <v>327.77159060792974</v>
      </c>
      <c r="E2038" s="7">
        <v>260</v>
      </c>
      <c r="F2038" s="7">
        <v>1215</v>
      </c>
      <c r="G2038" s="7">
        <v>2000</v>
      </c>
      <c r="H2038" s="7">
        <f>CONVERT(G2038,"HP","kW")</f>
        <v>1491.3997431645405</v>
      </c>
      <c r="I2038" s="7">
        <v>0.85089999999999999</v>
      </c>
      <c r="J2038" s="7">
        <v>2.1013999999999999</v>
      </c>
      <c r="K2038" s="7">
        <v>0.7571</v>
      </c>
      <c r="L2038" s="7">
        <v>0.23849999999999999</v>
      </c>
      <c r="M2038" s="7">
        <v>9.6600000000000005E-2</v>
      </c>
      <c r="N2038" s="7">
        <f>CONVERT(O2038,"lbf","N")</f>
        <v>7525.9461508592403</v>
      </c>
      <c r="O2038" s="7">
        <v>1691.9</v>
      </c>
      <c r="P2038" s="7">
        <f t="shared" si="31"/>
        <v>0.40503144654088052</v>
      </c>
    </row>
    <row r="2039" spans="1:16" hidden="1" x14ac:dyDescent="0.25">
      <c r="A2039">
        <v>0</v>
      </c>
      <c r="B2039">
        <v>15000</v>
      </c>
      <c r="C2039">
        <f>1.225 * (1 - 0.00000687559 * B2039) ^ 4.2561</f>
        <v>0.77079726910167001</v>
      </c>
      <c r="D2039">
        <f>E2039*(SQRT($C$2/C2039))</f>
        <v>100.85279711013223</v>
      </c>
      <c r="E2039">
        <v>80</v>
      </c>
      <c r="F2039">
        <v>1215</v>
      </c>
      <c r="G2039">
        <v>2000</v>
      </c>
      <c r="H2039">
        <f>CONVERT(G2039,"HP","kW")</f>
        <v>1491.3997431645405</v>
      </c>
      <c r="I2039">
        <v>0.66830000000000001</v>
      </c>
      <c r="J2039">
        <v>0.64659999999999995</v>
      </c>
      <c r="K2039">
        <v>0.5665</v>
      </c>
      <c r="L2039">
        <v>0.23860000000000001</v>
      </c>
      <c r="M2039">
        <v>0.24660000000000001</v>
      </c>
      <c r="N2039">
        <f>CONVERT(O2039,"lbf","N")</f>
        <v>19210.534689825519</v>
      </c>
      <c r="O2039">
        <v>4318.7</v>
      </c>
      <c r="P2039">
        <f t="shared" si="31"/>
        <v>1.0335289186923722</v>
      </c>
    </row>
    <row r="2040" spans="1:16" hidden="1" x14ac:dyDescent="0.25">
      <c r="A2040">
        <v>0</v>
      </c>
      <c r="B2040">
        <v>5000</v>
      </c>
      <c r="C2040">
        <f>1.225 * (1 - 0.00000687559 * B2040) ^ 4.2561</f>
        <v>1.0555380742846066</v>
      </c>
      <c r="D2040">
        <f>E2040*(SQRT($C$2/C2040))</f>
        <v>150.82006664263821</v>
      </c>
      <c r="E2040">
        <v>140</v>
      </c>
      <c r="F2040">
        <v>1215</v>
      </c>
      <c r="G2040">
        <v>2750</v>
      </c>
      <c r="H2040">
        <f>CONVERT(G2040,"HP","kW")</f>
        <v>2050.6746468512433</v>
      </c>
      <c r="I2040">
        <v>0.79769999999999996</v>
      </c>
      <c r="J2040">
        <v>0.96699999999999997</v>
      </c>
      <c r="K2040">
        <v>0.5746</v>
      </c>
      <c r="L2040">
        <v>0.2394</v>
      </c>
      <c r="M2040">
        <v>0.19750000000000001</v>
      </c>
      <c r="N2040">
        <f>CONVERT(O2040,"lbf","N")</f>
        <v>21082.791167688669</v>
      </c>
      <c r="O2040">
        <v>4739.6000000000004</v>
      </c>
      <c r="P2040">
        <f t="shared" si="31"/>
        <v>0.8249791144527987</v>
      </c>
    </row>
    <row r="2041" spans="1:16" hidden="1" x14ac:dyDescent="0.25">
      <c r="A2041">
        <v>0</v>
      </c>
      <c r="B2041">
        <v>5000</v>
      </c>
      <c r="C2041">
        <f>1.225 * (1 - 0.00000687559 * B2041) ^ 4.2561</f>
        <v>1.0555380742846066</v>
      </c>
      <c r="D2041">
        <f>E2041*(SQRT($C$2/C2041))</f>
        <v>172.3657904487294</v>
      </c>
      <c r="E2041">
        <v>160</v>
      </c>
      <c r="F2041">
        <v>1215</v>
      </c>
      <c r="G2041">
        <v>2750</v>
      </c>
      <c r="H2041">
        <f>CONVERT(G2041,"HP","kW")</f>
        <v>2050.6746468512433</v>
      </c>
      <c r="I2041">
        <v>0.83030000000000004</v>
      </c>
      <c r="J2041">
        <v>1.1051</v>
      </c>
      <c r="K2041">
        <v>0.58919999999999995</v>
      </c>
      <c r="L2041">
        <v>0.2394</v>
      </c>
      <c r="M2041">
        <v>0.1799</v>
      </c>
      <c r="N2041">
        <f>CONVERT(O2041,"lbf","N")</f>
        <v>19201.193424433477</v>
      </c>
      <c r="O2041">
        <v>4316.6000000000004</v>
      </c>
      <c r="P2041">
        <f t="shared" si="31"/>
        <v>0.75146198830409361</v>
      </c>
    </row>
    <row r="2042" spans="1:16" hidden="1" x14ac:dyDescent="0.25">
      <c r="A2042">
        <v>0</v>
      </c>
      <c r="B2042">
        <v>5000</v>
      </c>
      <c r="C2042">
        <f>1.225 * (1 - 0.00000687559 * B2042) ^ 4.2561</f>
        <v>1.0555380742846066</v>
      </c>
      <c r="D2042">
        <f>E2042*(SQRT($C$2/C2042))</f>
        <v>193.91151425482059</v>
      </c>
      <c r="E2042">
        <v>180</v>
      </c>
      <c r="F2042">
        <v>1215</v>
      </c>
      <c r="G2042">
        <v>2750</v>
      </c>
      <c r="H2042">
        <f>CONVERT(G2042,"HP","kW")</f>
        <v>2050.6746468512433</v>
      </c>
      <c r="I2042">
        <v>0.85389999999999999</v>
      </c>
      <c r="J2042">
        <v>1.2432000000000001</v>
      </c>
      <c r="K2042">
        <v>0.60519999999999996</v>
      </c>
      <c r="L2042">
        <v>0.2394</v>
      </c>
      <c r="M2042">
        <v>0.16439999999999999</v>
      </c>
      <c r="N2042">
        <f>CONVERT(O2042,"lbf","N")</f>
        <v>17553.127315979458</v>
      </c>
      <c r="O2042">
        <v>3946.1</v>
      </c>
      <c r="P2042">
        <f t="shared" si="31"/>
        <v>0.68671679197994984</v>
      </c>
    </row>
    <row r="2043" spans="1:16" hidden="1" x14ac:dyDescent="0.25">
      <c r="A2043">
        <v>0</v>
      </c>
      <c r="B2043">
        <v>5000</v>
      </c>
      <c r="C2043">
        <f>1.225 * (1 - 0.00000687559 * B2043) ^ 4.2561</f>
        <v>1.0555380742846066</v>
      </c>
      <c r="D2043">
        <f>E2043*(SQRT($C$2/C2043))</f>
        <v>215.45723806091175</v>
      </c>
      <c r="E2043">
        <v>200</v>
      </c>
      <c r="F2043">
        <v>1215</v>
      </c>
      <c r="G2043">
        <v>2750</v>
      </c>
      <c r="H2043">
        <f>CONVERT(G2043,"HP","kW")</f>
        <v>2050.6746468512433</v>
      </c>
      <c r="I2043">
        <v>0.87080000000000002</v>
      </c>
      <c r="J2043">
        <v>1.3814</v>
      </c>
      <c r="K2043">
        <v>0.62239999999999995</v>
      </c>
      <c r="L2043">
        <v>0.2394</v>
      </c>
      <c r="M2043">
        <v>0.15090000000000001</v>
      </c>
      <c r="N2043">
        <f>CONVERT(O2043,"lbf","N")</f>
        <v>16110.124223988953</v>
      </c>
      <c r="O2043">
        <v>3621.7</v>
      </c>
      <c r="P2043">
        <f t="shared" si="31"/>
        <v>0.63032581453634084</v>
      </c>
    </row>
    <row r="2044" spans="1:16" hidden="1" x14ac:dyDescent="0.25">
      <c r="A2044">
        <v>0</v>
      </c>
      <c r="B2044">
        <v>5000</v>
      </c>
      <c r="C2044">
        <f>1.225 * (1 - 0.00000687559 * B2044) ^ 4.2561</f>
        <v>1.0555380742846066</v>
      </c>
      <c r="D2044">
        <f>E2044*(SQRT($C$2/C2044))</f>
        <v>237.00296186700291</v>
      </c>
      <c r="E2044">
        <v>220</v>
      </c>
      <c r="F2044">
        <v>1215</v>
      </c>
      <c r="G2044">
        <v>2750</v>
      </c>
      <c r="H2044">
        <f>CONVERT(G2044,"HP","kW")</f>
        <v>2050.6746468512433</v>
      </c>
      <c r="I2044">
        <v>0.88260000000000005</v>
      </c>
      <c r="J2044">
        <v>1.5195000000000001</v>
      </c>
      <c r="K2044">
        <v>0.64080000000000004</v>
      </c>
      <c r="L2044">
        <v>0.2394</v>
      </c>
      <c r="M2044">
        <v>0.1391</v>
      </c>
      <c r="N2044">
        <f>CONVERT(O2044,"lbf","N")</f>
        <v>14844.605174447341</v>
      </c>
      <c r="O2044">
        <v>3337.2</v>
      </c>
      <c r="P2044">
        <f t="shared" si="31"/>
        <v>0.58103592314118635</v>
      </c>
    </row>
    <row r="2045" spans="1:16" hidden="1" x14ac:dyDescent="0.25">
      <c r="A2045">
        <v>0</v>
      </c>
      <c r="B2045">
        <v>5000</v>
      </c>
      <c r="C2045">
        <f>1.225 * (1 - 0.00000687559 * B2045) ^ 4.2561</f>
        <v>1.0555380742846066</v>
      </c>
      <c r="D2045">
        <f>E2045*(SQRT($C$2/C2045))</f>
        <v>0</v>
      </c>
      <c r="E2045">
        <v>0</v>
      </c>
      <c r="F2045">
        <v>1215</v>
      </c>
      <c r="G2045">
        <v>2750</v>
      </c>
      <c r="H2045">
        <f>CONVERT(G2045,"HP","kW")</f>
        <v>2050.6746468512433</v>
      </c>
      <c r="I2045">
        <v>0</v>
      </c>
      <c r="J2045">
        <v>0</v>
      </c>
      <c r="K2045">
        <v>0.51229999999999998</v>
      </c>
      <c r="L2045">
        <v>0.23949999999999999</v>
      </c>
      <c r="M2045">
        <v>0.26979999999999998</v>
      </c>
      <c r="N2045">
        <f>CONVERT(O2045,"lbf","N")</f>
        <v>28793.783337742745</v>
      </c>
      <c r="O2045">
        <v>6473.1</v>
      </c>
      <c r="P2045">
        <f t="shared" si="31"/>
        <v>1.1265135699373694</v>
      </c>
    </row>
    <row r="2046" spans="1:16" hidden="1" x14ac:dyDescent="0.25">
      <c r="A2046">
        <v>0</v>
      </c>
      <c r="B2046">
        <v>5000</v>
      </c>
      <c r="C2046">
        <f>1.225 * (1 - 0.00000687559 * B2046) ^ 4.2561</f>
        <v>1.0555380742846066</v>
      </c>
      <c r="D2046">
        <f>E2046*(SQRT($C$2/C2046))</f>
        <v>21.545723806091175</v>
      </c>
      <c r="E2046">
        <v>20</v>
      </c>
      <c r="F2046">
        <v>1215</v>
      </c>
      <c r="G2046">
        <v>2750</v>
      </c>
      <c r="H2046">
        <f>CONVERT(G2046,"HP","kW")</f>
        <v>2050.6746468512433</v>
      </c>
      <c r="I2046">
        <v>0.16009999999999999</v>
      </c>
      <c r="J2046">
        <v>0.1381</v>
      </c>
      <c r="K2046">
        <v>0.51670000000000005</v>
      </c>
      <c r="L2046">
        <v>0.23949999999999999</v>
      </c>
      <c r="M2046">
        <v>0.27750000000000002</v>
      </c>
      <c r="N2046">
        <f>CONVERT(O2046,"lbf","N")</f>
        <v>29617.149158727461</v>
      </c>
      <c r="O2046">
        <v>6658.2</v>
      </c>
      <c r="P2046">
        <f t="shared" si="31"/>
        <v>1.1586638830897704</v>
      </c>
    </row>
    <row r="2047" spans="1:16" hidden="1" x14ac:dyDescent="0.25">
      <c r="A2047">
        <v>0</v>
      </c>
      <c r="B2047">
        <v>5000</v>
      </c>
      <c r="C2047">
        <f>1.225 * (1 - 0.00000687559 * B2047) ^ 4.2561</f>
        <v>1.0555380742846066</v>
      </c>
      <c r="D2047">
        <f>E2047*(SQRT($C$2/C2047))</f>
        <v>43.09144761218235</v>
      </c>
      <c r="E2047">
        <v>40</v>
      </c>
      <c r="F2047">
        <v>1215</v>
      </c>
      <c r="G2047">
        <v>2750</v>
      </c>
      <c r="H2047">
        <f>CONVERT(G2047,"HP","kW")</f>
        <v>2050.6746468512433</v>
      </c>
      <c r="I2047">
        <v>0.32679999999999998</v>
      </c>
      <c r="J2047">
        <v>0.27629999999999999</v>
      </c>
      <c r="K2047">
        <v>0.52229999999999999</v>
      </c>
      <c r="L2047">
        <v>0.23949999999999999</v>
      </c>
      <c r="M2047">
        <v>0.2833</v>
      </c>
      <c r="N2047">
        <f>CONVERT(O2047,"lbf","N")</f>
        <v>30228.779630825782</v>
      </c>
      <c r="O2047">
        <v>6795.7</v>
      </c>
      <c r="P2047">
        <f t="shared" si="31"/>
        <v>1.1828810020876828</v>
      </c>
    </row>
    <row r="2048" spans="1:16" hidden="1" x14ac:dyDescent="0.25">
      <c r="A2048">
        <v>0</v>
      </c>
      <c r="B2048">
        <v>5000</v>
      </c>
      <c r="C2048">
        <f>1.225 * (1 - 0.00000687559 * B2048) ^ 4.2561</f>
        <v>1.0555380742846066</v>
      </c>
      <c r="D2048">
        <f>E2048*(SQRT($C$2/C2048))</f>
        <v>64.637171418273525</v>
      </c>
      <c r="E2048">
        <v>60</v>
      </c>
      <c r="F2048">
        <v>1215</v>
      </c>
      <c r="G2048">
        <v>2750</v>
      </c>
      <c r="H2048">
        <f>CONVERT(G2048,"HP","kW")</f>
        <v>2050.6746468512433</v>
      </c>
      <c r="I2048">
        <v>0.48499999999999999</v>
      </c>
      <c r="J2048">
        <v>0.41439999999999999</v>
      </c>
      <c r="K2048">
        <v>0.52969999999999995</v>
      </c>
      <c r="L2048">
        <v>0.23949999999999999</v>
      </c>
      <c r="M2048">
        <v>0.28029999999999999</v>
      </c>
      <c r="N2048">
        <f>CONVERT(O2048,"lbf","N")</f>
        <v>29908.507674527023</v>
      </c>
      <c r="O2048">
        <v>6723.7</v>
      </c>
      <c r="P2048">
        <f t="shared" si="31"/>
        <v>1.1703549060542797</v>
      </c>
    </row>
    <row r="2049" spans="1:16" hidden="1" x14ac:dyDescent="0.25">
      <c r="A2049">
        <v>0</v>
      </c>
      <c r="B2049">
        <v>5000</v>
      </c>
      <c r="C2049">
        <f>1.225 * (1 - 0.00000687559 * B2049) ^ 4.2561</f>
        <v>1.0555380742846066</v>
      </c>
      <c r="D2049">
        <f>E2049*(SQRT($C$2/C2049))</f>
        <v>129.27434283654705</v>
      </c>
      <c r="E2049">
        <v>120</v>
      </c>
      <c r="F2049">
        <v>1215</v>
      </c>
      <c r="G2049">
        <v>2750</v>
      </c>
      <c r="H2049">
        <f>CONVERT(G2049,"HP","kW")</f>
        <v>2050.6746468512433</v>
      </c>
      <c r="I2049">
        <v>0.75290000000000001</v>
      </c>
      <c r="J2049">
        <v>0.82879999999999998</v>
      </c>
      <c r="K2049">
        <v>0.56130000000000002</v>
      </c>
      <c r="L2049">
        <v>0.23949999999999999</v>
      </c>
      <c r="M2049">
        <v>0.21759999999999999</v>
      </c>
      <c r="N2049">
        <f>CONVERT(O2049,"lbf","N")</f>
        <v>23216.603076529133</v>
      </c>
      <c r="O2049">
        <v>5219.3</v>
      </c>
      <c r="P2049">
        <f t="shared" si="31"/>
        <v>0.90855949895615862</v>
      </c>
    </row>
    <row r="2050" spans="1:16" hidden="1" x14ac:dyDescent="0.25">
      <c r="A2050">
        <v>0</v>
      </c>
      <c r="B2050">
        <v>5000</v>
      </c>
      <c r="C2050">
        <f>1.225 * (1 - 0.00000687559 * B2050) ^ 4.2561</f>
        <v>1.0555380742846066</v>
      </c>
      <c r="D2050">
        <f>E2050*(SQRT($C$2/C2050))</f>
        <v>258.5486856730941</v>
      </c>
      <c r="E2050">
        <v>240</v>
      </c>
      <c r="F2050">
        <v>1215</v>
      </c>
      <c r="G2050">
        <v>2750</v>
      </c>
      <c r="H2050">
        <f>CONVERT(G2050,"HP","kW")</f>
        <v>2050.6746468512433</v>
      </c>
      <c r="I2050">
        <v>0.89049999999999996</v>
      </c>
      <c r="J2050">
        <v>1.6577</v>
      </c>
      <c r="K2050">
        <v>0.6603</v>
      </c>
      <c r="L2050">
        <v>0.23949999999999999</v>
      </c>
      <c r="M2050">
        <v>0.12859999999999999</v>
      </c>
      <c r="N2050">
        <f>CONVERT(O2050,"lbf","N")</f>
        <v>13728.991193340009</v>
      </c>
      <c r="O2050">
        <v>3086.4</v>
      </c>
      <c r="P2050">
        <f t="shared" si="31"/>
        <v>0.53695198329853866</v>
      </c>
    </row>
    <row r="2051" spans="1:16" hidden="1" x14ac:dyDescent="0.25">
      <c r="A2051">
        <v>0</v>
      </c>
      <c r="B2051">
        <v>5000</v>
      </c>
      <c r="C2051">
        <f>1.225 * (1 - 0.00000687559 * B2051) ^ 4.2561</f>
        <v>1.0555380742846066</v>
      </c>
      <c r="D2051">
        <f>E2051*(SQRT($C$2/C2051))</f>
        <v>280.09440947918529</v>
      </c>
      <c r="E2051">
        <v>260</v>
      </c>
      <c r="F2051">
        <v>1215</v>
      </c>
      <c r="G2051">
        <v>2750</v>
      </c>
      <c r="H2051">
        <f>CONVERT(G2051,"HP","kW")</f>
        <v>2050.6746468512433</v>
      </c>
      <c r="I2051">
        <v>0.89500000000000002</v>
      </c>
      <c r="J2051">
        <v>1.7958000000000001</v>
      </c>
      <c r="K2051">
        <v>0.68089999999999995</v>
      </c>
      <c r="L2051">
        <v>0.23949999999999999</v>
      </c>
      <c r="M2051">
        <v>0.1193</v>
      </c>
      <c r="N2051">
        <f>CONVERT(O2051,"lbf","N")</f>
        <v>12736.592950975391</v>
      </c>
      <c r="O2051">
        <v>2863.3</v>
      </c>
      <c r="P2051">
        <f t="shared" ref="P2051:P2114" si="32">M2051/L2051</f>
        <v>0.49812108559498958</v>
      </c>
    </row>
    <row r="2052" spans="1:16" hidden="1" x14ac:dyDescent="0.25">
      <c r="A2052">
        <v>0</v>
      </c>
      <c r="B2052">
        <v>10000</v>
      </c>
      <c r="C2052">
        <f>1.225 * (1 - 0.00000687559 * B2052) ^ 4.2561</f>
        <v>0.90462252368600637</v>
      </c>
      <c r="D2052">
        <f>E2052*(SQRT($C$2/C2052))</f>
        <v>69.820924711962206</v>
      </c>
      <c r="E2052">
        <v>60</v>
      </c>
      <c r="F2052">
        <v>1150</v>
      </c>
      <c r="G2052">
        <v>2000</v>
      </c>
      <c r="H2052">
        <f>CONVERT(G2052,"HP","kW")</f>
        <v>1491.3997431645405</v>
      </c>
      <c r="I2052">
        <v>0.54310000000000003</v>
      </c>
      <c r="J2052">
        <v>0.47289999999999999</v>
      </c>
      <c r="K2052">
        <v>0.5141</v>
      </c>
      <c r="L2052">
        <v>0.23960000000000001</v>
      </c>
      <c r="M2052">
        <v>0.2752</v>
      </c>
      <c r="N2052">
        <f>CONVERT(O2052,"lbf","N")</f>
        <v>22551.593945047684</v>
      </c>
      <c r="O2052">
        <v>5069.8</v>
      </c>
      <c r="P2052">
        <f t="shared" si="32"/>
        <v>1.1485809682804675</v>
      </c>
    </row>
    <row r="2053" spans="1:16" hidden="1" x14ac:dyDescent="0.25">
      <c r="A2053">
        <v>0</v>
      </c>
      <c r="B2053">
        <v>10000</v>
      </c>
      <c r="C2053">
        <f>1.225 * (1 - 0.00000687559 * B2053) ^ 4.2561</f>
        <v>0.90462252368600637</v>
      </c>
      <c r="D2053">
        <f>E2053*(SQRT($C$2/C2053))</f>
        <v>139.64184942392441</v>
      </c>
      <c r="E2053">
        <v>120</v>
      </c>
      <c r="F2053">
        <v>1150</v>
      </c>
      <c r="G2053">
        <v>2000</v>
      </c>
      <c r="H2053">
        <f>CONVERT(G2053,"HP","kW")</f>
        <v>1491.3997431645405</v>
      </c>
      <c r="I2053">
        <v>0.7923</v>
      </c>
      <c r="J2053">
        <v>0.94589999999999996</v>
      </c>
      <c r="K2053">
        <v>0.55179999999999996</v>
      </c>
      <c r="L2053">
        <v>0.23960000000000001</v>
      </c>
      <c r="M2053">
        <v>0.20069999999999999</v>
      </c>
      <c r="N2053">
        <f>CONVERT(O2053,"lbf","N")</f>
        <v>16449.523533233329</v>
      </c>
      <c r="O2053">
        <v>3698</v>
      </c>
      <c r="P2053">
        <f t="shared" si="32"/>
        <v>0.83764607679465775</v>
      </c>
    </row>
    <row r="2054" spans="1:16" hidden="1" x14ac:dyDescent="0.25">
      <c r="A2054">
        <v>0</v>
      </c>
      <c r="B2054">
        <v>5000</v>
      </c>
      <c r="C2054">
        <f>1.225 * (1 - 0.00000687559 * B2054) ^ 4.2561</f>
        <v>1.0555380742846066</v>
      </c>
      <c r="D2054">
        <f>E2054*(SQRT($C$2/C2054))</f>
        <v>107.72861903045587</v>
      </c>
      <c r="E2054">
        <v>100</v>
      </c>
      <c r="F2054">
        <v>1215</v>
      </c>
      <c r="G2054">
        <v>2750</v>
      </c>
      <c r="H2054">
        <f>CONVERT(G2054,"HP","kW")</f>
        <v>2050.6746468512433</v>
      </c>
      <c r="I2054">
        <v>0.69199999999999995</v>
      </c>
      <c r="J2054">
        <v>0.69069999999999998</v>
      </c>
      <c r="K2054">
        <v>0.5494</v>
      </c>
      <c r="L2054">
        <v>0.23960000000000001</v>
      </c>
      <c r="M2054">
        <v>0.24010000000000001</v>
      </c>
      <c r="N2054">
        <f>CONVERT(O2054,"lbf","N")</f>
        <v>25604.853261762491</v>
      </c>
      <c r="O2054">
        <v>5756.2</v>
      </c>
      <c r="P2054">
        <f t="shared" si="32"/>
        <v>1.0020868113522539</v>
      </c>
    </row>
    <row r="2055" spans="1:16" hidden="1" x14ac:dyDescent="0.25">
      <c r="A2055">
        <v>0</v>
      </c>
      <c r="B2055">
        <v>10000</v>
      </c>
      <c r="C2055">
        <f>1.225 * (1 - 0.00000687559 * B2055) ^ 4.2561</f>
        <v>0.90462252368600637</v>
      </c>
      <c r="D2055">
        <f>E2055*(SQRT($C$2/C2055))</f>
        <v>0</v>
      </c>
      <c r="E2055">
        <v>0</v>
      </c>
      <c r="F2055">
        <v>1150</v>
      </c>
      <c r="G2055">
        <v>2000</v>
      </c>
      <c r="H2055">
        <f>CONVERT(G2055,"HP","kW")</f>
        <v>1491.3997431645405</v>
      </c>
      <c r="I2055">
        <v>0</v>
      </c>
      <c r="J2055">
        <v>0</v>
      </c>
      <c r="K2055">
        <v>0.49380000000000002</v>
      </c>
      <c r="L2055">
        <v>0.2397</v>
      </c>
      <c r="M2055">
        <v>0.27129999999999999</v>
      </c>
      <c r="N2055">
        <f>CONVERT(O2055,"lbf","N")</f>
        <v>22229.097877941298</v>
      </c>
      <c r="O2055">
        <v>4997.3</v>
      </c>
      <c r="P2055">
        <f t="shared" si="32"/>
        <v>1.13183145598665</v>
      </c>
    </row>
    <row r="2056" spans="1:16" hidden="1" x14ac:dyDescent="0.25">
      <c r="A2056">
        <v>0</v>
      </c>
      <c r="B2056">
        <v>10000</v>
      </c>
      <c r="C2056">
        <f>1.225 * (1 - 0.00000687559 * B2056) ^ 4.2561</f>
        <v>0.90462252368600637</v>
      </c>
      <c r="D2056">
        <f>E2056*(SQRT($C$2/C2056))</f>
        <v>23.273641570654068</v>
      </c>
      <c r="E2056">
        <v>20</v>
      </c>
      <c r="F2056">
        <v>1150</v>
      </c>
      <c r="G2056">
        <v>2000</v>
      </c>
      <c r="H2056">
        <f>CONVERT(G2056,"HP","kW")</f>
        <v>1491.3997431645405</v>
      </c>
      <c r="I2056">
        <v>0.1842</v>
      </c>
      <c r="J2056">
        <v>0.15759999999999999</v>
      </c>
      <c r="K2056">
        <v>0.49869999999999998</v>
      </c>
      <c r="L2056">
        <v>0.2397</v>
      </c>
      <c r="M2056">
        <v>0.28000000000000003</v>
      </c>
      <c r="N2056">
        <f>CONVERT(O2056,"lbf","N")</f>
        <v>22945.261557998238</v>
      </c>
      <c r="O2056">
        <v>5158.3</v>
      </c>
      <c r="P2056">
        <f t="shared" si="32"/>
        <v>1.1681268251981645</v>
      </c>
    </row>
    <row r="2057" spans="1:16" hidden="1" x14ac:dyDescent="0.25">
      <c r="A2057">
        <v>0</v>
      </c>
      <c r="B2057">
        <v>10000</v>
      </c>
      <c r="C2057">
        <f>1.225 * (1 - 0.00000687559 * B2057) ^ 4.2561</f>
        <v>0.90462252368600637</v>
      </c>
      <c r="D2057">
        <f>E2057*(SQRT($C$2/C2057))</f>
        <v>116.36820785327033</v>
      </c>
      <c r="E2057">
        <v>100</v>
      </c>
      <c r="F2057">
        <v>1150</v>
      </c>
      <c r="G2057">
        <v>2000</v>
      </c>
      <c r="H2057">
        <f>CONVERT(G2057,"HP","kW")</f>
        <v>1491.3997431645405</v>
      </c>
      <c r="I2057">
        <v>0.73750000000000004</v>
      </c>
      <c r="J2057">
        <v>0.78820000000000001</v>
      </c>
      <c r="K2057">
        <v>0.53749999999999998</v>
      </c>
      <c r="L2057">
        <v>0.2397</v>
      </c>
      <c r="M2057">
        <v>0.2243</v>
      </c>
      <c r="N2057">
        <f>CONVERT(O2057,"lbf","N")</f>
        <v>18374.713848318075</v>
      </c>
      <c r="O2057">
        <v>4130.8</v>
      </c>
      <c r="P2057">
        <f t="shared" si="32"/>
        <v>0.93575302461410093</v>
      </c>
    </row>
    <row r="2058" spans="1:16" hidden="1" x14ac:dyDescent="0.25">
      <c r="A2058">
        <v>0</v>
      </c>
      <c r="B2058">
        <v>10000</v>
      </c>
      <c r="C2058">
        <f>1.225 * (1 - 0.00000687559 * B2058) ^ 4.2561</f>
        <v>0.90462252368600637</v>
      </c>
      <c r="D2058">
        <f>E2058*(SQRT($C$2/C2058))</f>
        <v>162.91549099457848</v>
      </c>
      <c r="E2058">
        <v>140</v>
      </c>
      <c r="F2058">
        <v>1150</v>
      </c>
      <c r="G2058">
        <v>2000</v>
      </c>
      <c r="H2058">
        <f>CONVERT(G2058,"HP","kW")</f>
        <v>1491.3997431645405</v>
      </c>
      <c r="I2058">
        <v>0.83050000000000002</v>
      </c>
      <c r="J2058">
        <v>1.1034999999999999</v>
      </c>
      <c r="K2058">
        <v>0.56769999999999998</v>
      </c>
      <c r="L2058">
        <v>0.2397</v>
      </c>
      <c r="M2058">
        <v>0.1804</v>
      </c>
      <c r="N2058">
        <f>CONVERT(O2058,"lbf","N")</f>
        <v>14778.326672379961</v>
      </c>
      <c r="O2058">
        <v>3322.3</v>
      </c>
      <c r="P2058">
        <f t="shared" si="32"/>
        <v>0.75260742594910313</v>
      </c>
    </row>
    <row r="2059" spans="1:16" hidden="1" x14ac:dyDescent="0.25">
      <c r="A2059">
        <v>0</v>
      </c>
      <c r="B2059">
        <v>10000</v>
      </c>
      <c r="C2059">
        <f>1.225 * (1 - 0.00000687559 * B2059) ^ 4.2561</f>
        <v>0.90462252368600637</v>
      </c>
      <c r="D2059">
        <f>E2059*(SQRT($C$2/C2059))</f>
        <v>186.18913256523254</v>
      </c>
      <c r="E2059">
        <v>160</v>
      </c>
      <c r="F2059">
        <v>1150</v>
      </c>
      <c r="G2059">
        <v>2000</v>
      </c>
      <c r="H2059">
        <f>CONVERT(G2059,"HP","kW")</f>
        <v>1491.3997431645405</v>
      </c>
      <c r="I2059">
        <v>0.85670000000000002</v>
      </c>
      <c r="J2059">
        <v>1.2612000000000001</v>
      </c>
      <c r="K2059">
        <v>0.58540000000000003</v>
      </c>
      <c r="L2059">
        <v>0.2397</v>
      </c>
      <c r="M2059">
        <v>0.1628</v>
      </c>
      <c r="N2059">
        <f>CONVERT(O2059,"lbf","N")</f>
        <v>13339.771802004714</v>
      </c>
      <c r="O2059">
        <v>2998.9</v>
      </c>
      <c r="P2059">
        <f t="shared" si="32"/>
        <v>0.67918231122236128</v>
      </c>
    </row>
    <row r="2060" spans="1:16" hidden="1" x14ac:dyDescent="0.25">
      <c r="A2060">
        <v>0</v>
      </c>
      <c r="B2060">
        <v>10000</v>
      </c>
      <c r="C2060">
        <f>1.225 * (1 - 0.00000687559 * B2060) ^ 4.2561</f>
        <v>0.90462252368600637</v>
      </c>
      <c r="D2060">
        <f>E2060*(SQRT($C$2/C2060))</f>
        <v>209.4627741358866</v>
      </c>
      <c r="E2060">
        <v>180</v>
      </c>
      <c r="F2060">
        <v>1150</v>
      </c>
      <c r="G2060">
        <v>2000</v>
      </c>
      <c r="H2060">
        <f>CONVERT(G2060,"HP","kW")</f>
        <v>1491.3997431645405</v>
      </c>
      <c r="I2060">
        <v>0.87450000000000006</v>
      </c>
      <c r="J2060">
        <v>1.4188000000000001</v>
      </c>
      <c r="K2060">
        <v>0.60460000000000003</v>
      </c>
      <c r="L2060">
        <v>0.2397</v>
      </c>
      <c r="M2060">
        <v>0.1477</v>
      </c>
      <c r="N2060">
        <f>CONVERT(O2060,"lbf","N")</f>
        <v>12104.055837285347</v>
      </c>
      <c r="O2060">
        <v>2721.1</v>
      </c>
      <c r="P2060">
        <f t="shared" si="32"/>
        <v>0.61618690029203171</v>
      </c>
    </row>
    <row r="2061" spans="1:16" hidden="1" x14ac:dyDescent="0.25">
      <c r="A2061">
        <v>0</v>
      </c>
      <c r="B2061">
        <v>10000</v>
      </c>
      <c r="C2061">
        <f>1.225 * (1 - 0.00000687559 * B2061) ^ 4.2561</f>
        <v>0.90462252368600637</v>
      </c>
      <c r="D2061">
        <f>E2061*(SQRT($C$2/C2061))</f>
        <v>232.73641570654067</v>
      </c>
      <c r="E2061">
        <v>200</v>
      </c>
      <c r="F2061">
        <v>1150</v>
      </c>
      <c r="G2061">
        <v>2000</v>
      </c>
      <c r="H2061">
        <f>CONVERT(G2061,"HP","kW")</f>
        <v>1491.3997431645405</v>
      </c>
      <c r="I2061">
        <v>0.88629999999999998</v>
      </c>
      <c r="J2061">
        <v>1.5765</v>
      </c>
      <c r="K2061">
        <v>0.62529999999999997</v>
      </c>
      <c r="L2061">
        <v>0.2397</v>
      </c>
      <c r="M2061">
        <v>0.13469999999999999</v>
      </c>
      <c r="N2061">
        <f>CONVERT(O2061,"lbf","N")</f>
        <v>11040.041226915035</v>
      </c>
      <c r="O2061">
        <v>2481.9</v>
      </c>
      <c r="P2061">
        <f t="shared" si="32"/>
        <v>0.56195244055068827</v>
      </c>
    </row>
    <row r="2062" spans="1:16" hidden="1" x14ac:dyDescent="0.25">
      <c r="A2062">
        <v>0</v>
      </c>
      <c r="B2062">
        <v>10000</v>
      </c>
      <c r="C2062">
        <f>1.225 * (1 - 0.00000687559 * B2062) ^ 4.2561</f>
        <v>0.90462252368600637</v>
      </c>
      <c r="D2062">
        <f>E2062*(SQRT($C$2/C2062))</f>
        <v>256.01005727719473</v>
      </c>
      <c r="E2062">
        <v>220</v>
      </c>
      <c r="F2062">
        <v>1150</v>
      </c>
      <c r="G2062">
        <v>2000</v>
      </c>
      <c r="H2062">
        <f>CONVERT(G2062,"HP","kW")</f>
        <v>1491.3997431645405</v>
      </c>
      <c r="I2062">
        <v>0.89339999999999997</v>
      </c>
      <c r="J2062">
        <v>1.7341</v>
      </c>
      <c r="K2062">
        <v>0.64729999999999999</v>
      </c>
      <c r="L2062">
        <v>0.2397</v>
      </c>
      <c r="M2062">
        <v>0.1235</v>
      </c>
      <c r="N2062">
        <f>CONVERT(O2062,"lbf","N")</f>
        <v>10117.035241748483</v>
      </c>
      <c r="O2062">
        <v>2274.4</v>
      </c>
      <c r="P2062">
        <f t="shared" si="32"/>
        <v>0.51522736754276177</v>
      </c>
    </row>
    <row r="2063" spans="1:16" s="7" customFormat="1" hidden="1" x14ac:dyDescent="0.25">
      <c r="A2063" s="7">
        <v>0</v>
      </c>
      <c r="B2063" s="7">
        <v>10000</v>
      </c>
      <c r="C2063" s="7">
        <f>1.225 * (1 - 0.00000687559 * B2063) ^ 4.2561</f>
        <v>0.90462252368600637</v>
      </c>
      <c r="D2063" s="7">
        <f>E2063*(SQRT($C$2/C2063))</f>
        <v>279.28369884784883</v>
      </c>
      <c r="E2063" s="7">
        <v>240</v>
      </c>
      <c r="F2063" s="7">
        <v>1150</v>
      </c>
      <c r="G2063" s="7">
        <v>2000</v>
      </c>
      <c r="H2063" s="7">
        <f>CONVERT(G2063,"HP","kW")</f>
        <v>1491.3997431645405</v>
      </c>
      <c r="I2063" s="7">
        <v>0.89649999999999996</v>
      </c>
      <c r="J2063" s="7">
        <v>1.8917999999999999</v>
      </c>
      <c r="K2063" s="7">
        <v>0.67059999999999997</v>
      </c>
      <c r="L2063" s="7">
        <v>0.2397</v>
      </c>
      <c r="M2063" s="7">
        <v>0.11360000000000001</v>
      </c>
      <c r="N2063" s="7">
        <f>CONVERT(O2063,"lbf","N")</f>
        <v>9306.5692634480183</v>
      </c>
      <c r="O2063" s="7">
        <v>2092.1999999999998</v>
      </c>
      <c r="P2063" s="7">
        <f t="shared" si="32"/>
        <v>0.47392574050896957</v>
      </c>
    </row>
    <row r="2064" spans="1:16" s="7" customFormat="1" hidden="1" x14ac:dyDescent="0.25">
      <c r="A2064" s="7">
        <v>0</v>
      </c>
      <c r="B2064" s="7">
        <v>10000</v>
      </c>
      <c r="C2064" s="7">
        <f>1.225 * (1 - 0.00000687559 * B2064) ^ 4.2561</f>
        <v>0.90462252368600637</v>
      </c>
      <c r="D2064" s="7">
        <f>E2064*(SQRT($C$2/C2064))</f>
        <v>302.55734041850286</v>
      </c>
      <c r="E2064" s="7">
        <v>260</v>
      </c>
      <c r="F2064" s="7">
        <v>1150</v>
      </c>
      <c r="G2064" s="7">
        <v>2000</v>
      </c>
      <c r="H2064" s="7">
        <f>CONVERT(G2064,"HP","kW")</f>
        <v>1491.3997431645405</v>
      </c>
      <c r="I2064" s="7">
        <v>0.89410000000000001</v>
      </c>
      <c r="J2064" s="7">
        <v>2.0493999999999999</v>
      </c>
      <c r="K2064" s="7">
        <v>0.69499999999999995</v>
      </c>
      <c r="L2064" s="7">
        <v>0.2397</v>
      </c>
      <c r="M2064" s="7">
        <v>0.1046</v>
      </c>
      <c r="N2064" s="7">
        <f>CONVERT(O2064,"lbf","N")</f>
        <v>8567.2748309917242</v>
      </c>
      <c r="O2064" s="7">
        <v>1926</v>
      </c>
      <c r="P2064" s="7">
        <f t="shared" si="32"/>
        <v>0.43637880684188568</v>
      </c>
    </row>
    <row r="2065" spans="1:16" hidden="1" x14ac:dyDescent="0.25">
      <c r="A2065">
        <v>0</v>
      </c>
      <c r="B2065">
        <v>10000</v>
      </c>
      <c r="C2065">
        <f>1.225 * (1 - 0.00000687559 * B2065) ^ 4.2561</f>
        <v>0.90462252368600637</v>
      </c>
      <c r="D2065">
        <f>E2065*(SQRT($C$2/C2065))</f>
        <v>46.547283141308135</v>
      </c>
      <c r="E2065">
        <v>40</v>
      </c>
      <c r="F2065">
        <v>1150</v>
      </c>
      <c r="G2065">
        <v>2000</v>
      </c>
      <c r="H2065">
        <f>CONVERT(G2065,"HP","kW")</f>
        <v>1491.3997431645405</v>
      </c>
      <c r="I2065">
        <v>0.37469999999999998</v>
      </c>
      <c r="J2065">
        <v>0.31530000000000002</v>
      </c>
      <c r="K2065">
        <v>0.50519999999999998</v>
      </c>
      <c r="L2065">
        <v>0.23980000000000001</v>
      </c>
      <c r="M2065">
        <v>0.28499999999999998</v>
      </c>
      <c r="N2065">
        <f>CONVERT(O2065,"lbf","N")</f>
        <v>23337.594704464213</v>
      </c>
      <c r="O2065">
        <v>5246.5</v>
      </c>
      <c r="P2065">
        <f t="shared" si="32"/>
        <v>1.1884904086738948</v>
      </c>
    </row>
    <row r="2066" spans="1:16" hidden="1" x14ac:dyDescent="0.25">
      <c r="A2066">
        <v>0</v>
      </c>
      <c r="B2066">
        <v>10000</v>
      </c>
      <c r="C2066">
        <f>1.225 * (1 - 0.00000687559 * B2066) ^ 4.2561</f>
        <v>0.90462252368600637</v>
      </c>
      <c r="D2066">
        <f>E2066*(SQRT($C$2/C2066))</f>
        <v>93.09456628261627</v>
      </c>
      <c r="E2066">
        <v>80</v>
      </c>
      <c r="F2066">
        <v>1150</v>
      </c>
      <c r="G2066">
        <v>2000</v>
      </c>
      <c r="H2066">
        <f>CONVERT(G2066,"HP","kW")</f>
        <v>1491.3997431645405</v>
      </c>
      <c r="I2066">
        <v>0.65959999999999996</v>
      </c>
      <c r="J2066">
        <v>0.63060000000000005</v>
      </c>
      <c r="K2066">
        <v>0.52500000000000002</v>
      </c>
      <c r="L2066">
        <v>0.23980000000000001</v>
      </c>
      <c r="M2066">
        <v>0.25080000000000002</v>
      </c>
      <c r="N2066">
        <f>CONVERT(O2066,"lbf","N")</f>
        <v>20540.108130626886</v>
      </c>
      <c r="O2066">
        <v>4617.6000000000004</v>
      </c>
      <c r="P2066">
        <f t="shared" si="32"/>
        <v>1.0458715596330275</v>
      </c>
    </row>
    <row r="2067" spans="1:16" hidden="1" x14ac:dyDescent="0.25">
      <c r="A2067">
        <v>0</v>
      </c>
      <c r="B2067">
        <v>5000</v>
      </c>
      <c r="C2067">
        <f>1.225 * (1 - 0.00000687559 * B2067) ^ 4.2561</f>
        <v>1.0555380742846066</v>
      </c>
      <c r="D2067">
        <f>E2067*(SQRT($C$2/C2067))</f>
        <v>86.1828952243647</v>
      </c>
      <c r="E2067">
        <v>80</v>
      </c>
      <c r="F2067">
        <v>1215</v>
      </c>
      <c r="G2067">
        <v>2750</v>
      </c>
      <c r="H2067">
        <f>CONVERT(G2067,"HP","kW")</f>
        <v>2050.6746468512433</v>
      </c>
      <c r="I2067">
        <v>0.60780000000000001</v>
      </c>
      <c r="J2067">
        <v>0.55259999999999998</v>
      </c>
      <c r="K2067">
        <v>0.53890000000000005</v>
      </c>
      <c r="L2067">
        <v>0.23980000000000001</v>
      </c>
      <c r="M2067">
        <v>0.26379999999999998</v>
      </c>
      <c r="N2067">
        <f>CONVERT(O2067,"lbf","N")</f>
        <v>28114.539897092462</v>
      </c>
      <c r="O2067">
        <v>6320.4</v>
      </c>
      <c r="P2067">
        <f t="shared" si="32"/>
        <v>1.1000834028356963</v>
      </c>
    </row>
    <row r="2068" spans="1:16" hidden="1" x14ac:dyDescent="0.25">
      <c r="A2068">
        <v>0</v>
      </c>
      <c r="B2068">
        <v>0</v>
      </c>
      <c r="C2068">
        <f>1.225 * (1 - 0.00000687559 * B2068) ^ 4.2561</f>
        <v>1.2250000000000001</v>
      </c>
      <c r="D2068">
        <f>E2068*(SQRT($C$2/C2068))</f>
        <v>0</v>
      </c>
      <c r="E2068">
        <v>0</v>
      </c>
      <c r="F2068">
        <v>1150</v>
      </c>
      <c r="G2068">
        <v>2750</v>
      </c>
      <c r="H2068">
        <f>CONVERT(G2068,"HP","kW")</f>
        <v>2050.6746468512433</v>
      </c>
      <c r="I2068">
        <v>0</v>
      </c>
      <c r="J2068">
        <v>0</v>
      </c>
      <c r="K2068">
        <v>0.47649999999999998</v>
      </c>
      <c r="L2068">
        <v>0.2432</v>
      </c>
      <c r="M2068">
        <v>0.2707</v>
      </c>
      <c r="N2068">
        <f>CONVERT(O2068,"lbf","N")</f>
        <v>30063.750608899616</v>
      </c>
      <c r="O2068">
        <v>6758.6</v>
      </c>
      <c r="P2068">
        <f t="shared" si="32"/>
        <v>1.1130756578947367</v>
      </c>
    </row>
    <row r="2069" spans="1:16" hidden="1" x14ac:dyDescent="0.25">
      <c r="A2069">
        <v>0</v>
      </c>
      <c r="B2069">
        <v>0</v>
      </c>
      <c r="C2069">
        <f>1.225 * (1 - 0.00000687559 * B2069) ^ 4.2561</f>
        <v>1.2250000000000001</v>
      </c>
      <c r="D2069">
        <f>E2069*(SQRT($C$2/C2069))</f>
        <v>60</v>
      </c>
      <c r="E2069">
        <v>60</v>
      </c>
      <c r="F2069">
        <v>1150</v>
      </c>
      <c r="G2069">
        <v>2750</v>
      </c>
      <c r="H2069">
        <f>CONVERT(G2069,"HP","kW")</f>
        <v>2050.6746468512433</v>
      </c>
      <c r="I2069">
        <v>0.47399999999999998</v>
      </c>
      <c r="J2069">
        <v>0.40639999999999998</v>
      </c>
      <c r="K2069">
        <v>0.49209999999999998</v>
      </c>
      <c r="L2069">
        <v>0.24329999999999999</v>
      </c>
      <c r="M2069">
        <v>0.2838</v>
      </c>
      <c r="N2069">
        <f>CONVERT(O2069,"lbf","N")</f>
        <v>31494.298680367392</v>
      </c>
      <c r="O2069">
        <v>7080.2</v>
      </c>
      <c r="P2069">
        <f t="shared" si="32"/>
        <v>1.1664611590628853</v>
      </c>
    </row>
    <row r="2070" spans="1:16" hidden="1" x14ac:dyDescent="0.25">
      <c r="A2070">
        <v>0</v>
      </c>
      <c r="B2070">
        <v>0</v>
      </c>
      <c r="C2070">
        <f>1.225 * (1 - 0.00000687559 * B2070) ^ 4.2561</f>
        <v>1.2250000000000001</v>
      </c>
      <c r="D2070">
        <f>E2070*(SQRT($C$2/C2070))</f>
        <v>20</v>
      </c>
      <c r="E2070">
        <v>20</v>
      </c>
      <c r="F2070">
        <v>1150</v>
      </c>
      <c r="G2070">
        <v>2750</v>
      </c>
      <c r="H2070">
        <f>CONVERT(G2070,"HP","kW")</f>
        <v>2050.6746468512433</v>
      </c>
      <c r="I2070">
        <v>0.15490000000000001</v>
      </c>
      <c r="J2070">
        <v>0.13550000000000001</v>
      </c>
      <c r="K2070">
        <v>0.48049999999999998</v>
      </c>
      <c r="L2070">
        <v>0.24340000000000001</v>
      </c>
      <c r="M2070">
        <v>0.27839999999999998</v>
      </c>
      <c r="N2070">
        <f>CONVERT(O2070,"lbf","N")</f>
        <v>30882.223386107551</v>
      </c>
      <c r="O2070">
        <v>6942.6</v>
      </c>
      <c r="P2070">
        <f t="shared" si="32"/>
        <v>1.14379622021364</v>
      </c>
    </row>
    <row r="2071" spans="1:16" hidden="1" x14ac:dyDescent="0.25">
      <c r="A2071">
        <v>0</v>
      </c>
      <c r="B2071">
        <v>0</v>
      </c>
      <c r="C2071">
        <f>1.225 * (1 - 0.00000687559 * B2071) ^ 4.2561</f>
        <v>1.2250000000000001</v>
      </c>
      <c r="D2071">
        <f>E2071*(SQRT($C$2/C2071))</f>
        <v>40</v>
      </c>
      <c r="E2071">
        <v>40</v>
      </c>
      <c r="F2071">
        <v>1150</v>
      </c>
      <c r="G2071">
        <v>2750</v>
      </c>
      <c r="H2071">
        <f>CONVERT(G2071,"HP","kW")</f>
        <v>2050.6746468512433</v>
      </c>
      <c r="I2071">
        <v>0.3175</v>
      </c>
      <c r="J2071">
        <v>0.27100000000000002</v>
      </c>
      <c r="K2071">
        <v>0.48559999999999998</v>
      </c>
      <c r="L2071">
        <v>0.24340000000000001</v>
      </c>
      <c r="M2071">
        <v>0.28520000000000001</v>
      </c>
      <c r="N2071">
        <f>CONVERT(O2071,"lbf","N")</f>
        <v>31638.421060701832</v>
      </c>
      <c r="O2071">
        <v>7112.6</v>
      </c>
      <c r="P2071">
        <f t="shared" si="32"/>
        <v>1.1717337715694331</v>
      </c>
    </row>
    <row r="2072" spans="1:16" hidden="1" x14ac:dyDescent="0.25">
      <c r="A2072">
        <v>0</v>
      </c>
      <c r="B2072">
        <v>0</v>
      </c>
      <c r="C2072">
        <f>1.225 * (1 - 0.00000687559 * B2072) ^ 4.2561</f>
        <v>1.2250000000000001</v>
      </c>
      <c r="D2072">
        <f>E2072*(SQRT($C$2/C2072))</f>
        <v>100</v>
      </c>
      <c r="E2072">
        <v>100</v>
      </c>
      <c r="F2072">
        <v>1150</v>
      </c>
      <c r="G2072">
        <v>2750</v>
      </c>
      <c r="H2072">
        <f>CONVERT(G2072,"HP","kW")</f>
        <v>2050.6746468512433</v>
      </c>
      <c r="I2072">
        <v>0.68400000000000005</v>
      </c>
      <c r="J2072">
        <v>0.6774</v>
      </c>
      <c r="K2072">
        <v>0.51</v>
      </c>
      <c r="L2072">
        <v>0.24340000000000001</v>
      </c>
      <c r="M2072">
        <v>0.2457</v>
      </c>
      <c r="N2072">
        <f>CONVERT(O2072,"lbf","N")</f>
        <v>27264.039924254655</v>
      </c>
      <c r="O2072">
        <v>6129.2</v>
      </c>
      <c r="P2072">
        <f t="shared" si="32"/>
        <v>1.0094494658997535</v>
      </c>
    </row>
    <row r="2073" spans="1:16" hidden="1" x14ac:dyDescent="0.25">
      <c r="A2073">
        <v>0</v>
      </c>
      <c r="B2073">
        <v>0</v>
      </c>
      <c r="C2073">
        <f>1.225 * (1 - 0.00000687559 * B2073) ^ 4.2561</f>
        <v>1.2250000000000001</v>
      </c>
      <c r="D2073">
        <f>E2073*(SQRT($C$2/C2073))</f>
        <v>120</v>
      </c>
      <c r="E2073">
        <v>120</v>
      </c>
      <c r="F2073">
        <v>1150</v>
      </c>
      <c r="G2073">
        <v>2750</v>
      </c>
      <c r="H2073">
        <f>CONVERT(G2073,"HP","kW")</f>
        <v>2050.6746468512433</v>
      </c>
      <c r="I2073">
        <v>0.746</v>
      </c>
      <c r="J2073">
        <v>0.81289999999999996</v>
      </c>
      <c r="K2073">
        <v>0.52070000000000005</v>
      </c>
      <c r="L2073">
        <v>0.24340000000000001</v>
      </c>
      <c r="M2073">
        <v>0.22339999999999999</v>
      </c>
      <c r="N2073">
        <f>CONVERT(O2073,"lbf","N")</f>
        <v>24779.263329970145</v>
      </c>
      <c r="O2073">
        <v>5570.6</v>
      </c>
      <c r="P2073">
        <f t="shared" si="32"/>
        <v>0.91783073130649129</v>
      </c>
    </row>
    <row r="2074" spans="1:16" hidden="1" x14ac:dyDescent="0.25">
      <c r="A2074">
        <v>0</v>
      </c>
      <c r="B2074">
        <v>0</v>
      </c>
      <c r="C2074">
        <f>1.225 * (1 - 0.00000687559 * B2074) ^ 4.2561</f>
        <v>1.2250000000000001</v>
      </c>
      <c r="D2074">
        <f>E2074*(SQRT($C$2/C2074))</f>
        <v>140</v>
      </c>
      <c r="E2074">
        <v>140</v>
      </c>
      <c r="F2074">
        <v>1150</v>
      </c>
      <c r="G2074">
        <v>2750</v>
      </c>
      <c r="H2074">
        <f>CONVERT(G2074,"HP","kW")</f>
        <v>2050.6746468512433</v>
      </c>
      <c r="I2074">
        <v>0.79179999999999995</v>
      </c>
      <c r="J2074">
        <v>0.94830000000000003</v>
      </c>
      <c r="K2074">
        <v>0.53269999999999995</v>
      </c>
      <c r="L2074">
        <v>0.24340000000000001</v>
      </c>
      <c r="M2074">
        <v>0.20319999999999999</v>
      </c>
      <c r="N2074">
        <f>CONVERT(O2074,"lbf","N")</f>
        <v>22543.587146140213</v>
      </c>
      <c r="O2074">
        <v>5068</v>
      </c>
      <c r="P2074">
        <f t="shared" si="32"/>
        <v>0.83483976992604758</v>
      </c>
    </row>
    <row r="2075" spans="1:16" hidden="1" x14ac:dyDescent="0.25">
      <c r="A2075">
        <v>0</v>
      </c>
      <c r="B2075">
        <v>0</v>
      </c>
      <c r="C2075">
        <f>1.225 * (1 - 0.00000687559 * B2075) ^ 4.2561</f>
        <v>1.2250000000000001</v>
      </c>
      <c r="D2075">
        <f>E2075*(SQRT($C$2/C2075))</f>
        <v>160</v>
      </c>
      <c r="E2075">
        <v>160</v>
      </c>
      <c r="F2075">
        <v>1150</v>
      </c>
      <c r="G2075">
        <v>2750</v>
      </c>
      <c r="H2075">
        <f>CONVERT(G2075,"HP","kW")</f>
        <v>2050.6746468512433</v>
      </c>
      <c r="I2075">
        <v>0.82540000000000002</v>
      </c>
      <c r="J2075">
        <v>1.0838000000000001</v>
      </c>
      <c r="K2075">
        <v>0.54579999999999995</v>
      </c>
      <c r="L2075">
        <v>0.24340000000000001</v>
      </c>
      <c r="M2075">
        <v>0.18529999999999999</v>
      </c>
      <c r="N2075">
        <f>CONVERT(O2075,"lbf","N")</f>
        <v>20562.794060864715</v>
      </c>
      <c r="O2075">
        <v>4622.7</v>
      </c>
      <c r="P2075">
        <f t="shared" si="32"/>
        <v>0.76129827444535736</v>
      </c>
    </row>
    <row r="2076" spans="1:16" hidden="1" x14ac:dyDescent="0.25">
      <c r="A2076">
        <v>0</v>
      </c>
      <c r="B2076">
        <v>0</v>
      </c>
      <c r="C2076">
        <f>1.225 * (1 - 0.00000687559 * B2076) ^ 4.2561</f>
        <v>1.2250000000000001</v>
      </c>
      <c r="D2076">
        <f>E2076*(SQRT($C$2/C2076))</f>
        <v>180</v>
      </c>
      <c r="E2076">
        <v>180</v>
      </c>
      <c r="F2076">
        <v>1150</v>
      </c>
      <c r="G2076">
        <v>2750</v>
      </c>
      <c r="H2076">
        <f>CONVERT(G2076,"HP","kW")</f>
        <v>2050.6746468512433</v>
      </c>
      <c r="I2076">
        <v>0.8498</v>
      </c>
      <c r="J2076">
        <v>1.2193000000000001</v>
      </c>
      <c r="K2076">
        <v>0.56020000000000003</v>
      </c>
      <c r="L2076">
        <v>0.24340000000000001</v>
      </c>
      <c r="M2076">
        <v>0.1696</v>
      </c>
      <c r="N2076">
        <f>CONVERT(O2076,"lbf","N")</f>
        <v>18819.536009844123</v>
      </c>
      <c r="O2076">
        <v>4230.8</v>
      </c>
      <c r="P2076">
        <f t="shared" si="32"/>
        <v>0.69679539852095318</v>
      </c>
    </row>
    <row r="2077" spans="1:16" hidden="1" x14ac:dyDescent="0.25">
      <c r="A2077">
        <v>0</v>
      </c>
      <c r="B2077">
        <v>0</v>
      </c>
      <c r="C2077">
        <f>1.225 * (1 - 0.00000687559 * B2077) ^ 4.2561</f>
        <v>1.2250000000000001</v>
      </c>
      <c r="D2077">
        <f>E2077*(SQRT($C$2/C2077))</f>
        <v>200</v>
      </c>
      <c r="E2077">
        <v>200</v>
      </c>
      <c r="F2077">
        <v>1150</v>
      </c>
      <c r="G2077">
        <v>2750</v>
      </c>
      <c r="H2077">
        <f>CONVERT(G2077,"HP","kW")</f>
        <v>2050.6746468512433</v>
      </c>
      <c r="I2077">
        <v>0.86739999999999995</v>
      </c>
      <c r="J2077">
        <v>1.3548</v>
      </c>
      <c r="K2077">
        <v>0.57569999999999999</v>
      </c>
      <c r="L2077">
        <v>0.24340000000000001</v>
      </c>
      <c r="M2077">
        <v>0.15579999999999999</v>
      </c>
      <c r="N2077">
        <f>CONVERT(O2077,"lbf","N")</f>
        <v>17288.458129871458</v>
      </c>
      <c r="O2077">
        <v>3886.6</v>
      </c>
      <c r="P2077">
        <f t="shared" si="32"/>
        <v>0.64009860312243216</v>
      </c>
    </row>
    <row r="2078" spans="1:16" hidden="1" x14ac:dyDescent="0.25">
      <c r="A2078">
        <v>0</v>
      </c>
      <c r="B2078">
        <v>0</v>
      </c>
      <c r="C2078">
        <f>1.225 * (1 - 0.00000687559 * B2078) ^ 4.2561</f>
        <v>1.2250000000000001</v>
      </c>
      <c r="D2078">
        <f>E2078*(SQRT($C$2/C2078))</f>
        <v>220</v>
      </c>
      <c r="E2078">
        <v>220</v>
      </c>
      <c r="F2078">
        <v>1150</v>
      </c>
      <c r="G2078">
        <v>2750</v>
      </c>
      <c r="H2078">
        <f>CONVERT(G2078,"HP","kW")</f>
        <v>2050.6746468512433</v>
      </c>
      <c r="I2078">
        <v>0.87990000000000002</v>
      </c>
      <c r="J2078">
        <v>1.4902</v>
      </c>
      <c r="K2078">
        <v>0.59230000000000005</v>
      </c>
      <c r="L2078">
        <v>0.24340000000000001</v>
      </c>
      <c r="M2078">
        <v>0.14369999999999999</v>
      </c>
      <c r="N2078">
        <f>CONVERT(O2078,"lbf","N")</f>
        <v>15943.315913416684</v>
      </c>
      <c r="O2078">
        <v>3584.2</v>
      </c>
      <c r="P2078">
        <f t="shared" si="32"/>
        <v>0.59038619556285943</v>
      </c>
    </row>
    <row r="2079" spans="1:16" hidden="1" x14ac:dyDescent="0.25">
      <c r="A2079">
        <v>0</v>
      </c>
      <c r="B2079">
        <v>0</v>
      </c>
      <c r="C2079">
        <f>1.225 * (1 - 0.00000687559 * B2079) ^ 4.2561</f>
        <v>1.2250000000000001</v>
      </c>
      <c r="D2079">
        <f>E2079*(SQRT($C$2/C2079))</f>
        <v>240</v>
      </c>
      <c r="E2079">
        <v>240</v>
      </c>
      <c r="F2079">
        <v>1150</v>
      </c>
      <c r="G2079">
        <v>2750</v>
      </c>
      <c r="H2079">
        <f>CONVERT(G2079,"HP","kW")</f>
        <v>2050.6746468512433</v>
      </c>
      <c r="I2079">
        <v>0.88849999999999996</v>
      </c>
      <c r="J2079">
        <v>1.6256999999999999</v>
      </c>
      <c r="K2079">
        <v>0.6099</v>
      </c>
      <c r="L2079">
        <v>0.24340000000000001</v>
      </c>
      <c r="M2079">
        <v>0.13300000000000001</v>
      </c>
      <c r="N2079">
        <f>CONVERT(O2079,"lbf","N")</f>
        <v>14756.975208626709</v>
      </c>
      <c r="O2079">
        <v>3317.5</v>
      </c>
      <c r="P2079">
        <f t="shared" si="32"/>
        <v>0.54642563681183243</v>
      </c>
    </row>
    <row r="2080" spans="1:16" hidden="1" x14ac:dyDescent="0.25">
      <c r="A2080">
        <v>0</v>
      </c>
      <c r="B2080">
        <v>0</v>
      </c>
      <c r="C2080">
        <f>1.225 * (1 - 0.00000687559 * B2080) ^ 4.2561</f>
        <v>1.2250000000000001</v>
      </c>
      <c r="D2080">
        <f>E2080*(SQRT($C$2/C2080))</f>
        <v>260</v>
      </c>
      <c r="E2080">
        <v>260</v>
      </c>
      <c r="F2080">
        <v>1150</v>
      </c>
      <c r="G2080">
        <v>2750</v>
      </c>
      <c r="H2080">
        <f>CONVERT(G2080,"HP","kW")</f>
        <v>2050.6746468512433</v>
      </c>
      <c r="I2080">
        <v>0.89390000000000003</v>
      </c>
      <c r="J2080">
        <v>1.7612000000000001</v>
      </c>
      <c r="K2080">
        <v>0.62839999999999996</v>
      </c>
      <c r="L2080">
        <v>0.24340000000000001</v>
      </c>
      <c r="M2080">
        <v>0.1235</v>
      </c>
      <c r="N2080">
        <f>CONVERT(O2080,"lbf","N")</f>
        <v>13704.08115229455</v>
      </c>
      <c r="O2080">
        <v>3080.8</v>
      </c>
      <c r="P2080">
        <f t="shared" si="32"/>
        <v>0.50739523418241572</v>
      </c>
    </row>
    <row r="2081" spans="1:16" hidden="1" x14ac:dyDescent="0.25">
      <c r="A2081">
        <v>0</v>
      </c>
      <c r="B2081">
        <v>5000</v>
      </c>
      <c r="C2081">
        <f>1.225 * (1 - 0.00000687559 * B2081) ^ 4.2561</f>
        <v>1.0555380742846066</v>
      </c>
      <c r="D2081">
        <f>E2081*(SQRT($C$2/C2081))</f>
        <v>280.09440947918529</v>
      </c>
      <c r="E2081">
        <v>260</v>
      </c>
      <c r="F2081">
        <v>987</v>
      </c>
      <c r="G2081">
        <v>1500</v>
      </c>
      <c r="H2081">
        <f>CONVERT(G2081,"HP","kW")</f>
        <v>1118.5498073734054</v>
      </c>
      <c r="I2081">
        <v>0.89090000000000003</v>
      </c>
      <c r="J2081">
        <v>2.2105999999999999</v>
      </c>
      <c r="K2081">
        <v>0.60770000000000002</v>
      </c>
      <c r="L2081">
        <v>0.24349999999999999</v>
      </c>
      <c r="M2081">
        <v>9.8100000000000007E-2</v>
      </c>
      <c r="N2081">
        <f>CONVERT(O2081,"lbf","N")</f>
        <v>6916.0949674070253</v>
      </c>
      <c r="O2081">
        <v>1554.8</v>
      </c>
      <c r="P2081">
        <f t="shared" si="32"/>
        <v>0.40287474332648876</v>
      </c>
    </row>
    <row r="2082" spans="1:16" hidden="1" x14ac:dyDescent="0.25">
      <c r="A2082">
        <v>0</v>
      </c>
      <c r="B2082">
        <v>5000</v>
      </c>
      <c r="C2082">
        <f>1.225 * (1 - 0.00000687559 * B2082) ^ 4.2561</f>
        <v>1.0555380742846066</v>
      </c>
      <c r="D2082">
        <f>E2082*(SQRT($C$2/C2082))</f>
        <v>64.637171418273525</v>
      </c>
      <c r="E2082">
        <v>60</v>
      </c>
      <c r="F2082">
        <v>987</v>
      </c>
      <c r="G2082">
        <v>1500</v>
      </c>
      <c r="H2082">
        <f>CONVERT(G2082,"HP","kW")</f>
        <v>1118.5498073734054</v>
      </c>
      <c r="I2082">
        <v>0.57440000000000002</v>
      </c>
      <c r="J2082">
        <v>0.5101</v>
      </c>
      <c r="K2082">
        <v>0.43519999999999998</v>
      </c>
      <c r="L2082">
        <v>0.24360000000000001</v>
      </c>
      <c r="M2082">
        <v>0.27429999999999999</v>
      </c>
      <c r="N2082">
        <f>CONVERT(O2082,"lbf","N")</f>
        <v>19321.295408045509</v>
      </c>
      <c r="O2082">
        <v>4343.6000000000004</v>
      </c>
      <c r="P2082">
        <f t="shared" si="32"/>
        <v>1.1260262725779966</v>
      </c>
    </row>
    <row r="2083" spans="1:16" hidden="1" x14ac:dyDescent="0.25">
      <c r="A2083">
        <v>0</v>
      </c>
      <c r="B2083">
        <v>0</v>
      </c>
      <c r="C2083">
        <f>1.225 * (1 - 0.00000687559 * B2083) ^ 4.2561</f>
        <v>1.2250000000000001</v>
      </c>
      <c r="D2083">
        <f>E2083*(SQRT($C$2/C2083))</f>
        <v>80</v>
      </c>
      <c r="E2083">
        <v>80</v>
      </c>
      <c r="F2083">
        <v>1150</v>
      </c>
      <c r="G2083">
        <v>2750</v>
      </c>
      <c r="H2083">
        <f>CONVERT(G2083,"HP","kW")</f>
        <v>2050.6746468512433</v>
      </c>
      <c r="I2083">
        <v>0.59819999999999995</v>
      </c>
      <c r="J2083">
        <v>0.54190000000000005</v>
      </c>
      <c r="K2083">
        <v>0.50039999999999996</v>
      </c>
      <c r="L2083">
        <v>0.24360000000000001</v>
      </c>
      <c r="M2083">
        <v>0.26889999999999997</v>
      </c>
      <c r="N2083">
        <f>CONVERT(O2083,"lbf","N")</f>
        <v>29804.864110891453</v>
      </c>
      <c r="O2083">
        <v>6700.4</v>
      </c>
      <c r="P2083">
        <f t="shared" si="32"/>
        <v>1.1038587848932675</v>
      </c>
    </row>
    <row r="2084" spans="1:16" hidden="1" x14ac:dyDescent="0.25">
      <c r="A2084">
        <v>0</v>
      </c>
      <c r="B2084">
        <v>5000</v>
      </c>
      <c r="C2084">
        <f>1.225 * (1 - 0.00000687559 * B2084) ^ 4.2561</f>
        <v>1.0555380742846066</v>
      </c>
      <c r="D2084">
        <f>E2084*(SQRT($C$2/C2084))</f>
        <v>0</v>
      </c>
      <c r="E2084">
        <v>0</v>
      </c>
      <c r="F2084">
        <v>987</v>
      </c>
      <c r="G2084">
        <v>1500</v>
      </c>
      <c r="H2084">
        <f>CONVERT(G2084,"HP","kW")</f>
        <v>1118.5498073734054</v>
      </c>
      <c r="I2084">
        <v>0</v>
      </c>
      <c r="J2084">
        <v>0</v>
      </c>
      <c r="K2084">
        <v>0.41610000000000003</v>
      </c>
      <c r="L2084">
        <v>0.2437</v>
      </c>
      <c r="M2084">
        <v>0.26939999999999997</v>
      </c>
      <c r="N2084">
        <f>CONVERT(O2084,"lbf","N")</f>
        <v>18969.885900439931</v>
      </c>
      <c r="O2084">
        <v>4264.6000000000004</v>
      </c>
      <c r="P2084">
        <f t="shared" si="32"/>
        <v>1.105457529749692</v>
      </c>
    </row>
    <row r="2085" spans="1:16" hidden="1" x14ac:dyDescent="0.25">
      <c r="A2085">
        <v>0</v>
      </c>
      <c r="B2085">
        <v>5000</v>
      </c>
      <c r="C2085">
        <f>1.225 * (1 - 0.00000687559 * B2085) ^ 4.2561</f>
        <v>1.0555380742846066</v>
      </c>
      <c r="D2085">
        <f>E2085*(SQRT($C$2/C2085))</f>
        <v>21.545723806091175</v>
      </c>
      <c r="E2085">
        <v>20</v>
      </c>
      <c r="F2085">
        <v>987</v>
      </c>
      <c r="G2085">
        <v>1500</v>
      </c>
      <c r="H2085">
        <f>CONVERT(G2085,"HP","kW")</f>
        <v>1118.5498073734054</v>
      </c>
      <c r="I2085">
        <v>0.19520000000000001</v>
      </c>
      <c r="J2085">
        <v>0.17</v>
      </c>
      <c r="K2085">
        <v>0.42070000000000002</v>
      </c>
      <c r="L2085">
        <v>0.2437</v>
      </c>
      <c r="M2085">
        <v>0.27979999999999999</v>
      </c>
      <c r="N2085">
        <f>CONVERT(O2085,"lbf","N")</f>
        <v>19701.173533988756</v>
      </c>
      <c r="O2085">
        <v>4429</v>
      </c>
      <c r="P2085">
        <f t="shared" si="32"/>
        <v>1.1481329503487894</v>
      </c>
    </row>
    <row r="2086" spans="1:16" hidden="1" x14ac:dyDescent="0.25">
      <c r="A2086">
        <v>0</v>
      </c>
      <c r="B2086">
        <v>5000</v>
      </c>
      <c r="C2086">
        <f>1.225 * (1 - 0.00000687559 * B2086) ^ 4.2561</f>
        <v>1.0555380742846066</v>
      </c>
      <c r="D2086">
        <f>E2086*(SQRT($C$2/C2086))</f>
        <v>43.09144761218235</v>
      </c>
      <c r="E2086">
        <v>40</v>
      </c>
      <c r="F2086">
        <v>987</v>
      </c>
      <c r="G2086">
        <v>1500</v>
      </c>
      <c r="H2086">
        <f>CONVERT(G2086,"HP","kW")</f>
        <v>1118.5498073734054</v>
      </c>
      <c r="I2086">
        <v>0.40089999999999998</v>
      </c>
      <c r="J2086">
        <v>0.34010000000000001</v>
      </c>
      <c r="K2086">
        <v>0.42680000000000001</v>
      </c>
      <c r="L2086">
        <v>0.2437</v>
      </c>
      <c r="M2086">
        <v>0.2873</v>
      </c>
      <c r="N2086">
        <f>CONVERT(O2086,"lbf","N")</f>
        <v>20230.511906204756</v>
      </c>
      <c r="O2086">
        <v>4548</v>
      </c>
      <c r="P2086">
        <f t="shared" si="32"/>
        <v>1.1789084940500616</v>
      </c>
    </row>
    <row r="2087" spans="1:16" hidden="1" x14ac:dyDescent="0.25">
      <c r="A2087">
        <v>0</v>
      </c>
      <c r="B2087">
        <v>5000</v>
      </c>
      <c r="C2087">
        <f>1.225 * (1 - 0.00000687559 * B2087) ^ 4.2561</f>
        <v>1.0555380742846066</v>
      </c>
      <c r="D2087">
        <f>E2087*(SQRT($C$2/C2087))</f>
        <v>107.72861903045587</v>
      </c>
      <c r="E2087">
        <v>100</v>
      </c>
      <c r="F2087">
        <v>987</v>
      </c>
      <c r="G2087">
        <v>1500</v>
      </c>
      <c r="H2087">
        <f>CONVERT(G2087,"HP","kW")</f>
        <v>1118.5498073734054</v>
      </c>
      <c r="I2087">
        <v>0.76039999999999996</v>
      </c>
      <c r="J2087">
        <v>0.85019999999999996</v>
      </c>
      <c r="K2087">
        <v>0.45760000000000001</v>
      </c>
      <c r="L2087">
        <v>0.2437</v>
      </c>
      <c r="M2087">
        <v>0.218</v>
      </c>
      <c r="N2087">
        <f>CONVERT(O2087,"lbf","N")</f>
        <v>15347.699039133304</v>
      </c>
      <c r="O2087">
        <v>3450.3</v>
      </c>
      <c r="P2087">
        <f t="shared" si="32"/>
        <v>0.89454247025030775</v>
      </c>
    </row>
    <row r="2088" spans="1:16" hidden="1" x14ac:dyDescent="0.25">
      <c r="A2088">
        <v>0</v>
      </c>
      <c r="B2088">
        <v>5000</v>
      </c>
      <c r="C2088">
        <f>1.225 * (1 - 0.00000687559 * B2088) ^ 4.2561</f>
        <v>1.0555380742846066</v>
      </c>
      <c r="D2088">
        <f>E2088*(SQRT($C$2/C2088))</f>
        <v>129.27434283654705</v>
      </c>
      <c r="E2088">
        <v>120</v>
      </c>
      <c r="F2088">
        <v>987</v>
      </c>
      <c r="G2088">
        <v>1500</v>
      </c>
      <c r="H2088">
        <f>CONVERT(G2088,"HP","kW")</f>
        <v>1118.5498073734054</v>
      </c>
      <c r="I2088">
        <v>0.81120000000000003</v>
      </c>
      <c r="J2088">
        <v>1.0203</v>
      </c>
      <c r="K2088">
        <v>0.47120000000000001</v>
      </c>
      <c r="L2088">
        <v>0.2437</v>
      </c>
      <c r="M2088">
        <v>0.1938</v>
      </c>
      <c r="N2088">
        <f>CONVERT(O2088,"lbf","N")</f>
        <v>13644.030160488534</v>
      </c>
      <c r="O2088">
        <v>3067.3</v>
      </c>
      <c r="P2088">
        <f t="shared" si="32"/>
        <v>0.79524004924086988</v>
      </c>
    </row>
    <row r="2089" spans="1:16" hidden="1" x14ac:dyDescent="0.25">
      <c r="A2089">
        <v>0</v>
      </c>
      <c r="B2089">
        <v>5000</v>
      </c>
      <c r="C2089">
        <f>1.225 * (1 - 0.00000687559 * B2089) ^ 4.2561</f>
        <v>1.0555380742846066</v>
      </c>
      <c r="D2089">
        <f>E2089*(SQRT($C$2/C2089))</f>
        <v>150.82006664263821</v>
      </c>
      <c r="E2089">
        <v>140</v>
      </c>
      <c r="F2089">
        <v>987</v>
      </c>
      <c r="G2089">
        <v>1500</v>
      </c>
      <c r="H2089">
        <f>CONVERT(G2089,"HP","kW")</f>
        <v>1118.5498073734054</v>
      </c>
      <c r="I2089">
        <v>0.84540000000000004</v>
      </c>
      <c r="J2089">
        <v>1.1902999999999999</v>
      </c>
      <c r="K2089">
        <v>0.48649999999999999</v>
      </c>
      <c r="L2089">
        <v>0.2437</v>
      </c>
      <c r="M2089">
        <v>0.1731</v>
      </c>
      <c r="N2089">
        <f>CONVERT(O2089,"lbf","N")</f>
        <v>12188.572047975296</v>
      </c>
      <c r="O2089">
        <v>2740.1</v>
      </c>
      <c r="P2089">
        <f t="shared" si="32"/>
        <v>0.71029954862535905</v>
      </c>
    </row>
    <row r="2090" spans="1:16" hidden="1" x14ac:dyDescent="0.25">
      <c r="A2090">
        <v>0</v>
      </c>
      <c r="B2090">
        <v>5000</v>
      </c>
      <c r="C2090">
        <f>1.225 * (1 - 0.00000687559 * B2090) ^ 4.2561</f>
        <v>1.0555380742846066</v>
      </c>
      <c r="D2090">
        <f>E2090*(SQRT($C$2/C2090))</f>
        <v>172.3657904487294</v>
      </c>
      <c r="E2090">
        <v>160</v>
      </c>
      <c r="F2090">
        <v>987</v>
      </c>
      <c r="G2090">
        <v>1500</v>
      </c>
      <c r="H2090">
        <f>CONVERT(G2090,"HP","kW")</f>
        <v>1118.5498073734054</v>
      </c>
      <c r="I2090">
        <v>0.86809999999999998</v>
      </c>
      <c r="J2090">
        <v>1.3604000000000001</v>
      </c>
      <c r="K2090">
        <v>0.50339999999999996</v>
      </c>
      <c r="L2090">
        <v>0.2437</v>
      </c>
      <c r="M2090">
        <v>0.1555</v>
      </c>
      <c r="N2090">
        <f>CONVERT(O2090,"lbf","N")</f>
        <v>10951.076794609826</v>
      </c>
      <c r="O2090">
        <v>2461.9</v>
      </c>
      <c r="P2090">
        <f t="shared" si="32"/>
        <v>0.63807960607304059</v>
      </c>
    </row>
    <row r="2091" spans="1:16" hidden="1" x14ac:dyDescent="0.25">
      <c r="A2091">
        <v>0</v>
      </c>
      <c r="B2091">
        <v>5000</v>
      </c>
      <c r="C2091">
        <f>1.225 * (1 - 0.00000687559 * B2091) ^ 4.2561</f>
        <v>1.0555380742846066</v>
      </c>
      <c r="D2091">
        <f>E2091*(SQRT($C$2/C2091))</f>
        <v>193.91151425482059</v>
      </c>
      <c r="E2091">
        <v>180</v>
      </c>
      <c r="F2091">
        <v>987</v>
      </c>
      <c r="G2091">
        <v>1500</v>
      </c>
      <c r="H2091">
        <f>CONVERT(G2091,"HP","kW")</f>
        <v>1118.5498073734054</v>
      </c>
      <c r="I2091">
        <v>0.88280000000000003</v>
      </c>
      <c r="J2091">
        <v>1.5304</v>
      </c>
      <c r="K2091">
        <v>0.52180000000000004</v>
      </c>
      <c r="L2091">
        <v>0.2437</v>
      </c>
      <c r="M2091">
        <v>0.1406</v>
      </c>
      <c r="N2091">
        <f>CONVERT(O2091,"lbf","N")</f>
        <v>9898.1827382776646</v>
      </c>
      <c r="O2091">
        <v>2225.1999999999998</v>
      </c>
      <c r="P2091">
        <f t="shared" si="32"/>
        <v>0.57693885925318011</v>
      </c>
    </row>
    <row r="2092" spans="1:16" hidden="1" x14ac:dyDescent="0.25">
      <c r="A2092">
        <v>0</v>
      </c>
      <c r="B2092">
        <v>5000</v>
      </c>
      <c r="C2092">
        <f>1.225 * (1 - 0.00000687559 * B2092) ^ 4.2561</f>
        <v>1.0555380742846066</v>
      </c>
      <c r="D2092">
        <f>E2092*(SQRT($C$2/C2092))</f>
        <v>215.45723806091175</v>
      </c>
      <c r="E2092">
        <v>200</v>
      </c>
      <c r="F2092">
        <v>987</v>
      </c>
      <c r="G2092">
        <v>1500</v>
      </c>
      <c r="H2092">
        <f>CONVERT(G2092,"HP","kW")</f>
        <v>1118.5498073734054</v>
      </c>
      <c r="I2092">
        <v>0.89159999999999995</v>
      </c>
      <c r="J2092">
        <v>1.7004999999999999</v>
      </c>
      <c r="K2092">
        <v>0.54149999999999998</v>
      </c>
      <c r="L2092">
        <v>0.2437</v>
      </c>
      <c r="M2092">
        <v>0.1278</v>
      </c>
      <c r="N2092">
        <f>CONVERT(O2092,"lbf","N")</f>
        <v>8997.8626833489398</v>
      </c>
      <c r="O2092">
        <v>2022.8</v>
      </c>
      <c r="P2092">
        <f t="shared" si="32"/>
        <v>0.52441526466967581</v>
      </c>
    </row>
    <row r="2093" spans="1:16" hidden="1" x14ac:dyDescent="0.25">
      <c r="A2093">
        <v>0</v>
      </c>
      <c r="B2093">
        <v>5000</v>
      </c>
      <c r="C2093">
        <f>1.225 * (1 - 0.00000687559 * B2093) ^ 4.2561</f>
        <v>1.0555380742846066</v>
      </c>
      <c r="D2093">
        <f>E2093*(SQRT($C$2/C2093))</f>
        <v>237.00296186700291</v>
      </c>
      <c r="E2093">
        <v>220</v>
      </c>
      <c r="F2093">
        <v>987</v>
      </c>
      <c r="G2093">
        <v>1500</v>
      </c>
      <c r="H2093">
        <f>CONVERT(G2093,"HP","kW")</f>
        <v>1118.5498073734054</v>
      </c>
      <c r="I2093">
        <v>0.89590000000000003</v>
      </c>
      <c r="J2093">
        <v>1.8705000000000001</v>
      </c>
      <c r="K2093">
        <v>0.5625</v>
      </c>
      <c r="L2093">
        <v>0.2437</v>
      </c>
      <c r="M2093">
        <v>0.1167</v>
      </c>
      <c r="N2093">
        <f>CONVERT(O2093,"lbf","N")</f>
        <v>8218.9790785168261</v>
      </c>
      <c r="O2093">
        <v>1847.7</v>
      </c>
      <c r="P2093">
        <f t="shared" si="32"/>
        <v>0.4788674599917932</v>
      </c>
    </row>
    <row r="2094" spans="1:16" hidden="1" x14ac:dyDescent="0.25">
      <c r="A2094">
        <v>0</v>
      </c>
      <c r="B2094">
        <v>5000</v>
      </c>
      <c r="C2094">
        <f>1.225 * (1 - 0.00000687559 * B2094) ^ 4.2561</f>
        <v>1.0555380742846066</v>
      </c>
      <c r="D2094">
        <f>E2094*(SQRT($C$2/C2094))</f>
        <v>258.5486856730941</v>
      </c>
      <c r="E2094">
        <v>240</v>
      </c>
      <c r="F2094">
        <v>987</v>
      </c>
      <c r="G2094">
        <v>1500</v>
      </c>
      <c r="H2094">
        <f>CONVERT(G2094,"HP","kW")</f>
        <v>1118.5498073734054</v>
      </c>
      <c r="I2094">
        <v>0.89600000000000002</v>
      </c>
      <c r="J2094">
        <v>2.0406</v>
      </c>
      <c r="K2094">
        <v>0.58460000000000001</v>
      </c>
      <c r="L2094">
        <v>0.2437</v>
      </c>
      <c r="M2094">
        <v>0.107</v>
      </c>
      <c r="N2094">
        <f>CONVERT(O2094,"lbf","N")</f>
        <v>7534.8425940897623</v>
      </c>
      <c r="O2094">
        <v>1693.9</v>
      </c>
      <c r="P2094">
        <f t="shared" si="32"/>
        <v>0.43906442347148134</v>
      </c>
    </row>
    <row r="2095" spans="1:16" hidden="1" x14ac:dyDescent="0.25">
      <c r="A2095">
        <v>0</v>
      </c>
      <c r="B2095">
        <v>5000</v>
      </c>
      <c r="C2095">
        <f>1.225 * (1 - 0.00000687559 * B2095) ^ 4.2561</f>
        <v>1.0555380742846066</v>
      </c>
      <c r="D2095">
        <f>E2095*(SQRT($C$2/C2095))</f>
        <v>86.1828952243647</v>
      </c>
      <c r="E2095">
        <v>80</v>
      </c>
      <c r="F2095">
        <v>987</v>
      </c>
      <c r="G2095">
        <v>1500</v>
      </c>
      <c r="H2095">
        <f>CONVERT(G2095,"HP","kW")</f>
        <v>1118.5498073734054</v>
      </c>
      <c r="I2095">
        <v>0.68569999999999998</v>
      </c>
      <c r="J2095">
        <v>0.68020000000000003</v>
      </c>
      <c r="K2095">
        <v>0.4456</v>
      </c>
      <c r="L2095">
        <v>0.24399999999999999</v>
      </c>
      <c r="M2095">
        <v>0.246</v>
      </c>
      <c r="N2095">
        <f>CONVERT(O2095,"lbf","N")</f>
        <v>17300.468328232666</v>
      </c>
      <c r="O2095">
        <v>3889.3</v>
      </c>
      <c r="P2095">
        <f t="shared" si="32"/>
        <v>1.0081967213114753</v>
      </c>
    </row>
    <row r="2096" spans="1:16" hidden="1" x14ac:dyDescent="0.25">
      <c r="A2096">
        <v>0</v>
      </c>
      <c r="B2096">
        <v>0</v>
      </c>
      <c r="C2096">
        <f>1.225 * (1 - 0.00000687559 * B2096) ^ 4.2561</f>
        <v>1.2250000000000001</v>
      </c>
      <c r="D2096">
        <f>E2096*(SQRT($C$2/C2096))</f>
        <v>100</v>
      </c>
      <c r="E2096">
        <v>100</v>
      </c>
      <c r="F2096">
        <v>987</v>
      </c>
      <c r="G2096">
        <v>1750</v>
      </c>
      <c r="H2096">
        <f>CONVERT(G2096,"HP","kW")</f>
        <v>1304.974775268973</v>
      </c>
      <c r="I2096">
        <v>0.73629999999999995</v>
      </c>
      <c r="J2096">
        <v>0.78920000000000001</v>
      </c>
      <c r="K2096">
        <v>0.44519999999999998</v>
      </c>
      <c r="L2096">
        <v>0.24479999999999999</v>
      </c>
      <c r="M2096">
        <v>0.2283</v>
      </c>
      <c r="N2096">
        <f>CONVERT(O2096,"lbf","N")</f>
        <v>18677.19291815579</v>
      </c>
      <c r="O2096">
        <v>4198.8</v>
      </c>
      <c r="P2096">
        <f t="shared" si="32"/>
        <v>0.93259803921568629</v>
      </c>
    </row>
    <row r="2097" spans="1:16" hidden="1" x14ac:dyDescent="0.25">
      <c r="A2097">
        <v>0</v>
      </c>
      <c r="B2097">
        <v>0</v>
      </c>
      <c r="C2097">
        <f>1.225 * (1 - 0.00000687559 * B2097) ^ 4.2561</f>
        <v>1.2250000000000001</v>
      </c>
      <c r="D2097">
        <f>E2097*(SQRT($C$2/C2097))</f>
        <v>0</v>
      </c>
      <c r="E2097">
        <v>0</v>
      </c>
      <c r="F2097">
        <v>987</v>
      </c>
      <c r="G2097">
        <v>1750</v>
      </c>
      <c r="H2097">
        <f>CONVERT(G2097,"HP","kW")</f>
        <v>1304.974775268973</v>
      </c>
      <c r="I2097">
        <v>0</v>
      </c>
      <c r="J2097">
        <v>0</v>
      </c>
      <c r="K2097">
        <v>0.40889999999999999</v>
      </c>
      <c r="L2097">
        <v>0.245</v>
      </c>
      <c r="M2097">
        <v>0.26900000000000002</v>
      </c>
      <c r="N2097">
        <f>CONVERT(O2097,"lbf","N")</f>
        <v>21985.780155586548</v>
      </c>
      <c r="O2097">
        <v>4942.6000000000004</v>
      </c>
      <c r="P2097">
        <f t="shared" si="32"/>
        <v>1.0979591836734695</v>
      </c>
    </row>
    <row r="2098" spans="1:16" hidden="1" x14ac:dyDescent="0.25">
      <c r="A2098">
        <v>0</v>
      </c>
      <c r="B2098">
        <v>0</v>
      </c>
      <c r="C2098">
        <f>1.225 * (1 - 0.00000687559 * B2098) ^ 4.2561</f>
        <v>1.2250000000000001</v>
      </c>
      <c r="D2098">
        <f>E2098*(SQRT($C$2/C2098))</f>
        <v>20</v>
      </c>
      <c r="E2098">
        <v>20</v>
      </c>
      <c r="F2098">
        <v>987</v>
      </c>
      <c r="G2098">
        <v>1750</v>
      </c>
      <c r="H2098">
        <f>CONVERT(G2098,"HP","kW")</f>
        <v>1304.974775268973</v>
      </c>
      <c r="I2098">
        <v>0.17949999999999999</v>
      </c>
      <c r="J2098">
        <v>0.1578</v>
      </c>
      <c r="K2098">
        <v>0.41299999999999998</v>
      </c>
      <c r="L2098">
        <v>0.245</v>
      </c>
      <c r="M2098">
        <v>0.27860000000000001</v>
      </c>
      <c r="N2098">
        <f>CONVERT(O2098,"lbf","N")</f>
        <v>22765.553404741713</v>
      </c>
      <c r="O2098">
        <v>5117.8999999999996</v>
      </c>
      <c r="P2098">
        <f t="shared" si="32"/>
        <v>1.1371428571428572</v>
      </c>
    </row>
    <row r="2099" spans="1:16" hidden="1" x14ac:dyDescent="0.25">
      <c r="A2099">
        <v>0</v>
      </c>
      <c r="B2099">
        <v>0</v>
      </c>
      <c r="C2099">
        <f>1.225 * (1 - 0.00000687559 * B2099) ^ 4.2561</f>
        <v>1.2250000000000001</v>
      </c>
      <c r="D2099">
        <f>E2099*(SQRT($C$2/C2099))</f>
        <v>60</v>
      </c>
      <c r="E2099">
        <v>60</v>
      </c>
      <c r="F2099">
        <v>987</v>
      </c>
      <c r="G2099">
        <v>1750</v>
      </c>
      <c r="H2099">
        <f>CONVERT(G2099,"HP","kW")</f>
        <v>1304.974775268973</v>
      </c>
      <c r="I2099">
        <v>0.54120000000000001</v>
      </c>
      <c r="J2099">
        <v>0.47349999999999998</v>
      </c>
      <c r="K2099">
        <v>0.42570000000000002</v>
      </c>
      <c r="L2099">
        <v>0.245</v>
      </c>
      <c r="M2099">
        <v>0.28000000000000003</v>
      </c>
      <c r="N2099">
        <f>CONVERT(O2099,"lbf","N")</f>
        <v>22880.76234457696</v>
      </c>
      <c r="O2099">
        <v>5143.8</v>
      </c>
      <c r="P2099">
        <f t="shared" si="32"/>
        <v>1.142857142857143</v>
      </c>
    </row>
    <row r="2100" spans="1:16" hidden="1" x14ac:dyDescent="0.25">
      <c r="A2100">
        <v>0</v>
      </c>
      <c r="B2100">
        <v>0</v>
      </c>
      <c r="C2100">
        <f>1.225 * (1 - 0.00000687559 * B2100) ^ 4.2561</f>
        <v>1.2250000000000001</v>
      </c>
      <c r="D2100">
        <f>E2100*(SQRT($C$2/C2100))</f>
        <v>80</v>
      </c>
      <c r="E2100">
        <v>80</v>
      </c>
      <c r="F2100">
        <v>987</v>
      </c>
      <c r="G2100">
        <v>1750</v>
      </c>
      <c r="H2100">
        <f>CONVERT(G2100,"HP","kW")</f>
        <v>1304.974775268973</v>
      </c>
      <c r="I2100">
        <v>0.65790000000000004</v>
      </c>
      <c r="J2100">
        <v>0.63139999999999996</v>
      </c>
      <c r="K2100">
        <v>0.43480000000000002</v>
      </c>
      <c r="L2100">
        <v>0.245</v>
      </c>
      <c r="M2100">
        <v>0.25530000000000003</v>
      </c>
      <c r="N2100">
        <f>CONVERT(O2100,"lbf","N")</f>
        <v>20859.935264764117</v>
      </c>
      <c r="O2100">
        <v>4689.5</v>
      </c>
      <c r="P2100">
        <f t="shared" si="32"/>
        <v>1.0420408163265307</v>
      </c>
    </row>
    <row r="2101" spans="1:16" hidden="1" x14ac:dyDescent="0.25">
      <c r="A2101">
        <v>0</v>
      </c>
      <c r="B2101">
        <v>0</v>
      </c>
      <c r="C2101">
        <f>1.225 * (1 - 0.00000687559 * B2101) ^ 4.2561</f>
        <v>1.2250000000000001</v>
      </c>
      <c r="D2101">
        <f>E2101*(SQRT($C$2/C2101))</f>
        <v>120</v>
      </c>
      <c r="E2101">
        <v>120</v>
      </c>
      <c r="F2101">
        <v>987</v>
      </c>
      <c r="G2101">
        <v>1750</v>
      </c>
      <c r="H2101">
        <f>CONVERT(G2101,"HP","kW")</f>
        <v>1304.974775268973</v>
      </c>
      <c r="I2101">
        <v>0.79110000000000003</v>
      </c>
      <c r="J2101">
        <v>0.94710000000000005</v>
      </c>
      <c r="K2101">
        <v>0.45710000000000001</v>
      </c>
      <c r="L2101">
        <v>0.245</v>
      </c>
      <c r="M2101">
        <v>0.2046</v>
      </c>
      <c r="N2101">
        <f>CONVERT(O2101,"lbf","N")</f>
        <v>16723.533984733378</v>
      </c>
      <c r="O2101">
        <v>3759.6</v>
      </c>
      <c r="P2101">
        <f t="shared" si="32"/>
        <v>0.83510204081632655</v>
      </c>
    </row>
    <row r="2102" spans="1:16" hidden="1" x14ac:dyDescent="0.25">
      <c r="A2102">
        <v>0</v>
      </c>
      <c r="B2102">
        <v>0</v>
      </c>
      <c r="C2102">
        <f>1.225 * (1 - 0.00000687559 * B2102) ^ 4.2561</f>
        <v>1.2250000000000001</v>
      </c>
      <c r="D2102">
        <f>E2102*(SQRT($C$2/C2102))</f>
        <v>140</v>
      </c>
      <c r="E2102">
        <v>140</v>
      </c>
      <c r="F2102">
        <v>987</v>
      </c>
      <c r="G2102">
        <v>1750</v>
      </c>
      <c r="H2102">
        <f>CONVERT(G2102,"HP","kW")</f>
        <v>1304.974775268973</v>
      </c>
      <c r="I2102">
        <v>0.82950000000000002</v>
      </c>
      <c r="J2102">
        <v>1.1049</v>
      </c>
      <c r="K2102">
        <v>0.4703</v>
      </c>
      <c r="L2102">
        <v>0.245</v>
      </c>
      <c r="M2102">
        <v>0.18390000000000001</v>
      </c>
      <c r="N2102">
        <f>CONVERT(O2102,"lbf","N")</f>
        <v>15029.206371480652</v>
      </c>
      <c r="O2102">
        <v>3378.7</v>
      </c>
      <c r="P2102">
        <f t="shared" si="32"/>
        <v>0.75061224489795919</v>
      </c>
    </row>
    <row r="2103" spans="1:16" hidden="1" x14ac:dyDescent="0.25">
      <c r="A2103">
        <v>0</v>
      </c>
      <c r="B2103">
        <v>0</v>
      </c>
      <c r="C2103">
        <f>1.225 * (1 - 0.00000687559 * B2103) ^ 4.2561</f>
        <v>1.2250000000000001</v>
      </c>
      <c r="D2103">
        <f>E2103*(SQRT($C$2/C2103))</f>
        <v>160</v>
      </c>
      <c r="E2103">
        <v>160</v>
      </c>
      <c r="F2103">
        <v>987</v>
      </c>
      <c r="G2103">
        <v>1750</v>
      </c>
      <c r="H2103">
        <f>CONVERT(G2103,"HP","kW")</f>
        <v>1304.974775268973</v>
      </c>
      <c r="I2103">
        <v>0.85580000000000001</v>
      </c>
      <c r="J2103">
        <v>1.2627999999999999</v>
      </c>
      <c r="K2103">
        <v>0.48499999999999999</v>
      </c>
      <c r="L2103">
        <v>0.245</v>
      </c>
      <c r="M2103">
        <v>0.16600000000000001</v>
      </c>
      <c r="N2103">
        <f>CONVERT(O2103,"lbf","N")</f>
        <v>13568.85521519063</v>
      </c>
      <c r="O2103">
        <v>3050.4</v>
      </c>
      <c r="P2103">
        <f t="shared" si="32"/>
        <v>0.67755102040816328</v>
      </c>
    </row>
    <row r="2104" spans="1:16" hidden="1" x14ac:dyDescent="0.25">
      <c r="A2104">
        <v>0</v>
      </c>
      <c r="B2104">
        <v>0</v>
      </c>
      <c r="C2104">
        <f>1.225 * (1 - 0.00000687559 * B2104) ^ 4.2561</f>
        <v>1.2250000000000001</v>
      </c>
      <c r="D2104">
        <f>E2104*(SQRT($C$2/C2104))</f>
        <v>180</v>
      </c>
      <c r="E2104">
        <v>180</v>
      </c>
      <c r="F2104">
        <v>987</v>
      </c>
      <c r="G2104">
        <v>1750</v>
      </c>
      <c r="H2104">
        <f>CONVERT(G2104,"HP","kW")</f>
        <v>1304.974775268973</v>
      </c>
      <c r="I2104">
        <v>0.87370000000000003</v>
      </c>
      <c r="J2104">
        <v>1.4206000000000001</v>
      </c>
      <c r="K2104">
        <v>0.50090000000000001</v>
      </c>
      <c r="L2104">
        <v>0.245</v>
      </c>
      <c r="M2104">
        <v>0.1507</v>
      </c>
      <c r="N2104">
        <f>CONVERT(O2104,"lbf","N")</f>
        <v>12313.122253202591</v>
      </c>
      <c r="O2104">
        <v>2768.1</v>
      </c>
      <c r="P2104">
        <f t="shared" si="32"/>
        <v>0.61510204081632658</v>
      </c>
    </row>
    <row r="2105" spans="1:16" hidden="1" x14ac:dyDescent="0.25">
      <c r="A2105">
        <v>0</v>
      </c>
      <c r="B2105">
        <v>0</v>
      </c>
      <c r="C2105">
        <f>1.225 * (1 - 0.00000687559 * B2105) ^ 4.2561</f>
        <v>1.2250000000000001</v>
      </c>
      <c r="D2105">
        <f>E2105*(SQRT($C$2/C2105))</f>
        <v>200</v>
      </c>
      <c r="E2105">
        <v>200</v>
      </c>
      <c r="F2105">
        <v>987</v>
      </c>
      <c r="G2105">
        <v>1750</v>
      </c>
      <c r="H2105">
        <f>CONVERT(G2105,"HP","kW")</f>
        <v>1304.974775268973</v>
      </c>
      <c r="I2105">
        <v>0.88549999999999995</v>
      </c>
      <c r="J2105">
        <v>1.5785</v>
      </c>
      <c r="K2105">
        <v>0.5181</v>
      </c>
      <c r="L2105">
        <v>0.245</v>
      </c>
      <c r="M2105">
        <v>0.13739999999999999</v>
      </c>
      <c r="N2105">
        <f>CONVERT(O2105,"lbf","N")</f>
        <v>11231.314756371239</v>
      </c>
      <c r="O2105">
        <v>2524.9</v>
      </c>
      <c r="P2105">
        <f t="shared" si="32"/>
        <v>0.5608163265306122</v>
      </c>
    </row>
    <row r="2106" spans="1:16" hidden="1" x14ac:dyDescent="0.25">
      <c r="A2106">
        <v>0</v>
      </c>
      <c r="B2106">
        <v>0</v>
      </c>
      <c r="C2106">
        <f>1.225 * (1 - 0.00000687559 * B2106) ^ 4.2561</f>
        <v>1.2250000000000001</v>
      </c>
      <c r="D2106">
        <f>E2106*(SQRT($C$2/C2106))</f>
        <v>220</v>
      </c>
      <c r="E2106">
        <v>220</v>
      </c>
      <c r="F2106">
        <v>987</v>
      </c>
      <c r="G2106">
        <v>1750</v>
      </c>
      <c r="H2106">
        <f>CONVERT(G2106,"HP","kW")</f>
        <v>1304.974775268973</v>
      </c>
      <c r="I2106">
        <v>0.89270000000000005</v>
      </c>
      <c r="J2106">
        <v>1.7363</v>
      </c>
      <c r="K2106">
        <v>0.53639999999999999</v>
      </c>
      <c r="L2106">
        <v>0.245</v>
      </c>
      <c r="M2106">
        <v>0.12590000000000001</v>
      </c>
      <c r="N2106">
        <f>CONVERT(O2106,"lbf","N")</f>
        <v>10292.739995551272</v>
      </c>
      <c r="O2106">
        <v>2313.9</v>
      </c>
      <c r="P2106">
        <f t="shared" si="32"/>
        <v>0.51387755102040822</v>
      </c>
    </row>
    <row r="2107" spans="1:16" s="7" customFormat="1" hidden="1" x14ac:dyDescent="0.25">
      <c r="A2107" s="7">
        <v>0</v>
      </c>
      <c r="B2107" s="7">
        <v>0</v>
      </c>
      <c r="C2107" s="7">
        <f>1.225 * (1 - 0.00000687559 * B2107) ^ 4.2561</f>
        <v>1.2250000000000001</v>
      </c>
      <c r="D2107" s="7">
        <f>E2107*(SQRT($C$2/C2107))</f>
        <v>240</v>
      </c>
      <c r="E2107" s="7">
        <v>240</v>
      </c>
      <c r="F2107" s="7">
        <v>987</v>
      </c>
      <c r="G2107" s="7">
        <v>1750</v>
      </c>
      <c r="H2107" s="7">
        <f>CONVERT(G2107,"HP","kW")</f>
        <v>1304.974775268973</v>
      </c>
      <c r="I2107" s="7">
        <v>0.89600000000000002</v>
      </c>
      <c r="J2107" s="7">
        <v>1.8942000000000001</v>
      </c>
      <c r="K2107" s="7">
        <v>0.55569999999999997</v>
      </c>
      <c r="L2107" s="7">
        <v>0.245</v>
      </c>
      <c r="M2107" s="7">
        <v>0.1159</v>
      </c>
      <c r="N2107" s="7">
        <f>CONVERT(O2107,"lbf","N")</f>
        <v>9470.7086410511311</v>
      </c>
      <c r="O2107" s="7">
        <v>2129.1</v>
      </c>
      <c r="P2107" s="7">
        <f t="shared" si="32"/>
        <v>0.47306122448979593</v>
      </c>
    </row>
    <row r="2108" spans="1:16" hidden="1" x14ac:dyDescent="0.25">
      <c r="A2108">
        <v>0</v>
      </c>
      <c r="B2108">
        <v>0</v>
      </c>
      <c r="C2108">
        <f>1.225 * (1 - 0.00000687559 * B2108) ^ 4.2561</f>
        <v>1.2250000000000001</v>
      </c>
      <c r="D2108">
        <f>E2108*(SQRT($C$2/C2108))</f>
        <v>260</v>
      </c>
      <c r="E2108">
        <v>260</v>
      </c>
      <c r="F2108">
        <v>987</v>
      </c>
      <c r="G2108">
        <v>1750</v>
      </c>
      <c r="H2108">
        <f>CONVERT(G2108,"HP","kW")</f>
        <v>1304.974775268973</v>
      </c>
      <c r="I2108">
        <v>0.89590000000000003</v>
      </c>
      <c r="J2108">
        <v>2.052</v>
      </c>
      <c r="K2108">
        <v>0.57599999999999996</v>
      </c>
      <c r="L2108">
        <v>0.245</v>
      </c>
      <c r="M2108">
        <v>0.107</v>
      </c>
      <c r="N2108">
        <f>CONVERT(O2108,"lbf","N")</f>
        <v>8740.3106518253571</v>
      </c>
      <c r="O2108">
        <v>1964.9</v>
      </c>
      <c r="P2108">
        <f t="shared" si="32"/>
        <v>0.43673469387755104</v>
      </c>
    </row>
    <row r="2109" spans="1:16" hidden="1" x14ac:dyDescent="0.25">
      <c r="A2109">
        <v>0</v>
      </c>
      <c r="B2109">
        <v>0</v>
      </c>
      <c r="C2109">
        <f>1.225 * (1 - 0.00000687559 * B2109) ^ 4.2561</f>
        <v>1.2250000000000001</v>
      </c>
      <c r="D2109">
        <f>E2109*(SQRT($C$2/C2109))</f>
        <v>40</v>
      </c>
      <c r="E2109">
        <v>40</v>
      </c>
      <c r="F2109">
        <v>987</v>
      </c>
      <c r="G2109">
        <v>1750</v>
      </c>
      <c r="H2109">
        <f>CONVERT(G2109,"HP","kW")</f>
        <v>1304.974775268973</v>
      </c>
      <c r="I2109">
        <v>0.36990000000000001</v>
      </c>
      <c r="J2109">
        <v>0.31569999999999998</v>
      </c>
      <c r="K2109">
        <v>0.41839999999999999</v>
      </c>
      <c r="L2109">
        <v>0.24529999999999999</v>
      </c>
      <c r="M2109">
        <v>0.28739999999999999</v>
      </c>
      <c r="N2109">
        <f>CONVERT(O2109,"lbf","N")</f>
        <v>23460.365621045403</v>
      </c>
      <c r="O2109">
        <v>5274.1</v>
      </c>
      <c r="P2109">
        <f t="shared" si="32"/>
        <v>1.1716265796983285</v>
      </c>
    </row>
    <row r="2110" spans="1:16" hidden="1" x14ac:dyDescent="0.25">
      <c r="A2110">
        <v>0</v>
      </c>
      <c r="B2110">
        <v>15000</v>
      </c>
      <c r="C2110">
        <f>1.225 * (1 - 0.00000687559 * B2110) ^ 4.2561</f>
        <v>0.77079726910167001</v>
      </c>
      <c r="D2110">
        <f>E2110*(SQRT($C$2/C2110))</f>
        <v>75.639597832599179</v>
      </c>
      <c r="E2110">
        <v>60</v>
      </c>
      <c r="F2110">
        <v>1150</v>
      </c>
      <c r="G2110">
        <v>1750</v>
      </c>
      <c r="H2110">
        <f>CONVERT(G2110,"HP","kW")</f>
        <v>1304.974775268973</v>
      </c>
      <c r="I2110">
        <v>0.57050000000000001</v>
      </c>
      <c r="J2110">
        <v>0.51239999999999997</v>
      </c>
      <c r="K2110">
        <v>0.52629999999999999</v>
      </c>
      <c r="L2110">
        <v>0.246</v>
      </c>
      <c r="M2110">
        <v>0.27389999999999998</v>
      </c>
      <c r="N2110">
        <f>CONVERT(O2110,"lbf","N")</f>
        <v>19132.690811558463</v>
      </c>
      <c r="O2110">
        <v>4301.2</v>
      </c>
      <c r="P2110">
        <f t="shared" si="32"/>
        <v>1.1134146341463413</v>
      </c>
    </row>
    <row r="2111" spans="1:16" hidden="1" x14ac:dyDescent="0.25">
      <c r="A2111">
        <v>0</v>
      </c>
      <c r="B2111">
        <v>15000</v>
      </c>
      <c r="C2111">
        <f>1.225 * (1 - 0.00000687559 * B2111) ^ 4.2561</f>
        <v>0.77079726910167001</v>
      </c>
      <c r="D2111">
        <f>E2111*(SQRT($C$2/C2111))</f>
        <v>25.213199277533057</v>
      </c>
      <c r="E2111">
        <v>20</v>
      </c>
      <c r="F2111">
        <v>1150</v>
      </c>
      <c r="G2111">
        <v>1750</v>
      </c>
      <c r="H2111">
        <f>CONVERT(G2111,"HP","kW")</f>
        <v>1304.974775268973</v>
      </c>
      <c r="I2111">
        <v>0.1933</v>
      </c>
      <c r="J2111">
        <v>0.17080000000000001</v>
      </c>
      <c r="K2111">
        <v>0.50860000000000005</v>
      </c>
      <c r="L2111">
        <v>0.24610000000000001</v>
      </c>
      <c r="M2111">
        <v>0.27850000000000003</v>
      </c>
      <c r="N2111">
        <f>CONVERT(O2111,"lbf","N")</f>
        <v>19444.955968949751</v>
      </c>
      <c r="O2111">
        <v>4371.3999999999996</v>
      </c>
      <c r="P2111">
        <f t="shared" si="32"/>
        <v>1.13165379926859</v>
      </c>
    </row>
    <row r="2112" spans="1:16" hidden="1" x14ac:dyDescent="0.25">
      <c r="A2112">
        <v>0</v>
      </c>
      <c r="B2112">
        <v>15000</v>
      </c>
      <c r="C2112">
        <f>1.225 * (1 - 0.00000687559 * B2112) ^ 4.2561</f>
        <v>0.77079726910167001</v>
      </c>
      <c r="D2112">
        <f>E2112*(SQRT($C$2/C2112))</f>
        <v>100.85279711013223</v>
      </c>
      <c r="E2112">
        <v>80</v>
      </c>
      <c r="F2112">
        <v>1150</v>
      </c>
      <c r="G2112">
        <v>1750</v>
      </c>
      <c r="H2112">
        <f>CONVERT(G2112,"HP","kW")</f>
        <v>1304.974775268973</v>
      </c>
      <c r="I2112">
        <v>0.68440000000000001</v>
      </c>
      <c r="J2112">
        <v>0.68310000000000004</v>
      </c>
      <c r="K2112">
        <v>0.53890000000000005</v>
      </c>
      <c r="L2112">
        <v>0.24610000000000001</v>
      </c>
      <c r="M2112">
        <v>0.24660000000000001</v>
      </c>
      <c r="N2112">
        <f>CONVERT(O2112,"lbf","N")</f>
        <v>17213.728006735084</v>
      </c>
      <c r="O2112">
        <v>3869.8</v>
      </c>
      <c r="P2112">
        <f t="shared" si="32"/>
        <v>1.0020316944331573</v>
      </c>
    </row>
    <row r="2113" spans="1:16" hidden="1" x14ac:dyDescent="0.25">
      <c r="A2113">
        <v>0</v>
      </c>
      <c r="B2113">
        <v>15000</v>
      </c>
      <c r="C2113">
        <f>1.225 * (1 - 0.00000687559 * B2113) ^ 4.2561</f>
        <v>0.77079726910167001</v>
      </c>
      <c r="D2113">
        <f>E2113*(SQRT($C$2/C2113))</f>
        <v>126.06599638766529</v>
      </c>
      <c r="E2113">
        <v>100</v>
      </c>
      <c r="F2113">
        <v>1150</v>
      </c>
      <c r="G2113">
        <v>1750</v>
      </c>
      <c r="H2113">
        <f>CONVERT(G2113,"HP","kW")</f>
        <v>1304.974775268973</v>
      </c>
      <c r="I2113">
        <v>0.75890000000000002</v>
      </c>
      <c r="J2113">
        <v>0.85389999999999999</v>
      </c>
      <c r="K2113">
        <v>0.55349999999999999</v>
      </c>
      <c r="L2113">
        <v>0.24610000000000001</v>
      </c>
      <c r="M2113">
        <v>0.21870000000000001</v>
      </c>
      <c r="N2113">
        <f>CONVERT(O2113,"lbf","N")</f>
        <v>15271.189627350821</v>
      </c>
      <c r="O2113">
        <v>3433.1</v>
      </c>
      <c r="P2113">
        <f t="shared" si="32"/>
        <v>0.8886631450629825</v>
      </c>
    </row>
    <row r="2114" spans="1:16" hidden="1" x14ac:dyDescent="0.25">
      <c r="A2114">
        <v>0</v>
      </c>
      <c r="B2114">
        <v>15000</v>
      </c>
      <c r="C2114">
        <f>1.225 * (1 - 0.00000687559 * B2114) ^ 4.2561</f>
        <v>0.77079726910167001</v>
      </c>
      <c r="D2114">
        <f>E2114*(SQRT($C$2/C2114))</f>
        <v>151.27919566519836</v>
      </c>
      <c r="E2114">
        <v>120</v>
      </c>
      <c r="F2114">
        <v>1150</v>
      </c>
      <c r="G2114">
        <v>1750</v>
      </c>
      <c r="H2114">
        <f>CONVERT(G2114,"HP","kW")</f>
        <v>1304.974775268973</v>
      </c>
      <c r="I2114">
        <v>0.81</v>
      </c>
      <c r="J2114">
        <v>1.0246999999999999</v>
      </c>
      <c r="K2114">
        <v>0.57010000000000005</v>
      </c>
      <c r="L2114">
        <v>0.24610000000000001</v>
      </c>
      <c r="M2114">
        <v>0.19450000000000001</v>
      </c>
      <c r="N2114">
        <f>CONVERT(O2114,"lbf","N")</f>
        <v>13582.644702197938</v>
      </c>
      <c r="O2114">
        <v>3053.5</v>
      </c>
      <c r="P2114">
        <f t="shared" si="32"/>
        <v>0.79032913449817144</v>
      </c>
    </row>
    <row r="2115" spans="1:16" hidden="1" x14ac:dyDescent="0.25">
      <c r="A2115">
        <v>0</v>
      </c>
      <c r="B2115">
        <v>15000</v>
      </c>
      <c r="C2115">
        <f>1.225 * (1 - 0.00000687559 * B2115) ^ 4.2561</f>
        <v>0.77079726910167001</v>
      </c>
      <c r="D2115">
        <f>E2115*(SQRT($C$2/C2115))</f>
        <v>176.49239494273141</v>
      </c>
      <c r="E2115">
        <v>140</v>
      </c>
      <c r="F2115">
        <v>1150</v>
      </c>
      <c r="G2115">
        <v>1750</v>
      </c>
      <c r="H2115">
        <f>CONVERT(G2115,"HP","kW")</f>
        <v>1304.974775268973</v>
      </c>
      <c r="I2115">
        <v>0.84450000000000003</v>
      </c>
      <c r="J2115">
        <v>1.1955</v>
      </c>
      <c r="K2115">
        <v>0.5887</v>
      </c>
      <c r="L2115">
        <v>0.24610000000000001</v>
      </c>
      <c r="M2115">
        <v>0.17380000000000001</v>
      </c>
      <c r="N2115">
        <f>CONVERT(O2115,"lbf","N")</f>
        <v>12137.862321561326</v>
      </c>
      <c r="O2115">
        <v>2728.7</v>
      </c>
      <c r="P2115">
        <f t="shared" ref="P2115:P2178" si="33">M2115/L2115</f>
        <v>0.70621698496546115</v>
      </c>
    </row>
    <row r="2116" spans="1:16" hidden="1" x14ac:dyDescent="0.25">
      <c r="A2116">
        <v>0</v>
      </c>
      <c r="B2116">
        <v>15000</v>
      </c>
      <c r="C2116">
        <f>1.225 * (1 - 0.00000687559 * B2116) ^ 4.2561</f>
        <v>0.77079726910167001</v>
      </c>
      <c r="D2116">
        <f>E2116*(SQRT($C$2/C2116))</f>
        <v>201.70559422026446</v>
      </c>
      <c r="E2116">
        <v>160</v>
      </c>
      <c r="F2116">
        <v>1150</v>
      </c>
      <c r="G2116">
        <v>1750</v>
      </c>
      <c r="H2116">
        <f>CONVERT(G2116,"HP","kW")</f>
        <v>1304.974775268973</v>
      </c>
      <c r="I2116">
        <v>0.86750000000000005</v>
      </c>
      <c r="J2116">
        <v>1.3663000000000001</v>
      </c>
      <c r="K2116">
        <v>0.60929999999999995</v>
      </c>
      <c r="L2116">
        <v>0.24610000000000001</v>
      </c>
      <c r="M2116">
        <v>0.15629999999999999</v>
      </c>
      <c r="N2116">
        <f>CONVERT(O2116,"lbf","N")</f>
        <v>10910.597977910955</v>
      </c>
      <c r="O2116">
        <v>2452.8000000000002</v>
      </c>
      <c r="P2116">
        <f t="shared" si="33"/>
        <v>0.6351076798049573</v>
      </c>
    </row>
    <row r="2117" spans="1:16" hidden="1" x14ac:dyDescent="0.25">
      <c r="A2117">
        <v>0</v>
      </c>
      <c r="B2117">
        <v>15000</v>
      </c>
      <c r="C2117">
        <f>1.225 * (1 - 0.00000687559 * B2117) ^ 4.2561</f>
        <v>0.77079726910167001</v>
      </c>
      <c r="D2117">
        <f>E2117*(SQRT($C$2/C2117))</f>
        <v>226.91879349779754</v>
      </c>
      <c r="E2117">
        <v>180</v>
      </c>
      <c r="F2117">
        <v>1150</v>
      </c>
      <c r="G2117">
        <v>1750</v>
      </c>
      <c r="H2117">
        <f>CONVERT(G2117,"HP","kW")</f>
        <v>1304.974775268973</v>
      </c>
      <c r="I2117">
        <v>0.88260000000000005</v>
      </c>
      <c r="J2117">
        <v>1.5370999999999999</v>
      </c>
      <c r="K2117">
        <v>0.63170000000000004</v>
      </c>
      <c r="L2117">
        <v>0.24610000000000001</v>
      </c>
      <c r="M2117">
        <v>0.14130000000000001</v>
      </c>
      <c r="N2117">
        <f>CONVERT(O2117,"lbf","N")</f>
        <v>9866.6003648093156</v>
      </c>
      <c r="O2117">
        <v>2218.1</v>
      </c>
      <c r="P2117">
        <f t="shared" si="33"/>
        <v>0.57415684681023971</v>
      </c>
    </row>
    <row r="2118" spans="1:16" hidden="1" x14ac:dyDescent="0.25">
      <c r="A2118" s="4">
        <v>0</v>
      </c>
      <c r="B2118" s="4">
        <v>15000</v>
      </c>
      <c r="C2118" s="4">
        <f>1.225 * (1 - 0.00000687559 * B2118) ^ 4.2561</f>
        <v>0.77079726910167001</v>
      </c>
      <c r="D2118" s="4">
        <f>E2118*(SQRT($C$2/C2118))</f>
        <v>252.13199277533059</v>
      </c>
      <c r="E2118" s="4">
        <v>200</v>
      </c>
      <c r="F2118" s="4">
        <v>1150</v>
      </c>
      <c r="G2118" s="4">
        <v>1750</v>
      </c>
      <c r="H2118" s="4">
        <f>CONVERT(G2118,"HP","kW")</f>
        <v>1304.974775268973</v>
      </c>
      <c r="I2118" s="4">
        <v>0.89180000000000004</v>
      </c>
      <c r="J2118" s="4">
        <v>1.7079</v>
      </c>
      <c r="K2118" s="4">
        <v>0.65569999999999995</v>
      </c>
      <c r="L2118" s="4">
        <v>0.24610000000000001</v>
      </c>
      <c r="M2118" s="4">
        <v>0.1285</v>
      </c>
      <c r="N2118">
        <f>CONVERT(O2118,"lbf","N")</f>
        <v>8972.5078201419547</v>
      </c>
      <c r="O2118" s="4">
        <v>2017.1</v>
      </c>
      <c r="P2118">
        <f t="shared" si="33"/>
        <v>0.52214546932141404</v>
      </c>
    </row>
    <row r="2119" spans="1:16" hidden="1" x14ac:dyDescent="0.25">
      <c r="A2119">
        <v>0</v>
      </c>
      <c r="B2119">
        <v>15000</v>
      </c>
      <c r="C2119">
        <f>1.225 * (1 - 0.00000687559 * B2119) ^ 4.2561</f>
        <v>0.77079726910167001</v>
      </c>
      <c r="D2119">
        <f>E2119*(SQRT($C$2/C2119))</f>
        <v>277.34519205286364</v>
      </c>
      <c r="E2119">
        <v>220</v>
      </c>
      <c r="F2119">
        <v>1150</v>
      </c>
      <c r="G2119">
        <v>1750</v>
      </c>
      <c r="H2119">
        <f>CONVERT(G2119,"HP","kW")</f>
        <v>1304.974775268973</v>
      </c>
      <c r="I2119">
        <v>0.8962</v>
      </c>
      <c r="J2119">
        <v>1.8787</v>
      </c>
      <c r="K2119">
        <v>0.68130000000000002</v>
      </c>
      <c r="L2119">
        <v>0.24610000000000001</v>
      </c>
      <c r="M2119">
        <v>0.1174</v>
      </c>
      <c r="N2119">
        <f>CONVERT(O2119,"lbf","N")</f>
        <v>8196.737970440523</v>
      </c>
      <c r="O2119">
        <v>1842.7</v>
      </c>
      <c r="P2119">
        <f t="shared" si="33"/>
        <v>0.47704185290532303</v>
      </c>
    </row>
    <row r="2120" spans="1:16" hidden="1" x14ac:dyDescent="0.25">
      <c r="A2120">
        <v>0</v>
      </c>
      <c r="B2120">
        <v>15000</v>
      </c>
      <c r="C2120">
        <f>1.225 * (1 - 0.00000687559 * B2120) ^ 4.2561</f>
        <v>0.77079726910167001</v>
      </c>
      <c r="D2120">
        <f>E2120*(SQRT($C$2/C2120))</f>
        <v>302.55839133039672</v>
      </c>
      <c r="E2120">
        <v>240</v>
      </c>
      <c r="F2120">
        <v>1150</v>
      </c>
      <c r="G2120">
        <v>1750</v>
      </c>
      <c r="H2120">
        <f>CONVERT(G2120,"HP","kW")</f>
        <v>1304.974775268973</v>
      </c>
      <c r="I2120">
        <v>0.89180000000000004</v>
      </c>
      <c r="J2120">
        <v>2.0493999999999999</v>
      </c>
      <c r="K2120">
        <v>0.70820000000000005</v>
      </c>
      <c r="L2120">
        <v>0.24610000000000001</v>
      </c>
      <c r="M2120">
        <v>0.1071</v>
      </c>
      <c r="N2120">
        <f>CONVERT(O2120,"lbf","N")</f>
        <v>7477.0157130913749</v>
      </c>
      <c r="O2120">
        <v>1680.9</v>
      </c>
      <c r="P2120">
        <f t="shared" si="33"/>
        <v>0.4351889475822836</v>
      </c>
    </row>
    <row r="2121" spans="1:16" hidden="1" x14ac:dyDescent="0.25">
      <c r="A2121">
        <v>0</v>
      </c>
      <c r="B2121">
        <v>15000</v>
      </c>
      <c r="C2121">
        <f>1.225 * (1 - 0.00000687559 * B2121) ^ 4.2561</f>
        <v>0.77079726910167001</v>
      </c>
      <c r="D2121">
        <f>E2121*(SQRT($C$2/C2121))</f>
        <v>0</v>
      </c>
      <c r="E2121">
        <v>0</v>
      </c>
      <c r="F2121">
        <v>1150</v>
      </c>
      <c r="G2121">
        <v>1750</v>
      </c>
      <c r="H2121">
        <f>CONVERT(G2121,"HP","kW")</f>
        <v>1304.974775268973</v>
      </c>
      <c r="I2121">
        <v>0</v>
      </c>
      <c r="J2121">
        <v>0</v>
      </c>
      <c r="K2121">
        <v>0.50319999999999998</v>
      </c>
      <c r="L2121">
        <v>0.2462</v>
      </c>
      <c r="M2121">
        <v>0.26910000000000001</v>
      </c>
      <c r="N2121">
        <f>CONVERT(O2121,"lbf","N")</f>
        <v>18781.281303952881</v>
      </c>
      <c r="O2121">
        <v>4222.2</v>
      </c>
      <c r="P2121">
        <f t="shared" si="33"/>
        <v>1.0930138099106417</v>
      </c>
    </row>
    <row r="2122" spans="1:16" hidden="1" x14ac:dyDescent="0.25">
      <c r="A2122">
        <v>0</v>
      </c>
      <c r="B2122">
        <v>15000</v>
      </c>
      <c r="C2122">
        <f>1.225 * (1 - 0.00000687559 * B2122) ^ 4.2561</f>
        <v>0.77079726910167001</v>
      </c>
      <c r="D2122">
        <f>E2122*(SQRT($C$2/C2122))</f>
        <v>50.426398555066115</v>
      </c>
      <c r="E2122">
        <v>40</v>
      </c>
      <c r="F2122">
        <v>1150</v>
      </c>
      <c r="G2122">
        <v>1750</v>
      </c>
      <c r="H2122">
        <f>CONVERT(G2122,"HP","kW")</f>
        <v>1304.974775268973</v>
      </c>
      <c r="I2122">
        <v>0.39600000000000002</v>
      </c>
      <c r="J2122">
        <v>0.34160000000000001</v>
      </c>
      <c r="K2122">
        <v>0.51600000000000001</v>
      </c>
      <c r="L2122">
        <v>0.2462</v>
      </c>
      <c r="M2122">
        <v>0.28539999999999999</v>
      </c>
      <c r="N2122">
        <f>CONVERT(O2122,"lbf","N")</f>
        <v>19919.581215298047</v>
      </c>
      <c r="O2122">
        <v>4478.1000000000004</v>
      </c>
      <c r="P2122">
        <f t="shared" si="33"/>
        <v>1.1592201462225833</v>
      </c>
    </row>
    <row r="2123" spans="1:16" hidden="1" x14ac:dyDescent="0.25">
      <c r="A2123">
        <v>0</v>
      </c>
      <c r="B2123">
        <v>15000</v>
      </c>
      <c r="C2123">
        <f>1.225 * (1 - 0.00000687559 * B2123) ^ 4.2561</f>
        <v>0.77079726910167001</v>
      </c>
      <c r="D2123">
        <f>E2123*(SQRT($C$2/C2123))</f>
        <v>327.77159060792974</v>
      </c>
      <c r="E2123">
        <v>260</v>
      </c>
      <c r="F2123">
        <v>1150</v>
      </c>
      <c r="G2123">
        <v>1750</v>
      </c>
      <c r="H2123">
        <f>CONVERT(G2123,"HP","kW")</f>
        <v>1304.974775268973</v>
      </c>
      <c r="I2123">
        <v>0.86550000000000005</v>
      </c>
      <c r="J2123">
        <v>2.2202000000000002</v>
      </c>
      <c r="K2123">
        <v>0.73629999999999995</v>
      </c>
      <c r="L2123">
        <v>0.2462</v>
      </c>
      <c r="M2123">
        <v>9.6000000000000002E-2</v>
      </c>
      <c r="N2123">
        <f>CONVERT(O2123,"lbf","N")</f>
        <v>6698.576930420787</v>
      </c>
      <c r="O2123">
        <v>1505.9</v>
      </c>
      <c r="P2123">
        <f t="shared" si="33"/>
        <v>0.38992688870836717</v>
      </c>
    </row>
    <row r="2124" spans="1:16" hidden="1" x14ac:dyDescent="0.25">
      <c r="A2124">
        <v>0</v>
      </c>
      <c r="B2124">
        <v>20000</v>
      </c>
      <c r="C2124">
        <f>1.225 * (1 - 0.00000687559 * B2124) ^ 4.2561</f>
        <v>0.65267221054298263</v>
      </c>
      <c r="D2124">
        <f>E2124*(SQRT($C$2/C2124))</f>
        <v>219.19995777331309</v>
      </c>
      <c r="E2124">
        <v>160</v>
      </c>
      <c r="F2124">
        <v>1215</v>
      </c>
      <c r="G2124">
        <v>1750</v>
      </c>
      <c r="H2124">
        <f>CONVERT(G2124,"HP","kW")</f>
        <v>1304.974775268973</v>
      </c>
      <c r="I2124">
        <v>0.87090000000000001</v>
      </c>
      <c r="J2124">
        <v>1.4054</v>
      </c>
      <c r="K2124">
        <v>0.66180000000000005</v>
      </c>
      <c r="L2124">
        <v>0.2462</v>
      </c>
      <c r="M2124">
        <v>0.15260000000000001</v>
      </c>
      <c r="N2124">
        <f>CONVERT(O2124,"lbf","N")</f>
        <v>10078.780535857242</v>
      </c>
      <c r="O2124">
        <v>2265.8000000000002</v>
      </c>
      <c r="P2124">
        <f t="shared" si="33"/>
        <v>0.61982128350934207</v>
      </c>
    </row>
    <row r="2125" spans="1:16" hidden="1" x14ac:dyDescent="0.25">
      <c r="A2125">
        <v>0</v>
      </c>
      <c r="B2125">
        <v>20000</v>
      </c>
      <c r="C2125">
        <f>1.225 * (1 - 0.00000687559 * B2125) ^ 4.2561</f>
        <v>0.65267221054298263</v>
      </c>
      <c r="D2125">
        <f>E2125*(SQRT($C$2/C2125))</f>
        <v>273.99994721664137</v>
      </c>
      <c r="E2125">
        <v>200</v>
      </c>
      <c r="F2125">
        <v>1215</v>
      </c>
      <c r="G2125">
        <v>1750</v>
      </c>
      <c r="H2125">
        <f>CONVERT(G2125,"HP","kW")</f>
        <v>1304.974775268973</v>
      </c>
      <c r="I2125">
        <v>0.88400000000000001</v>
      </c>
      <c r="J2125">
        <v>1.7566999999999999</v>
      </c>
      <c r="K2125">
        <v>0.71419999999999995</v>
      </c>
      <c r="L2125">
        <v>0.2462</v>
      </c>
      <c r="M2125">
        <v>0.1239</v>
      </c>
      <c r="N2125">
        <f>CONVERT(O2125,"lbf","N")</f>
        <v>8184.2829499177942</v>
      </c>
      <c r="O2125">
        <v>1839.9</v>
      </c>
      <c r="P2125">
        <f t="shared" si="33"/>
        <v>0.50324939073923636</v>
      </c>
    </row>
    <row r="2126" spans="1:16" hidden="1" x14ac:dyDescent="0.25">
      <c r="A2126">
        <v>0</v>
      </c>
      <c r="B2126">
        <v>20000</v>
      </c>
      <c r="C2126">
        <f>1.225 * (1 - 0.00000687559 * B2126) ^ 4.2561</f>
        <v>0.65267221054298263</v>
      </c>
      <c r="D2126">
        <f>E2126*(SQRT($C$2/C2126))</f>
        <v>191.79996305164894</v>
      </c>
      <c r="E2126">
        <v>140</v>
      </c>
      <c r="F2126">
        <v>1215</v>
      </c>
      <c r="G2126">
        <v>1750</v>
      </c>
      <c r="H2126">
        <f>CONVERT(G2126,"HP","kW")</f>
        <v>1304.974775268973</v>
      </c>
      <c r="I2126">
        <v>0.84889999999999999</v>
      </c>
      <c r="J2126">
        <v>1.2297</v>
      </c>
      <c r="K2126">
        <v>0.63849999999999996</v>
      </c>
      <c r="L2126">
        <v>0.24629999999999999</v>
      </c>
      <c r="M2126">
        <v>0.17</v>
      </c>
      <c r="N2126">
        <f>CONVERT(O2126,"lbf","N")</f>
        <v>11226.866534755976</v>
      </c>
      <c r="O2126">
        <v>2523.9</v>
      </c>
      <c r="P2126">
        <f t="shared" si="33"/>
        <v>0.69021518473406418</v>
      </c>
    </row>
    <row r="2127" spans="1:16" hidden="1" x14ac:dyDescent="0.25">
      <c r="A2127">
        <v>0</v>
      </c>
      <c r="B2127">
        <v>20000</v>
      </c>
      <c r="C2127">
        <f>1.225 * (1 - 0.00000687559 * B2127) ^ 4.2561</f>
        <v>0.65267221054298263</v>
      </c>
      <c r="D2127">
        <f>E2127*(SQRT($C$2/C2127))</f>
        <v>246.59995249497723</v>
      </c>
      <c r="E2127">
        <v>180</v>
      </c>
      <c r="F2127">
        <v>1215</v>
      </c>
      <c r="G2127">
        <v>1750</v>
      </c>
      <c r="H2127">
        <f>CONVERT(G2127,"HP","kW")</f>
        <v>1304.974775268973</v>
      </c>
      <c r="I2127">
        <v>0.88419999999999999</v>
      </c>
      <c r="J2127">
        <v>1.581</v>
      </c>
      <c r="K2127">
        <v>0.68710000000000004</v>
      </c>
      <c r="L2127">
        <v>0.24629999999999999</v>
      </c>
      <c r="M2127">
        <v>0.13769999999999999</v>
      </c>
      <c r="N2127">
        <f>CONVERT(O2127,"lbf","N")</f>
        <v>9095.2787367231449</v>
      </c>
      <c r="O2127">
        <v>2044.7</v>
      </c>
      <c r="P2127">
        <f t="shared" si="33"/>
        <v>0.55907429963459199</v>
      </c>
    </row>
    <row r="2128" spans="1:16" hidden="1" x14ac:dyDescent="0.25">
      <c r="A2128">
        <v>0</v>
      </c>
      <c r="B2128">
        <v>20000</v>
      </c>
      <c r="C2128">
        <f>1.225 * (1 - 0.00000687559 * B2128) ^ 4.2561</f>
        <v>0.65267221054298263</v>
      </c>
      <c r="D2128">
        <f>E2128*(SQRT($C$2/C2128))</f>
        <v>27.399994721664136</v>
      </c>
      <c r="E2128">
        <v>20</v>
      </c>
      <c r="F2128">
        <v>1215</v>
      </c>
      <c r="G2128">
        <v>1750</v>
      </c>
      <c r="H2128">
        <f>CONVERT(G2128,"HP","kW")</f>
        <v>1304.974775268973</v>
      </c>
      <c r="I2128">
        <v>0.19739999999999999</v>
      </c>
      <c r="J2128">
        <v>0.1757</v>
      </c>
      <c r="K2128">
        <v>0.54810000000000003</v>
      </c>
      <c r="L2128">
        <v>0.24640000000000001</v>
      </c>
      <c r="M2128">
        <v>0.27689999999999998</v>
      </c>
      <c r="N2128">
        <f>CONVERT(O2128,"lbf","N")</f>
        <v>18275.518506297765</v>
      </c>
      <c r="O2128">
        <v>4108.5</v>
      </c>
      <c r="P2128">
        <f t="shared" si="33"/>
        <v>1.1237824675324675</v>
      </c>
    </row>
    <row r="2129" spans="1:16" hidden="1" x14ac:dyDescent="0.25">
      <c r="A2129">
        <v>0</v>
      </c>
      <c r="B2129">
        <v>20000</v>
      </c>
      <c r="C2129">
        <f>1.225 * (1 - 0.00000687559 * B2129) ^ 4.2561</f>
        <v>0.65267221054298263</v>
      </c>
      <c r="D2129">
        <f>E2129*(SQRT($C$2/C2129))</f>
        <v>164.3999683299848</v>
      </c>
      <c r="E2129">
        <v>120</v>
      </c>
      <c r="F2129">
        <v>1215</v>
      </c>
      <c r="G2129">
        <v>1750</v>
      </c>
      <c r="H2129">
        <f>CONVERT(G2129,"HP","kW")</f>
        <v>1304.974775268973</v>
      </c>
      <c r="I2129">
        <v>0.81569999999999998</v>
      </c>
      <c r="J2129">
        <v>1.054</v>
      </c>
      <c r="K2129">
        <v>0.61750000000000005</v>
      </c>
      <c r="L2129">
        <v>0.24640000000000001</v>
      </c>
      <c r="M2129">
        <v>0.19070000000000001</v>
      </c>
      <c r="N2129">
        <f>CONVERT(O2129,"lbf","N")</f>
        <v>12585.79823821806</v>
      </c>
      <c r="O2129">
        <v>2829.4</v>
      </c>
      <c r="P2129">
        <f t="shared" si="33"/>
        <v>0.77394480519480524</v>
      </c>
    </row>
    <row r="2130" spans="1:16" hidden="1" x14ac:dyDescent="0.25">
      <c r="A2130">
        <v>0</v>
      </c>
      <c r="B2130">
        <v>20000</v>
      </c>
      <c r="C2130">
        <f>1.225 * (1 - 0.00000687559 * B2130) ^ 4.2561</f>
        <v>0.65267221054298263</v>
      </c>
      <c r="D2130">
        <f>E2130*(SQRT($C$2/C2130))</f>
        <v>301.39994193830552</v>
      </c>
      <c r="E2130">
        <v>220</v>
      </c>
      <c r="F2130">
        <v>1215</v>
      </c>
      <c r="G2130">
        <v>1750</v>
      </c>
      <c r="H2130">
        <f>CONVERT(G2130,"HP","kW")</f>
        <v>1304.974775268973</v>
      </c>
      <c r="I2130">
        <v>0.86939999999999995</v>
      </c>
      <c r="J2130">
        <v>1.9323999999999999</v>
      </c>
      <c r="K2130">
        <v>0.74299999999999999</v>
      </c>
      <c r="L2130">
        <v>0.24640000000000001</v>
      </c>
      <c r="M2130">
        <v>0.1109</v>
      </c>
      <c r="N2130">
        <f>CONVERT(O2130,"lbf","N")</f>
        <v>7317.7693792650489</v>
      </c>
      <c r="O2130">
        <v>1645.1</v>
      </c>
      <c r="P2130">
        <f t="shared" si="33"/>
        <v>0.45008116883116883</v>
      </c>
    </row>
    <row r="2131" spans="1:16" hidden="1" x14ac:dyDescent="0.25">
      <c r="A2131">
        <v>0</v>
      </c>
      <c r="B2131">
        <v>20000</v>
      </c>
      <c r="C2131">
        <f>1.225 * (1 - 0.00000687559 * B2131) ^ 4.2561</f>
        <v>0.65267221054298263</v>
      </c>
      <c r="D2131">
        <f>E2131*(SQRT($C$2/C2131))</f>
        <v>0</v>
      </c>
      <c r="E2131">
        <v>0</v>
      </c>
      <c r="F2131">
        <v>1215</v>
      </c>
      <c r="G2131">
        <v>1750</v>
      </c>
      <c r="H2131">
        <f>CONVERT(G2131,"HP","kW")</f>
        <v>1304.974775268973</v>
      </c>
      <c r="I2131">
        <v>0</v>
      </c>
      <c r="J2131">
        <v>0</v>
      </c>
      <c r="K2131">
        <v>0.54200000000000004</v>
      </c>
      <c r="L2131">
        <v>0.2465</v>
      </c>
      <c r="M2131">
        <v>0.26690000000000003</v>
      </c>
      <c r="N2131">
        <f>CONVERT(O2131,"lbf","N")</f>
        <v>17608.730086170217</v>
      </c>
      <c r="O2131">
        <v>3958.6</v>
      </c>
      <c r="P2131">
        <f t="shared" si="33"/>
        <v>1.0827586206896553</v>
      </c>
    </row>
    <row r="2132" spans="1:16" hidden="1" x14ac:dyDescent="0.25">
      <c r="A2132">
        <v>0</v>
      </c>
      <c r="B2132">
        <v>20000</v>
      </c>
      <c r="C2132">
        <f>1.225 * (1 - 0.00000687559 * B2132) ^ 4.2561</f>
        <v>0.65267221054298263</v>
      </c>
      <c r="D2132">
        <f>E2132*(SQRT($C$2/C2132))</f>
        <v>54.799989443328272</v>
      </c>
      <c r="E2132">
        <v>40</v>
      </c>
      <c r="F2132">
        <v>1215</v>
      </c>
      <c r="G2132">
        <v>1750</v>
      </c>
      <c r="H2132">
        <f>CONVERT(G2132,"HP","kW")</f>
        <v>1304.974775268973</v>
      </c>
      <c r="I2132">
        <v>0.40410000000000001</v>
      </c>
      <c r="J2132">
        <v>0.3513</v>
      </c>
      <c r="K2132">
        <v>0.55649999999999999</v>
      </c>
      <c r="L2132">
        <v>0.2465</v>
      </c>
      <c r="M2132">
        <v>0.28349999999999997</v>
      </c>
      <c r="N2132">
        <f>CONVERT(O2132,"lbf","N")</f>
        <v>18707.885647301086</v>
      </c>
      <c r="O2132">
        <v>4205.7</v>
      </c>
      <c r="P2132">
        <f t="shared" si="33"/>
        <v>1.1501014198782959</v>
      </c>
    </row>
    <row r="2133" spans="1:16" hidden="1" x14ac:dyDescent="0.25">
      <c r="A2133">
        <v>0</v>
      </c>
      <c r="B2133">
        <v>20000</v>
      </c>
      <c r="C2133">
        <f>1.225 * (1 - 0.00000687559 * B2133) ^ 4.2561</f>
        <v>0.65267221054298263</v>
      </c>
      <c r="D2133">
        <f>E2133*(SQRT($C$2/C2133))</f>
        <v>82.199984164992401</v>
      </c>
      <c r="E2133">
        <v>60</v>
      </c>
      <c r="F2133">
        <v>1215</v>
      </c>
      <c r="G2133">
        <v>1750</v>
      </c>
      <c r="H2133">
        <f>CONVERT(G2133,"HP","kW")</f>
        <v>1304.974775268973</v>
      </c>
      <c r="I2133">
        <v>0.57830000000000004</v>
      </c>
      <c r="J2133">
        <v>0.52700000000000002</v>
      </c>
      <c r="K2133">
        <v>0.56810000000000005</v>
      </c>
      <c r="L2133">
        <v>0.2465</v>
      </c>
      <c r="M2133">
        <v>0.27039999999999997</v>
      </c>
      <c r="N2133">
        <f>CONVERT(O2133,"lbf","N")</f>
        <v>17846.265120425127</v>
      </c>
      <c r="O2133">
        <v>4012</v>
      </c>
      <c r="P2133">
        <f t="shared" si="33"/>
        <v>1.0969574036511156</v>
      </c>
    </row>
    <row r="2134" spans="1:16" hidden="1" x14ac:dyDescent="0.25">
      <c r="A2134">
        <v>0</v>
      </c>
      <c r="B2134">
        <v>20000</v>
      </c>
      <c r="C2134">
        <f>1.225 * (1 - 0.00000687559 * B2134) ^ 4.2561</f>
        <v>0.65267221054298263</v>
      </c>
      <c r="D2134">
        <f>E2134*(SQRT($C$2/C2134))</f>
        <v>136.99997360832069</v>
      </c>
      <c r="E2134">
        <v>100</v>
      </c>
      <c r="F2134">
        <v>1215</v>
      </c>
      <c r="G2134">
        <v>1750</v>
      </c>
      <c r="H2134">
        <f>CONVERT(G2134,"HP","kW")</f>
        <v>1304.974775268973</v>
      </c>
      <c r="I2134">
        <v>0.76600000000000001</v>
      </c>
      <c r="J2134">
        <v>0.87829999999999997</v>
      </c>
      <c r="K2134">
        <v>0.59870000000000001</v>
      </c>
      <c r="L2134">
        <v>0.2465</v>
      </c>
      <c r="M2134">
        <v>0.215</v>
      </c>
      <c r="N2134">
        <f>CONVERT(O2134,"lbf","N")</f>
        <v>14183.599442419629</v>
      </c>
      <c r="O2134">
        <v>3188.6</v>
      </c>
      <c r="P2134">
        <f t="shared" si="33"/>
        <v>0.87221095334685594</v>
      </c>
    </row>
    <row r="2135" spans="1:16" hidden="1" x14ac:dyDescent="0.25">
      <c r="A2135">
        <v>0</v>
      </c>
      <c r="B2135">
        <v>20000</v>
      </c>
      <c r="C2135">
        <f>1.225 * (1 - 0.00000687559 * B2135) ^ 4.2561</f>
        <v>0.65267221054298263</v>
      </c>
      <c r="D2135">
        <f>E2135*(SQRT($C$2/C2135))</f>
        <v>328.7999366599696</v>
      </c>
      <c r="E2135">
        <v>240</v>
      </c>
      <c r="F2135">
        <v>1215</v>
      </c>
      <c r="G2135">
        <v>1750</v>
      </c>
      <c r="H2135">
        <f>CONVERT(G2135,"HP","kW")</f>
        <v>1304.974775268973</v>
      </c>
      <c r="I2135">
        <v>0.83830000000000005</v>
      </c>
      <c r="J2135">
        <v>2.1080000000000001</v>
      </c>
      <c r="K2135">
        <v>0.7732</v>
      </c>
      <c r="L2135">
        <v>0.2465</v>
      </c>
      <c r="M2135">
        <v>9.8000000000000004E-2</v>
      </c>
      <c r="N2135">
        <f>CONVERT(O2135,"lbf","N")</f>
        <v>6467.7142285887667</v>
      </c>
      <c r="O2135">
        <v>1454</v>
      </c>
      <c r="P2135">
        <f t="shared" si="33"/>
        <v>0.39756592292089249</v>
      </c>
    </row>
    <row r="2136" spans="1:16" hidden="1" x14ac:dyDescent="0.25">
      <c r="A2136">
        <v>0</v>
      </c>
      <c r="B2136">
        <v>20000</v>
      </c>
      <c r="C2136">
        <f>1.225 * (1 - 0.00000687559 * B2136) ^ 4.2561</f>
        <v>0.65267221054298263</v>
      </c>
      <c r="D2136">
        <f>E2136*(SQRT($C$2/C2136))</f>
        <v>356.19993138163375</v>
      </c>
      <c r="E2136">
        <v>260</v>
      </c>
      <c r="F2136">
        <v>1215</v>
      </c>
      <c r="G2136">
        <v>1750</v>
      </c>
      <c r="H2136">
        <f>CONVERT(G2136,"HP","kW")</f>
        <v>1304.974775268973</v>
      </c>
      <c r="I2136">
        <v>0.77380000000000004</v>
      </c>
      <c r="J2136">
        <v>2.2837000000000001</v>
      </c>
      <c r="K2136">
        <v>0.80479999999999996</v>
      </c>
      <c r="L2136">
        <v>0.2465</v>
      </c>
      <c r="M2136">
        <v>8.3500000000000005E-2</v>
      </c>
      <c r="N2136">
        <f>CONVERT(O2136,"lbf","N")</f>
        <v>5510.9017591462334</v>
      </c>
      <c r="O2136">
        <v>1238.9000000000001</v>
      </c>
      <c r="P2136">
        <f t="shared" si="33"/>
        <v>0.33874239350912783</v>
      </c>
    </row>
    <row r="2137" spans="1:16" hidden="1" x14ac:dyDescent="0.25">
      <c r="A2137">
        <v>0</v>
      </c>
      <c r="B2137">
        <v>25000</v>
      </c>
      <c r="C2137">
        <f>1.225 * (1 - 0.00000687559 * B2137) ^ 4.2561</f>
        <v>0.54892259437885793</v>
      </c>
      <c r="D2137">
        <f>E2137*(SQRT($C$2/C2137))</f>
        <v>119.50951328728269</v>
      </c>
      <c r="E2137">
        <v>80</v>
      </c>
      <c r="F2137">
        <v>1150</v>
      </c>
      <c r="G2137">
        <v>1250</v>
      </c>
      <c r="H2137">
        <f>CONVERT(G2137,"HP","kW")</f>
        <v>932.12483947783778</v>
      </c>
      <c r="I2137">
        <v>0.74109999999999998</v>
      </c>
      <c r="J2137">
        <v>0.8095</v>
      </c>
      <c r="K2137">
        <v>0.57179999999999997</v>
      </c>
      <c r="L2137">
        <v>0.24660000000000001</v>
      </c>
      <c r="M2137">
        <v>0.2258</v>
      </c>
      <c r="N2137">
        <f>CONVERT(O2137,"lbf","N")</f>
        <v>11236.652622309548</v>
      </c>
      <c r="O2137">
        <v>2526.1</v>
      </c>
      <c r="P2137">
        <f t="shared" si="33"/>
        <v>0.91565287915652871</v>
      </c>
    </row>
    <row r="2138" spans="1:16" hidden="1" x14ac:dyDescent="0.25">
      <c r="A2138">
        <v>0</v>
      </c>
      <c r="B2138">
        <v>25000</v>
      </c>
      <c r="C2138">
        <f>1.225 * (1 - 0.00000687559 * B2138) ^ 4.2561</f>
        <v>0.54892259437885793</v>
      </c>
      <c r="D2138">
        <f>E2138*(SQRT($C$2/C2138))</f>
        <v>149.38689160910337</v>
      </c>
      <c r="E2138">
        <v>100</v>
      </c>
      <c r="F2138">
        <v>1150</v>
      </c>
      <c r="G2138">
        <v>1250</v>
      </c>
      <c r="H2138">
        <f>CONVERT(G2138,"HP","kW")</f>
        <v>932.12483947783778</v>
      </c>
      <c r="I2138">
        <v>0.80569999999999997</v>
      </c>
      <c r="J2138">
        <v>1.0119</v>
      </c>
      <c r="K2138">
        <v>0.59189999999999998</v>
      </c>
      <c r="L2138">
        <v>0.2467</v>
      </c>
      <c r="M2138">
        <v>0.19650000000000001</v>
      </c>
      <c r="N2138">
        <f>CONVERT(O2138,"lbf","N")</f>
        <v>9772.2980665657924</v>
      </c>
      <c r="O2138">
        <v>2196.9</v>
      </c>
      <c r="P2138">
        <f t="shared" si="33"/>
        <v>0.79651398459667611</v>
      </c>
    </row>
    <row r="2139" spans="1:16" hidden="1" x14ac:dyDescent="0.25">
      <c r="A2139">
        <v>0</v>
      </c>
      <c r="B2139">
        <v>25000</v>
      </c>
      <c r="C2139">
        <f>1.225 * (1 - 0.00000687559 * B2139) ^ 4.2561</f>
        <v>0.54892259437885793</v>
      </c>
      <c r="D2139">
        <f>E2139*(SQRT($C$2/C2139))</f>
        <v>179.26426993092403</v>
      </c>
      <c r="E2139">
        <v>120</v>
      </c>
      <c r="F2139">
        <v>1150</v>
      </c>
      <c r="G2139">
        <v>1250</v>
      </c>
      <c r="H2139">
        <f>CONVERT(G2139,"HP","kW")</f>
        <v>932.12483947783778</v>
      </c>
      <c r="I2139">
        <v>0.8468</v>
      </c>
      <c r="J2139">
        <v>1.2142999999999999</v>
      </c>
      <c r="K2139">
        <v>0.6149</v>
      </c>
      <c r="L2139">
        <v>0.2467</v>
      </c>
      <c r="M2139">
        <v>0.1721</v>
      </c>
      <c r="N2139">
        <f>CONVERT(O2139,"lbf","N")</f>
        <v>8558.823209922728</v>
      </c>
      <c r="O2139">
        <v>1924.1</v>
      </c>
      <c r="P2139">
        <f t="shared" si="33"/>
        <v>0.69760843129306849</v>
      </c>
    </row>
    <row r="2140" spans="1:16" x14ac:dyDescent="0.25">
      <c r="A2140">
        <v>0</v>
      </c>
      <c r="B2140">
        <v>25000</v>
      </c>
      <c r="C2140">
        <f>1.225 * (1 - 0.00000687559 * B2140) ^ 4.2561</f>
        <v>0.54892259437885793</v>
      </c>
      <c r="D2140">
        <f>E2140*(SQRT($C$2/C2140))</f>
        <v>298.77378321820675</v>
      </c>
      <c r="E2140">
        <v>200</v>
      </c>
      <c r="F2140">
        <v>1150</v>
      </c>
      <c r="G2140">
        <v>1250</v>
      </c>
      <c r="H2140">
        <f>CONVERT(G2140,"HP","kW")</f>
        <v>932.12483947783778</v>
      </c>
      <c r="I2140">
        <v>0.87609999999999999</v>
      </c>
      <c r="J2140">
        <v>2.0238</v>
      </c>
      <c r="K2140">
        <v>0.73270000000000002</v>
      </c>
      <c r="L2140">
        <v>0.2467</v>
      </c>
      <c r="M2140">
        <v>0.10680000000000001</v>
      </c>
      <c r="N2140">
        <f>CONVERT(O2140,"lbf","N")</f>
        <v>5312.9558972671421</v>
      </c>
      <c r="O2140">
        <v>1194.4000000000001</v>
      </c>
      <c r="P2140">
        <f t="shared" si="33"/>
        <v>0.43291447101743008</v>
      </c>
    </row>
    <row r="2141" spans="1:16" hidden="1" x14ac:dyDescent="0.25">
      <c r="A2141">
        <v>0</v>
      </c>
      <c r="B2141">
        <v>20000</v>
      </c>
      <c r="C2141">
        <f>1.225 * (1 - 0.00000687559 * B2141) ^ 4.2561</f>
        <v>0.65267221054298263</v>
      </c>
      <c r="D2141">
        <f>E2141*(SQRT($C$2/C2141))</f>
        <v>109.59997888665654</v>
      </c>
      <c r="E2141">
        <v>80</v>
      </c>
      <c r="F2141">
        <v>1215</v>
      </c>
      <c r="G2141">
        <v>1750</v>
      </c>
      <c r="H2141">
        <f>CONVERT(G2141,"HP","kW")</f>
        <v>1304.974775268973</v>
      </c>
      <c r="I2141">
        <v>0.69269999999999998</v>
      </c>
      <c r="J2141">
        <v>0.70269999999999999</v>
      </c>
      <c r="K2141">
        <v>0.58220000000000005</v>
      </c>
      <c r="L2141">
        <v>0.2467</v>
      </c>
      <c r="M2141">
        <v>0.2432</v>
      </c>
      <c r="N2141">
        <f>CONVERT(O2141,"lbf","N")</f>
        <v>16032.280345721892</v>
      </c>
      <c r="O2141">
        <v>3604.2</v>
      </c>
      <c r="P2141">
        <f t="shared" si="33"/>
        <v>0.98581272800972841</v>
      </c>
    </row>
    <row r="2142" spans="1:16" hidden="1" x14ac:dyDescent="0.25">
      <c r="A2142">
        <v>0</v>
      </c>
      <c r="B2142">
        <v>25000</v>
      </c>
      <c r="C2142">
        <f>1.225 * (1 - 0.00000687559 * B2142) ^ 4.2561</f>
        <v>0.54892259437885793</v>
      </c>
      <c r="D2142">
        <f>E2142*(SQRT($C$2/C2142))</f>
        <v>29.877378321820672</v>
      </c>
      <c r="E2142">
        <v>20</v>
      </c>
      <c r="F2142">
        <v>1150</v>
      </c>
      <c r="G2142">
        <v>1250</v>
      </c>
      <c r="H2142">
        <f>CONVERT(G2142,"HP","kW")</f>
        <v>932.12483947783778</v>
      </c>
      <c r="I2142">
        <v>0.22939999999999999</v>
      </c>
      <c r="J2142">
        <v>0.2024</v>
      </c>
      <c r="K2142">
        <v>0.53059999999999996</v>
      </c>
      <c r="L2142">
        <v>0.24679999999999999</v>
      </c>
      <c r="M2142">
        <v>0.27979999999999999</v>
      </c>
      <c r="N2142">
        <f>CONVERT(O2142,"lbf","N")</f>
        <v>13914.037212534844</v>
      </c>
      <c r="O2142">
        <v>3128</v>
      </c>
      <c r="P2142">
        <f t="shared" si="33"/>
        <v>1.133711507293355</v>
      </c>
    </row>
    <row r="2143" spans="1:16" hidden="1" x14ac:dyDescent="0.25">
      <c r="A2143">
        <v>0</v>
      </c>
      <c r="B2143">
        <v>25000</v>
      </c>
      <c r="C2143">
        <f>1.225 * (1 - 0.00000687559 * B2143) ^ 4.2561</f>
        <v>0.54892259437885793</v>
      </c>
      <c r="D2143">
        <f>E2143*(SQRT($C$2/C2143))</f>
        <v>209.14164825274472</v>
      </c>
      <c r="E2143">
        <v>140</v>
      </c>
      <c r="F2143">
        <v>1150</v>
      </c>
      <c r="G2143">
        <v>1250</v>
      </c>
      <c r="H2143">
        <f>CONVERT(G2143,"HP","kW")</f>
        <v>932.12483947783778</v>
      </c>
      <c r="I2143">
        <v>0.87229999999999996</v>
      </c>
      <c r="J2143">
        <v>1.4166000000000001</v>
      </c>
      <c r="K2143">
        <v>0.64080000000000004</v>
      </c>
      <c r="L2143">
        <v>0.24679999999999999</v>
      </c>
      <c r="M2143">
        <v>0.15190000000000001</v>
      </c>
      <c r="N2143">
        <f>CONVERT(O2143,"lbf","N")</f>
        <v>7557.0837021660636</v>
      </c>
      <c r="O2143">
        <v>1698.9</v>
      </c>
      <c r="P2143">
        <f t="shared" si="33"/>
        <v>0.61547811993517021</v>
      </c>
    </row>
    <row r="2144" spans="1:16" hidden="1" x14ac:dyDescent="0.25">
      <c r="A2144">
        <v>0</v>
      </c>
      <c r="B2144">
        <v>25000</v>
      </c>
      <c r="C2144">
        <f>1.225 * (1 - 0.00000687559 * B2144) ^ 4.2561</f>
        <v>0.54892259437885793</v>
      </c>
      <c r="D2144">
        <f>E2144*(SQRT($C$2/C2144))</f>
        <v>239.01902657456537</v>
      </c>
      <c r="E2144">
        <v>160</v>
      </c>
      <c r="F2144">
        <v>1150</v>
      </c>
      <c r="G2144">
        <v>1250</v>
      </c>
      <c r="H2144">
        <f>CONVERT(G2144,"HP","kW")</f>
        <v>932.12483947783778</v>
      </c>
      <c r="I2144">
        <v>0.88739999999999997</v>
      </c>
      <c r="J2144">
        <v>1.619</v>
      </c>
      <c r="K2144">
        <v>0.66920000000000002</v>
      </c>
      <c r="L2144">
        <v>0.24679999999999999</v>
      </c>
      <c r="M2144">
        <v>0.1353</v>
      </c>
      <c r="N2144">
        <f>CONVERT(O2144,"lbf","N")</f>
        <v>6727.4903709199807</v>
      </c>
      <c r="O2144">
        <v>1512.4</v>
      </c>
      <c r="P2144">
        <f t="shared" si="33"/>
        <v>0.54821717990275531</v>
      </c>
    </row>
    <row r="2145" spans="1:16" hidden="1" x14ac:dyDescent="0.25">
      <c r="A2145">
        <v>0</v>
      </c>
      <c r="B2145">
        <v>25000</v>
      </c>
      <c r="C2145">
        <f>1.225 * (1 - 0.00000687559 * B2145) ^ 4.2561</f>
        <v>0.54892259437885793</v>
      </c>
      <c r="D2145">
        <f>E2145*(SQRT($C$2/C2145))</f>
        <v>268.89640489638606</v>
      </c>
      <c r="E2145">
        <v>180</v>
      </c>
      <c r="F2145">
        <v>1150</v>
      </c>
      <c r="G2145">
        <v>1250</v>
      </c>
      <c r="H2145">
        <f>CONVERT(G2145,"HP","kW")</f>
        <v>932.12483947783778</v>
      </c>
      <c r="I2145">
        <v>0.89270000000000005</v>
      </c>
      <c r="J2145">
        <v>1.8213999999999999</v>
      </c>
      <c r="K2145">
        <v>0.69989999999999997</v>
      </c>
      <c r="L2145">
        <v>0.24679999999999999</v>
      </c>
      <c r="M2145">
        <v>0.121</v>
      </c>
      <c r="N2145">
        <f>CONVERT(O2145,"lbf","N")</f>
        <v>6015.3300903167737</v>
      </c>
      <c r="O2145">
        <v>1352.3</v>
      </c>
      <c r="P2145">
        <f t="shared" si="33"/>
        <v>0.49027552674230146</v>
      </c>
    </row>
    <row r="2146" spans="1:16" hidden="1" x14ac:dyDescent="0.25">
      <c r="A2146">
        <v>0</v>
      </c>
      <c r="B2146">
        <v>25000</v>
      </c>
      <c r="C2146">
        <f>1.225 * (1 - 0.00000687559 * B2146) ^ 4.2561</f>
        <v>0.54892259437885793</v>
      </c>
      <c r="D2146">
        <f>E2146*(SQRT($C$2/C2146))</f>
        <v>0</v>
      </c>
      <c r="E2146">
        <v>0</v>
      </c>
      <c r="F2146">
        <v>1150</v>
      </c>
      <c r="G2146">
        <v>1250</v>
      </c>
      <c r="H2146">
        <f>CONVERT(G2146,"HP","kW")</f>
        <v>932.12483947783778</v>
      </c>
      <c r="I2146">
        <v>0</v>
      </c>
      <c r="J2146">
        <v>0</v>
      </c>
      <c r="K2146">
        <v>0.52359999999999995</v>
      </c>
      <c r="L2146">
        <v>0.24690000000000001</v>
      </c>
      <c r="M2146">
        <v>0.2676</v>
      </c>
      <c r="N2146">
        <f>CONVERT(O2146,"lbf","N")</f>
        <v>13301.517096113474</v>
      </c>
      <c r="O2146">
        <v>2990.3</v>
      </c>
      <c r="P2146">
        <f t="shared" si="33"/>
        <v>1.0838396111786148</v>
      </c>
    </row>
    <row r="2147" spans="1:16" hidden="1" x14ac:dyDescent="0.25">
      <c r="A2147">
        <v>0</v>
      </c>
      <c r="B2147">
        <v>25000</v>
      </c>
      <c r="C2147">
        <f>1.225 * (1 - 0.00000687559 * B2147) ^ 4.2561</f>
        <v>0.54892259437885793</v>
      </c>
      <c r="D2147">
        <f>E2147*(SQRT($C$2/C2147))</f>
        <v>328.65116154002743</v>
      </c>
      <c r="E2147">
        <v>220</v>
      </c>
      <c r="F2147">
        <v>1150</v>
      </c>
      <c r="G2147">
        <v>1250</v>
      </c>
      <c r="H2147">
        <f>CONVERT(G2147,"HP","kW")</f>
        <v>932.12483947783778</v>
      </c>
      <c r="I2147">
        <v>0.83489999999999998</v>
      </c>
      <c r="J2147">
        <v>2.2262</v>
      </c>
      <c r="K2147">
        <v>0.76729999999999998</v>
      </c>
      <c r="L2147">
        <v>0.24690000000000001</v>
      </c>
      <c r="M2147">
        <v>9.2600000000000002E-2</v>
      </c>
      <c r="N2147">
        <f>CONVERT(O2147,"lbf","N")</f>
        <v>4603.0197274715656</v>
      </c>
      <c r="O2147">
        <v>1034.8</v>
      </c>
      <c r="P2147">
        <f t="shared" si="33"/>
        <v>0.37505062778452813</v>
      </c>
    </row>
    <row r="2148" spans="1:16" hidden="1" x14ac:dyDescent="0.25">
      <c r="A2148">
        <v>0</v>
      </c>
      <c r="B2148">
        <v>25000</v>
      </c>
      <c r="C2148">
        <f>1.225 * (1 - 0.00000687559 * B2148) ^ 4.2561</f>
        <v>0.54892259437885793</v>
      </c>
      <c r="D2148">
        <f>E2148*(SQRT($C$2/C2148))</f>
        <v>388.40591818366875</v>
      </c>
      <c r="E2148">
        <v>260</v>
      </c>
      <c r="F2148">
        <v>1150</v>
      </c>
      <c r="G2148">
        <v>1250</v>
      </c>
      <c r="H2148">
        <f>CONVERT(G2148,"HP","kW")</f>
        <v>932.12483947783778</v>
      </c>
      <c r="I2148">
        <v>0.57440000000000002</v>
      </c>
      <c r="J2148">
        <v>2.6309</v>
      </c>
      <c r="K2148">
        <v>0.84089999999999998</v>
      </c>
      <c r="L2148">
        <v>0.24690000000000001</v>
      </c>
      <c r="M2148">
        <v>5.3900000000000003E-2</v>
      </c>
      <c r="N2148">
        <f>CONVERT(O2148,"lbf","N")</f>
        <v>2680.0535231944514</v>
      </c>
      <c r="O2148">
        <v>602.5</v>
      </c>
      <c r="P2148">
        <f t="shared" si="33"/>
        <v>0.21830700688537871</v>
      </c>
    </row>
    <row r="2149" spans="1:16" hidden="1" x14ac:dyDescent="0.25">
      <c r="A2149">
        <v>0</v>
      </c>
      <c r="B2149">
        <v>25000</v>
      </c>
      <c r="C2149">
        <f>1.225 * (1 - 0.00000687559 * B2149) ^ 4.2561</f>
        <v>0.54892259437885793</v>
      </c>
      <c r="D2149">
        <f>E2149*(SQRT($C$2/C2149))</f>
        <v>89.632134965462015</v>
      </c>
      <c r="E2149">
        <v>60</v>
      </c>
      <c r="F2149">
        <v>1150</v>
      </c>
      <c r="G2149">
        <v>1250</v>
      </c>
      <c r="H2149">
        <f>CONVERT(G2149,"HP","kW")</f>
        <v>932.12483947783778</v>
      </c>
      <c r="I2149">
        <v>0.63939999999999997</v>
      </c>
      <c r="J2149">
        <v>0.60709999999999997</v>
      </c>
      <c r="K2149">
        <v>0.55469999999999997</v>
      </c>
      <c r="L2149">
        <v>0.24709999999999999</v>
      </c>
      <c r="M2149">
        <v>0.26029999999999998</v>
      </c>
      <c r="N2149">
        <f>CONVERT(O2149,"lbf","N")</f>
        <v>12926.087191785487</v>
      </c>
      <c r="O2149">
        <v>2905.9</v>
      </c>
      <c r="P2149">
        <f t="shared" si="33"/>
        <v>1.0534196681505463</v>
      </c>
    </row>
    <row r="2150" spans="1:16" hidden="1" x14ac:dyDescent="0.25">
      <c r="A2150">
        <v>0</v>
      </c>
      <c r="B2150">
        <v>25000</v>
      </c>
      <c r="C2150">
        <f>1.225 * (1 - 0.00000687559 * B2150) ^ 4.2561</f>
        <v>0.54892259437885793</v>
      </c>
      <c r="D2150">
        <f>E2150*(SQRT($C$2/C2150))</f>
        <v>358.52853986184806</v>
      </c>
      <c r="E2150">
        <v>240</v>
      </c>
      <c r="F2150">
        <v>1150</v>
      </c>
      <c r="G2150">
        <v>1250</v>
      </c>
      <c r="H2150">
        <f>CONVERT(G2150,"HP","kW")</f>
        <v>932.12483947783778</v>
      </c>
      <c r="I2150">
        <v>0.74280000000000002</v>
      </c>
      <c r="J2150">
        <v>2.4285000000000001</v>
      </c>
      <c r="K2150">
        <v>0.8034</v>
      </c>
      <c r="L2150">
        <v>0.24709999999999999</v>
      </c>
      <c r="M2150">
        <v>7.5600000000000001E-2</v>
      </c>
      <c r="N2150">
        <f>CONVERT(O2150,"lbf","N")</f>
        <v>3753.8542211183358</v>
      </c>
      <c r="O2150">
        <v>843.9</v>
      </c>
      <c r="P2150">
        <f t="shared" si="33"/>
        <v>0.30594900849858359</v>
      </c>
    </row>
    <row r="2151" spans="1:16" hidden="1" x14ac:dyDescent="0.25">
      <c r="A2151">
        <v>0</v>
      </c>
      <c r="B2151">
        <v>25000</v>
      </c>
      <c r="C2151">
        <f>1.225 * (1 - 0.00000687559 * B2151) ^ 4.2561</f>
        <v>0.54892259437885793</v>
      </c>
      <c r="D2151">
        <f>E2151*(SQRT($C$2/C2151))</f>
        <v>59.754756643641343</v>
      </c>
      <c r="E2151">
        <v>40</v>
      </c>
      <c r="F2151">
        <v>1150</v>
      </c>
      <c r="G2151">
        <v>1250</v>
      </c>
      <c r="H2151">
        <f>CONVERT(G2151,"HP","kW")</f>
        <v>932.12483947783778</v>
      </c>
      <c r="I2151">
        <v>0.46360000000000001</v>
      </c>
      <c r="J2151">
        <v>0.40479999999999999</v>
      </c>
      <c r="K2151">
        <v>0.54059999999999997</v>
      </c>
      <c r="L2151">
        <v>0.2472</v>
      </c>
      <c r="M2151">
        <v>0.28310000000000002</v>
      </c>
      <c r="N2151">
        <f>CONVERT(O2151,"lbf","N")</f>
        <v>14058.604415030812</v>
      </c>
      <c r="O2151">
        <v>3160.5</v>
      </c>
      <c r="P2151">
        <f t="shared" si="33"/>
        <v>1.1452265372168284</v>
      </c>
    </row>
    <row r="2152" spans="1:16" hidden="1" x14ac:dyDescent="0.25">
      <c r="A2152">
        <v>0</v>
      </c>
      <c r="B2152">
        <v>20000</v>
      </c>
      <c r="C2152">
        <f>1.225 * (1 - 0.00000687559 * B2152) ^ 4.2561</f>
        <v>0.65267221054298263</v>
      </c>
      <c r="D2152">
        <f>E2152*(SQRT($C$2/C2152))</f>
        <v>164.3999683299848</v>
      </c>
      <c r="E2152">
        <v>120</v>
      </c>
      <c r="F2152">
        <v>1150</v>
      </c>
      <c r="G2152">
        <v>1500</v>
      </c>
      <c r="H2152">
        <f>CONVERT(G2152,"HP","kW")</f>
        <v>1118.5498073734054</v>
      </c>
      <c r="I2152">
        <v>0.82809999999999995</v>
      </c>
      <c r="J2152">
        <v>1.1135999999999999</v>
      </c>
      <c r="K2152">
        <v>0.59089999999999998</v>
      </c>
      <c r="L2152">
        <v>0.249</v>
      </c>
      <c r="M2152">
        <v>0.1852</v>
      </c>
      <c r="N2152">
        <f>CONVERT(O2152,"lbf","N")</f>
        <v>10952.411261094403</v>
      </c>
      <c r="O2152">
        <v>2462.1999999999998</v>
      </c>
      <c r="P2152">
        <f t="shared" si="33"/>
        <v>0.74377510040160644</v>
      </c>
    </row>
    <row r="2153" spans="1:16" hidden="1" x14ac:dyDescent="0.25">
      <c r="A2153">
        <v>0</v>
      </c>
      <c r="B2153">
        <v>20000</v>
      </c>
      <c r="C2153">
        <f>1.225 * (1 - 0.00000687559 * B2153) ^ 4.2561</f>
        <v>0.65267221054298263</v>
      </c>
      <c r="D2153">
        <f>E2153*(SQRT($C$2/C2153))</f>
        <v>27.399994721664136</v>
      </c>
      <c r="E2153">
        <v>20</v>
      </c>
      <c r="F2153">
        <v>1150</v>
      </c>
      <c r="G2153">
        <v>1500</v>
      </c>
      <c r="H2153">
        <f>CONVERT(G2153,"HP","kW")</f>
        <v>1118.5498073734054</v>
      </c>
      <c r="I2153">
        <v>0.20749999999999999</v>
      </c>
      <c r="J2153">
        <v>0.18559999999999999</v>
      </c>
      <c r="K2153">
        <v>0.51919999999999999</v>
      </c>
      <c r="L2153">
        <v>0.24909999999999999</v>
      </c>
      <c r="M2153">
        <v>0.27850000000000003</v>
      </c>
      <c r="N2153">
        <f>CONVERT(O2153,"lbf","N")</f>
        <v>16462.423375917584</v>
      </c>
      <c r="O2153">
        <v>3700.9</v>
      </c>
      <c r="P2153">
        <f t="shared" si="33"/>
        <v>1.1180248896025693</v>
      </c>
    </row>
    <row r="2154" spans="1:16" hidden="1" x14ac:dyDescent="0.25">
      <c r="A2154">
        <v>0</v>
      </c>
      <c r="B2154">
        <v>20000</v>
      </c>
      <c r="C2154">
        <f>1.225 * (1 - 0.00000687559 * B2154) ^ 4.2561</f>
        <v>0.65267221054298263</v>
      </c>
      <c r="D2154">
        <f>E2154*(SQRT($C$2/C2154))</f>
        <v>82.199984164992401</v>
      </c>
      <c r="E2154">
        <v>60</v>
      </c>
      <c r="F2154">
        <v>1150</v>
      </c>
      <c r="G2154">
        <v>1500</v>
      </c>
      <c r="H2154">
        <f>CONVERT(G2154,"HP","kW")</f>
        <v>1118.5498073734054</v>
      </c>
      <c r="I2154">
        <v>0.60299999999999998</v>
      </c>
      <c r="J2154">
        <v>0.55679999999999996</v>
      </c>
      <c r="K2154">
        <v>0.53969999999999996</v>
      </c>
      <c r="L2154">
        <v>0.24909999999999999</v>
      </c>
      <c r="M2154">
        <v>0.2697</v>
      </c>
      <c r="N2154">
        <f>CONVERT(O2154,"lbf","N")</f>
        <v>15949.543423678047</v>
      </c>
      <c r="O2154">
        <v>3585.6</v>
      </c>
      <c r="P2154">
        <f t="shared" si="33"/>
        <v>1.0826977117623444</v>
      </c>
    </row>
    <row r="2155" spans="1:16" hidden="1" x14ac:dyDescent="0.25">
      <c r="A2155">
        <v>0</v>
      </c>
      <c r="B2155">
        <v>20000</v>
      </c>
      <c r="C2155">
        <f>1.225 * (1 - 0.00000687559 * B2155) ^ 4.2561</f>
        <v>0.65267221054298263</v>
      </c>
      <c r="D2155">
        <f>E2155*(SQRT($C$2/C2155))</f>
        <v>136.99997360832069</v>
      </c>
      <c r="E2155">
        <v>100</v>
      </c>
      <c r="F2155">
        <v>1150</v>
      </c>
      <c r="G2155">
        <v>1500</v>
      </c>
      <c r="H2155">
        <f>CONVERT(G2155,"HP","kW")</f>
        <v>1118.5498073734054</v>
      </c>
      <c r="I2155">
        <v>0.78159999999999996</v>
      </c>
      <c r="J2155">
        <v>0.92800000000000005</v>
      </c>
      <c r="K2155">
        <v>0.57140000000000002</v>
      </c>
      <c r="L2155">
        <v>0.24909999999999999</v>
      </c>
      <c r="M2155">
        <v>0.20979999999999999</v>
      </c>
      <c r="N2155">
        <f>CONVERT(O2155,"lbf","N")</f>
        <v>12404.755618476956</v>
      </c>
      <c r="O2155">
        <v>2788.7</v>
      </c>
      <c r="P2155">
        <f t="shared" si="33"/>
        <v>0.84223203532717783</v>
      </c>
    </row>
    <row r="2156" spans="1:16" hidden="1" x14ac:dyDescent="0.25">
      <c r="A2156">
        <v>0</v>
      </c>
      <c r="B2156">
        <v>20000</v>
      </c>
      <c r="C2156">
        <f>1.225 * (1 - 0.00000687559 * B2156) ^ 4.2561</f>
        <v>0.65267221054298263</v>
      </c>
      <c r="D2156">
        <f>E2156*(SQRT($C$2/C2156))</f>
        <v>191.79996305164894</v>
      </c>
      <c r="E2156">
        <v>140</v>
      </c>
      <c r="F2156">
        <v>1150</v>
      </c>
      <c r="G2156">
        <v>1500</v>
      </c>
      <c r="H2156">
        <f>CONVERT(G2156,"HP","kW")</f>
        <v>1118.5498073734054</v>
      </c>
      <c r="I2156">
        <v>0.85850000000000004</v>
      </c>
      <c r="J2156">
        <v>1.2991999999999999</v>
      </c>
      <c r="K2156">
        <v>0.61280000000000001</v>
      </c>
      <c r="L2156">
        <v>0.24909999999999999</v>
      </c>
      <c r="M2156">
        <v>0.1646</v>
      </c>
      <c r="N2156">
        <f>CONVERT(O2156,"lbf","N")</f>
        <v>9732.2640720284489</v>
      </c>
      <c r="O2156">
        <v>2187.9</v>
      </c>
      <c r="P2156">
        <f t="shared" si="33"/>
        <v>0.66077880369329589</v>
      </c>
    </row>
    <row r="2157" spans="1:16" hidden="1" x14ac:dyDescent="0.25">
      <c r="A2157">
        <v>0</v>
      </c>
      <c r="B2157">
        <v>20000</v>
      </c>
      <c r="C2157">
        <f>1.225 * (1 - 0.00000687559 * B2157) ^ 4.2561</f>
        <v>0.65267221054298263</v>
      </c>
      <c r="D2157">
        <f>E2157*(SQRT($C$2/C2157))</f>
        <v>219.19995777331309</v>
      </c>
      <c r="E2157">
        <v>160</v>
      </c>
      <c r="F2157">
        <v>1150</v>
      </c>
      <c r="G2157">
        <v>1500</v>
      </c>
      <c r="H2157">
        <f>CONVERT(G2157,"HP","kW")</f>
        <v>1118.5498073734054</v>
      </c>
      <c r="I2157">
        <v>0.878</v>
      </c>
      <c r="J2157">
        <v>1.4847999999999999</v>
      </c>
      <c r="K2157">
        <v>0.63700000000000001</v>
      </c>
      <c r="L2157">
        <v>0.24909999999999999</v>
      </c>
      <c r="M2157">
        <v>0.14729999999999999</v>
      </c>
      <c r="N2157">
        <f>CONVERT(O2157,"lbf","N")</f>
        <v>8709.1731005185338</v>
      </c>
      <c r="O2157">
        <v>1957.9</v>
      </c>
      <c r="P2157">
        <f t="shared" si="33"/>
        <v>0.59132878362103569</v>
      </c>
    </row>
    <row r="2158" spans="1:16" hidden="1" x14ac:dyDescent="0.25">
      <c r="A2158">
        <v>0</v>
      </c>
      <c r="B2158">
        <v>20000</v>
      </c>
      <c r="C2158">
        <f>1.225 * (1 - 0.00000687559 * B2158) ^ 4.2561</f>
        <v>0.65267221054298263</v>
      </c>
      <c r="D2158">
        <f>E2158*(SQRT($C$2/C2158))</f>
        <v>246.59995249497723</v>
      </c>
      <c r="E2158">
        <v>180</v>
      </c>
      <c r="F2158">
        <v>1150</v>
      </c>
      <c r="G2158">
        <v>1500</v>
      </c>
      <c r="H2158">
        <f>CONVERT(G2158,"HP","kW")</f>
        <v>1118.5498073734054</v>
      </c>
      <c r="I2158">
        <v>0.88980000000000004</v>
      </c>
      <c r="J2158">
        <v>1.6704000000000001</v>
      </c>
      <c r="K2158">
        <v>0.66320000000000001</v>
      </c>
      <c r="L2158">
        <v>0.24909999999999999</v>
      </c>
      <c r="M2158">
        <v>0.13270000000000001</v>
      </c>
      <c r="N2158">
        <f>CONVERT(O2158,"lbf","N")</f>
        <v>7845.3284628349447</v>
      </c>
      <c r="O2158">
        <v>1763.7</v>
      </c>
      <c r="P2158">
        <f t="shared" si="33"/>
        <v>0.53271778402248104</v>
      </c>
    </row>
    <row r="2159" spans="1:16" hidden="1" x14ac:dyDescent="0.25">
      <c r="A2159">
        <v>0</v>
      </c>
      <c r="B2159">
        <v>20000</v>
      </c>
      <c r="C2159">
        <f>1.225 * (1 - 0.00000687559 * B2159) ^ 4.2561</f>
        <v>0.65267221054298263</v>
      </c>
      <c r="D2159">
        <f>E2159*(SQRT($C$2/C2159))</f>
        <v>273.99994721664137</v>
      </c>
      <c r="E2159">
        <v>200</v>
      </c>
      <c r="F2159">
        <v>1150</v>
      </c>
      <c r="G2159">
        <v>1500</v>
      </c>
      <c r="H2159">
        <f>CONVERT(G2159,"HP","kW")</f>
        <v>1118.5498073734054</v>
      </c>
      <c r="I2159">
        <v>0.89500000000000002</v>
      </c>
      <c r="J2159">
        <v>1.8560000000000001</v>
      </c>
      <c r="K2159">
        <v>0.69120000000000004</v>
      </c>
      <c r="L2159">
        <v>0.24909999999999999</v>
      </c>
      <c r="M2159">
        <v>0.1201</v>
      </c>
      <c r="N2159">
        <f>CONVERT(O2159,"lbf","N")</f>
        <v>7102.0306309249136</v>
      </c>
      <c r="O2159">
        <v>1596.6</v>
      </c>
      <c r="P2159">
        <f t="shared" si="33"/>
        <v>0.48213568847852267</v>
      </c>
    </row>
    <row r="2160" spans="1:16" hidden="1" x14ac:dyDescent="0.25">
      <c r="A2160">
        <v>0</v>
      </c>
      <c r="B2160">
        <v>20000</v>
      </c>
      <c r="C2160">
        <f>1.225 * (1 - 0.00000687559 * B2160) ^ 4.2561</f>
        <v>0.65267221054298263</v>
      </c>
      <c r="D2160">
        <f>E2160*(SQRT($C$2/C2160))</f>
        <v>301.39994193830552</v>
      </c>
      <c r="E2160">
        <v>220</v>
      </c>
      <c r="F2160">
        <v>1150</v>
      </c>
      <c r="G2160">
        <v>1500</v>
      </c>
      <c r="H2160">
        <f>CONVERT(G2160,"HP","kW")</f>
        <v>1118.5498073734054</v>
      </c>
      <c r="I2160">
        <v>0.88529999999999998</v>
      </c>
      <c r="J2160">
        <v>2.0415999999999999</v>
      </c>
      <c r="K2160">
        <v>0.72089999999999999</v>
      </c>
      <c r="L2160">
        <v>0.24909999999999999</v>
      </c>
      <c r="M2160">
        <v>0.108</v>
      </c>
      <c r="N2160">
        <f>CONVERT(O2160,"lbf","N")</f>
        <v>6386.7565951910256</v>
      </c>
      <c r="O2160">
        <v>1435.8</v>
      </c>
      <c r="P2160">
        <f t="shared" si="33"/>
        <v>0.43356081894821358</v>
      </c>
    </row>
    <row r="2161" spans="1:16" hidden="1" x14ac:dyDescent="0.25">
      <c r="A2161">
        <v>0</v>
      </c>
      <c r="B2161">
        <v>20000</v>
      </c>
      <c r="C2161">
        <f>1.225 * (1 - 0.00000687559 * B2161) ^ 4.2561</f>
        <v>0.65267221054298263</v>
      </c>
      <c r="D2161">
        <f>E2161*(SQRT($C$2/C2161))</f>
        <v>0</v>
      </c>
      <c r="E2161">
        <v>0</v>
      </c>
      <c r="F2161">
        <v>1150</v>
      </c>
      <c r="G2161">
        <v>1500</v>
      </c>
      <c r="H2161">
        <f>CONVERT(G2161,"HP","kW")</f>
        <v>1118.5498073734054</v>
      </c>
      <c r="I2161">
        <v>0</v>
      </c>
      <c r="J2161">
        <v>0</v>
      </c>
      <c r="K2161">
        <v>0.5131</v>
      </c>
      <c r="L2161">
        <v>0.2492</v>
      </c>
      <c r="M2161">
        <v>0.26750000000000002</v>
      </c>
      <c r="N2161">
        <f>CONVERT(O2161,"lbf","N")</f>
        <v>15808.534798474293</v>
      </c>
      <c r="O2161">
        <v>3553.9</v>
      </c>
      <c r="P2161">
        <f t="shared" si="33"/>
        <v>1.0734349919743178</v>
      </c>
    </row>
    <row r="2162" spans="1:16" hidden="1" x14ac:dyDescent="0.25">
      <c r="A2162">
        <v>0</v>
      </c>
      <c r="B2162">
        <v>20000</v>
      </c>
      <c r="C2162">
        <f>1.225 * (1 - 0.00000687559 * B2162) ^ 4.2561</f>
        <v>0.65267221054298263</v>
      </c>
      <c r="D2162">
        <f>E2162*(SQRT($C$2/C2162))</f>
        <v>54.799989443328272</v>
      </c>
      <c r="E2162">
        <v>40</v>
      </c>
      <c r="F2162">
        <v>1150</v>
      </c>
      <c r="G2162">
        <v>1500</v>
      </c>
      <c r="H2162">
        <f>CONVERT(G2162,"HP","kW")</f>
        <v>1118.5498073734054</v>
      </c>
      <c r="I2162">
        <v>0.4249</v>
      </c>
      <c r="J2162">
        <v>0.37119999999999997</v>
      </c>
      <c r="K2162">
        <v>0.52780000000000005</v>
      </c>
      <c r="L2162">
        <v>0.2492</v>
      </c>
      <c r="M2162">
        <v>0.2853</v>
      </c>
      <c r="N2162">
        <f>CONVERT(O2162,"lbf","N")</f>
        <v>16859.649566160348</v>
      </c>
      <c r="O2162">
        <v>3790.2</v>
      </c>
      <c r="P2162">
        <f t="shared" si="33"/>
        <v>1.1448635634028892</v>
      </c>
    </row>
    <row r="2163" spans="1:16" hidden="1" x14ac:dyDescent="0.25">
      <c r="A2163">
        <v>0</v>
      </c>
      <c r="B2163">
        <v>20000</v>
      </c>
      <c r="C2163">
        <f>1.225 * (1 - 0.00000687559 * B2163) ^ 4.2561</f>
        <v>0.65267221054298263</v>
      </c>
      <c r="D2163">
        <f>E2163*(SQRT($C$2/C2163))</f>
        <v>109.59997888665654</v>
      </c>
      <c r="E2163">
        <v>80</v>
      </c>
      <c r="F2163">
        <v>1150</v>
      </c>
      <c r="G2163">
        <v>1500</v>
      </c>
      <c r="H2163">
        <f>CONVERT(G2163,"HP","kW")</f>
        <v>1118.5498073734054</v>
      </c>
      <c r="I2163">
        <v>0.71130000000000004</v>
      </c>
      <c r="J2163">
        <v>0.74239999999999995</v>
      </c>
      <c r="K2163">
        <v>0.5544</v>
      </c>
      <c r="L2163">
        <v>0.2492</v>
      </c>
      <c r="M2163">
        <v>0.23880000000000001</v>
      </c>
      <c r="N2163">
        <f>CONVERT(O2163,"lbf","N")</f>
        <v>14111.983074413936</v>
      </c>
      <c r="O2163">
        <v>3172.5</v>
      </c>
      <c r="P2163">
        <f t="shared" si="33"/>
        <v>0.9582664526484751</v>
      </c>
    </row>
    <row r="2164" spans="1:16" hidden="1" x14ac:dyDescent="0.25">
      <c r="A2164">
        <v>0</v>
      </c>
      <c r="B2164">
        <v>20000</v>
      </c>
      <c r="C2164">
        <f>1.225 * (1 - 0.00000687559 * B2164) ^ 4.2561</f>
        <v>0.65267221054298263</v>
      </c>
      <c r="D2164">
        <f>E2164*(SQRT($C$2/C2164))</f>
        <v>328.7999366599696</v>
      </c>
      <c r="E2164">
        <v>240</v>
      </c>
      <c r="F2164">
        <v>1150</v>
      </c>
      <c r="G2164">
        <v>1500</v>
      </c>
      <c r="H2164">
        <f>CONVERT(G2164,"HP","kW")</f>
        <v>1118.5498073734054</v>
      </c>
      <c r="I2164">
        <v>0.85189999999999999</v>
      </c>
      <c r="J2164">
        <v>2.2271999999999998</v>
      </c>
      <c r="K2164">
        <v>0.752</v>
      </c>
      <c r="L2164">
        <v>0.2492</v>
      </c>
      <c r="M2164">
        <v>9.5299999999999996E-2</v>
      </c>
      <c r="N2164">
        <f>CONVERT(O2164,"lbf","N")</f>
        <v>5633.2278535658979</v>
      </c>
      <c r="O2164">
        <v>1266.4000000000001</v>
      </c>
      <c r="P2164">
        <f t="shared" si="33"/>
        <v>0.3824237560192616</v>
      </c>
    </row>
    <row r="2165" spans="1:16" hidden="1" x14ac:dyDescent="0.25">
      <c r="A2165">
        <v>0</v>
      </c>
      <c r="B2165">
        <v>20000</v>
      </c>
      <c r="C2165">
        <f>1.225 * (1 - 0.00000687559 * B2165) ^ 4.2561</f>
        <v>0.65267221054298263</v>
      </c>
      <c r="D2165">
        <f>E2165*(SQRT($C$2/C2165))</f>
        <v>356.19993138163375</v>
      </c>
      <c r="E2165">
        <v>260</v>
      </c>
      <c r="F2165">
        <v>1150</v>
      </c>
      <c r="G2165">
        <v>1500</v>
      </c>
      <c r="H2165">
        <f>CONVERT(G2165,"HP","kW")</f>
        <v>1118.5498073734054</v>
      </c>
      <c r="I2165">
        <v>0.78259999999999996</v>
      </c>
      <c r="J2165">
        <v>2.4127999999999998</v>
      </c>
      <c r="K2165">
        <v>0.78439999999999999</v>
      </c>
      <c r="L2165">
        <v>0.2492</v>
      </c>
      <c r="M2165">
        <v>8.0799999999999997E-2</v>
      </c>
      <c r="N2165">
        <f>CONVERT(O2165,"lbf","N")</f>
        <v>4776.9451926282509</v>
      </c>
      <c r="O2165">
        <v>1073.9000000000001</v>
      </c>
      <c r="P2165">
        <f t="shared" si="33"/>
        <v>0.32423756019261635</v>
      </c>
    </row>
    <row r="2166" spans="1:16" hidden="1" x14ac:dyDescent="0.25">
      <c r="A2166">
        <v>0</v>
      </c>
      <c r="B2166">
        <v>30000</v>
      </c>
      <c r="C2166">
        <f>1.225 * (1 - 0.00000687559 * B2166) ^ 4.2561</f>
        <v>0.45828836225470948</v>
      </c>
      <c r="D2166">
        <f>E2166*(SQRT($C$2/C2166))</f>
        <v>196.19135918703881</v>
      </c>
      <c r="E2166">
        <v>120</v>
      </c>
      <c r="F2166">
        <v>1215</v>
      </c>
      <c r="G2166">
        <v>1250</v>
      </c>
      <c r="H2166">
        <f>CONVERT(G2166,"HP","kW")</f>
        <v>932.12483947783778</v>
      </c>
      <c r="I2166">
        <v>0.85129999999999995</v>
      </c>
      <c r="J2166">
        <v>1.2578</v>
      </c>
      <c r="K2166">
        <v>0.66930000000000001</v>
      </c>
      <c r="L2166">
        <v>0.2505</v>
      </c>
      <c r="M2166">
        <v>0.16950000000000001</v>
      </c>
      <c r="N2166">
        <f>CONVERT(O2166,"lbf","N")</f>
        <v>7862.2317049729336</v>
      </c>
      <c r="O2166">
        <v>1767.5</v>
      </c>
      <c r="P2166">
        <f t="shared" si="33"/>
        <v>0.67664670658682635</v>
      </c>
    </row>
    <row r="2167" spans="1:16" hidden="1" x14ac:dyDescent="0.25">
      <c r="A2167">
        <v>0</v>
      </c>
      <c r="B2167">
        <v>30000</v>
      </c>
      <c r="C2167">
        <f>1.225 * (1 - 0.00000687559 * B2167) ^ 4.2561</f>
        <v>0.45828836225470948</v>
      </c>
      <c r="D2167">
        <f>E2167*(SQRT($C$2/C2167))</f>
        <v>228.88991905154526</v>
      </c>
      <c r="E2167">
        <v>140</v>
      </c>
      <c r="F2167">
        <v>1215</v>
      </c>
      <c r="G2167">
        <v>1250</v>
      </c>
      <c r="H2167">
        <f>CONVERT(G2167,"HP","kW")</f>
        <v>932.12483947783778</v>
      </c>
      <c r="I2167">
        <v>0.87109999999999999</v>
      </c>
      <c r="J2167">
        <v>1.4675</v>
      </c>
      <c r="K2167">
        <v>0.69889999999999997</v>
      </c>
      <c r="L2167">
        <v>0.2505</v>
      </c>
      <c r="M2167">
        <v>0.1487</v>
      </c>
      <c r="N2167">
        <f>CONVERT(O2167,"lbf","N")</f>
        <v>6896.0779701383535</v>
      </c>
      <c r="O2167">
        <v>1550.3</v>
      </c>
      <c r="P2167">
        <f t="shared" si="33"/>
        <v>0.59361277445109784</v>
      </c>
    </row>
    <row r="2168" spans="1:16" hidden="1" x14ac:dyDescent="0.25">
      <c r="A2168">
        <v>0</v>
      </c>
      <c r="B2168">
        <v>30000</v>
      </c>
      <c r="C2168">
        <f>1.225 * (1 - 0.00000687559 * B2168) ^ 4.2561</f>
        <v>0.45828836225470948</v>
      </c>
      <c r="D2168">
        <f>E2168*(SQRT($C$2/C2168))</f>
        <v>32.698559864506464</v>
      </c>
      <c r="E2168">
        <v>20</v>
      </c>
      <c r="F2168">
        <v>1215</v>
      </c>
      <c r="G2168">
        <v>1250</v>
      </c>
      <c r="H2168">
        <f>CONVERT(G2168,"HP","kW")</f>
        <v>932.12483947783778</v>
      </c>
      <c r="I2168">
        <v>0.23130000000000001</v>
      </c>
      <c r="J2168">
        <v>0.20960000000000001</v>
      </c>
      <c r="K2168">
        <v>0.57279999999999998</v>
      </c>
      <c r="L2168">
        <v>0.25059999999999999</v>
      </c>
      <c r="M2168">
        <v>0.27650000000000002</v>
      </c>
      <c r="N2168">
        <f>CONVERT(O2168,"lbf","N")</f>
        <v>12817.105762211606</v>
      </c>
      <c r="O2168">
        <v>2881.4</v>
      </c>
      <c r="P2168">
        <f t="shared" si="33"/>
        <v>1.1033519553072626</v>
      </c>
    </row>
    <row r="2169" spans="1:16" hidden="1" x14ac:dyDescent="0.25">
      <c r="A2169">
        <v>0</v>
      </c>
      <c r="B2169">
        <v>30000</v>
      </c>
      <c r="C2169">
        <f>1.225 * (1 - 0.00000687559 * B2169) ^ 4.2561</f>
        <v>0.45828836225470948</v>
      </c>
      <c r="D2169">
        <f>E2169*(SQRT($C$2/C2169))</f>
        <v>0</v>
      </c>
      <c r="E2169">
        <v>0</v>
      </c>
      <c r="F2169">
        <v>1215</v>
      </c>
      <c r="G2169">
        <v>1250</v>
      </c>
      <c r="H2169">
        <f>CONVERT(G2169,"HP","kW")</f>
        <v>932.12483947783778</v>
      </c>
      <c r="I2169">
        <v>0</v>
      </c>
      <c r="J2169">
        <v>0</v>
      </c>
      <c r="K2169">
        <v>0.56489999999999996</v>
      </c>
      <c r="L2169">
        <v>0.25069999999999998</v>
      </c>
      <c r="M2169">
        <v>0.26469999999999999</v>
      </c>
      <c r="N2169">
        <f>CONVERT(O2169,"lbf","N")</f>
        <v>12264.191815434726</v>
      </c>
      <c r="O2169">
        <v>2757.1</v>
      </c>
      <c r="P2169">
        <f t="shared" si="33"/>
        <v>1.0558436378141205</v>
      </c>
    </row>
    <row r="2170" spans="1:16" hidden="1" x14ac:dyDescent="0.25">
      <c r="A2170">
        <v>0</v>
      </c>
      <c r="B2170">
        <v>30000</v>
      </c>
      <c r="C2170">
        <f>1.225 * (1 - 0.00000687559 * B2170) ^ 4.2561</f>
        <v>0.45828836225470948</v>
      </c>
      <c r="D2170">
        <f>E2170*(SQRT($C$2/C2170))</f>
        <v>130.79423945802586</v>
      </c>
      <c r="E2170">
        <v>80</v>
      </c>
      <c r="F2170">
        <v>1215</v>
      </c>
      <c r="G2170">
        <v>1250</v>
      </c>
      <c r="H2170">
        <f>CONVERT(G2170,"HP","kW")</f>
        <v>932.12483947783778</v>
      </c>
      <c r="I2170">
        <v>0.74880000000000002</v>
      </c>
      <c r="J2170">
        <v>0.83860000000000001</v>
      </c>
      <c r="K2170">
        <v>0.61990000000000001</v>
      </c>
      <c r="L2170">
        <v>0.25069999999999998</v>
      </c>
      <c r="M2170">
        <v>0.22389999999999999</v>
      </c>
      <c r="N2170">
        <f>CONVERT(O2170,"lbf","N")</f>
        <v>10373.697628949012</v>
      </c>
      <c r="O2170">
        <v>2332.1</v>
      </c>
      <c r="P2170">
        <f t="shared" si="33"/>
        <v>0.89309932189868368</v>
      </c>
    </row>
    <row r="2171" spans="1:16" hidden="1" x14ac:dyDescent="0.25">
      <c r="A2171">
        <v>0</v>
      </c>
      <c r="B2171">
        <v>30000</v>
      </c>
      <c r="C2171">
        <f>1.225 * (1 - 0.00000687559 * B2171) ^ 4.2561</f>
        <v>0.45828836225470948</v>
      </c>
      <c r="D2171">
        <f>E2171*(SQRT($C$2/C2171))</f>
        <v>163.49279932253233</v>
      </c>
      <c r="E2171">
        <v>100</v>
      </c>
      <c r="F2171">
        <v>1215</v>
      </c>
      <c r="G2171">
        <v>1250</v>
      </c>
      <c r="H2171">
        <f>CONVERT(G2171,"HP","kW")</f>
        <v>932.12483947783778</v>
      </c>
      <c r="I2171">
        <v>0.81169999999999998</v>
      </c>
      <c r="J2171">
        <v>1.0482</v>
      </c>
      <c r="K2171">
        <v>0.64290000000000003</v>
      </c>
      <c r="L2171">
        <v>0.25069999999999998</v>
      </c>
      <c r="M2171">
        <v>0.19409999999999999</v>
      </c>
      <c r="N2171">
        <f>CONVERT(O2171,"lbf","N")</f>
        <v>8995.6385725413093</v>
      </c>
      <c r="O2171">
        <v>2022.3</v>
      </c>
      <c r="P2171">
        <f t="shared" si="33"/>
        <v>0.77423214998005585</v>
      </c>
    </row>
    <row r="2172" spans="1:16" hidden="1" x14ac:dyDescent="0.25">
      <c r="A2172">
        <v>0</v>
      </c>
      <c r="B2172">
        <v>30000</v>
      </c>
      <c r="C2172">
        <f>1.225 * (1 - 0.00000687559 * B2172) ^ 4.2561</f>
        <v>0.45828836225470948</v>
      </c>
      <c r="D2172">
        <f>E2172*(SQRT($C$2/C2172))</f>
        <v>326.98559864506467</v>
      </c>
      <c r="E2172">
        <v>200</v>
      </c>
      <c r="F2172">
        <v>1215</v>
      </c>
      <c r="G2172">
        <v>1250</v>
      </c>
      <c r="H2172">
        <f>CONVERT(G2172,"HP","kW")</f>
        <v>932.12483947783778</v>
      </c>
      <c r="I2172">
        <v>0.80730000000000002</v>
      </c>
      <c r="J2172">
        <v>2.0964</v>
      </c>
      <c r="K2172">
        <v>0.80379999999999996</v>
      </c>
      <c r="L2172">
        <v>0.25069999999999998</v>
      </c>
      <c r="M2172">
        <v>9.6600000000000005E-2</v>
      </c>
      <c r="N2172">
        <f>CONVERT(O2172,"lbf","N")</f>
        <v>4473.5764784674857</v>
      </c>
      <c r="O2172">
        <v>1005.7</v>
      </c>
      <c r="P2172">
        <f t="shared" si="33"/>
        <v>0.38532110091743127</v>
      </c>
    </row>
    <row r="2173" spans="1:16" hidden="1" x14ac:dyDescent="0.25">
      <c r="A2173">
        <v>0</v>
      </c>
      <c r="B2173">
        <v>30000</v>
      </c>
      <c r="C2173">
        <f>1.225 * (1 - 0.00000687559 * B2173) ^ 4.2561</f>
        <v>0.45828836225470948</v>
      </c>
      <c r="D2173">
        <f>E2173*(SQRT($C$2/C2173))</f>
        <v>65.397119729012928</v>
      </c>
      <c r="E2173">
        <v>40</v>
      </c>
      <c r="F2173">
        <v>1215</v>
      </c>
      <c r="G2173">
        <v>1250</v>
      </c>
      <c r="H2173">
        <f>CONVERT(G2173,"HP","kW")</f>
        <v>932.12483947783778</v>
      </c>
      <c r="I2173">
        <v>0.47020000000000001</v>
      </c>
      <c r="J2173">
        <v>0.41930000000000001</v>
      </c>
      <c r="K2173">
        <v>0.58420000000000005</v>
      </c>
      <c r="L2173">
        <v>0.25080000000000002</v>
      </c>
      <c r="M2173">
        <v>0.28120000000000001</v>
      </c>
      <c r="N2173">
        <f>CONVERT(O2173,"lbf","N")</f>
        <v>13028.396288936479</v>
      </c>
      <c r="O2173">
        <v>2928.9</v>
      </c>
      <c r="P2173">
        <f t="shared" si="33"/>
        <v>1.1212121212121211</v>
      </c>
    </row>
    <row r="2174" spans="1:16" hidden="1" x14ac:dyDescent="0.25">
      <c r="A2174">
        <v>0</v>
      </c>
      <c r="B2174">
        <v>30000</v>
      </c>
      <c r="C2174">
        <f>1.225 * (1 - 0.00000687559 * B2174) ^ 4.2561</f>
        <v>0.45828836225470948</v>
      </c>
      <c r="D2174">
        <f>E2174*(SQRT($C$2/C2174))</f>
        <v>261.58847891605171</v>
      </c>
      <c r="E2174">
        <v>160</v>
      </c>
      <c r="F2174">
        <v>1215</v>
      </c>
      <c r="G2174">
        <v>1250</v>
      </c>
      <c r="H2174">
        <f>CONVERT(G2174,"HP","kW")</f>
        <v>932.12483947783778</v>
      </c>
      <c r="I2174">
        <v>0.86990000000000001</v>
      </c>
      <c r="J2174">
        <v>1.6771</v>
      </c>
      <c r="K2174">
        <v>0.73140000000000005</v>
      </c>
      <c r="L2174">
        <v>0.25080000000000002</v>
      </c>
      <c r="M2174">
        <v>0.13009999999999999</v>
      </c>
      <c r="N2174">
        <f>CONVERT(O2174,"lbf","N")</f>
        <v>6025.1161778703472</v>
      </c>
      <c r="O2174">
        <v>1354.5</v>
      </c>
      <c r="P2174">
        <f t="shared" si="33"/>
        <v>0.51874003189792661</v>
      </c>
    </row>
    <row r="2175" spans="1:16" hidden="1" x14ac:dyDescent="0.25">
      <c r="A2175">
        <v>0</v>
      </c>
      <c r="B2175">
        <v>30000</v>
      </c>
      <c r="C2175">
        <f>1.225 * (1 - 0.00000687559 * B2175) ^ 4.2561</f>
        <v>0.45828836225470948</v>
      </c>
      <c r="D2175">
        <f>E2175*(SQRT($C$2/C2175))</f>
        <v>294.28703878055819</v>
      </c>
      <c r="E2175">
        <v>180</v>
      </c>
      <c r="F2175">
        <v>1215</v>
      </c>
      <c r="G2175">
        <v>1250</v>
      </c>
      <c r="H2175">
        <f>CONVERT(G2175,"HP","kW")</f>
        <v>932.12483947783778</v>
      </c>
      <c r="I2175">
        <v>0.85429999999999995</v>
      </c>
      <c r="J2175">
        <v>1.8867</v>
      </c>
      <c r="K2175">
        <v>0.76649999999999996</v>
      </c>
      <c r="L2175">
        <v>0.25080000000000002</v>
      </c>
      <c r="M2175">
        <v>0.1135</v>
      </c>
      <c r="N2175">
        <f>CONVERT(O2175,"lbf","N")</f>
        <v>5259.5772378840156</v>
      </c>
      <c r="O2175">
        <v>1182.4000000000001</v>
      </c>
      <c r="P2175">
        <f t="shared" si="33"/>
        <v>0.45255183413078148</v>
      </c>
    </row>
    <row r="2176" spans="1:16" hidden="1" x14ac:dyDescent="0.25">
      <c r="A2176">
        <v>0</v>
      </c>
      <c r="B2176">
        <v>30000</v>
      </c>
      <c r="C2176">
        <f>1.225 * (1 - 0.00000687559 * B2176) ^ 4.2561</f>
        <v>0.45828836225470948</v>
      </c>
      <c r="D2176">
        <f>E2176*(SQRT($C$2/C2176))</f>
        <v>425.08127823858405</v>
      </c>
      <c r="E2176">
        <v>260</v>
      </c>
      <c r="F2176">
        <v>1215</v>
      </c>
      <c r="G2176">
        <v>1250</v>
      </c>
      <c r="H2176">
        <f>CONVERT(G2176,"HP","kW")</f>
        <v>932.12483947783778</v>
      </c>
      <c r="I2176">
        <v>0.1968</v>
      </c>
      <c r="J2176">
        <v>2.7252999999999998</v>
      </c>
      <c r="K2176">
        <v>0.92669999999999997</v>
      </c>
      <c r="L2176">
        <v>0.25080000000000002</v>
      </c>
      <c r="M2176">
        <v>1.8100000000000002E-2</v>
      </c>
      <c r="N2176">
        <f>CONVERT(O2176,"lbf","N")</f>
        <v>838.9345966381303</v>
      </c>
      <c r="O2176">
        <v>188.6</v>
      </c>
      <c r="P2176">
        <f t="shared" si="33"/>
        <v>7.2169059011164272E-2</v>
      </c>
    </row>
    <row r="2177" spans="1:16" hidden="1" x14ac:dyDescent="0.25">
      <c r="A2177">
        <v>0</v>
      </c>
      <c r="B2177">
        <v>30000</v>
      </c>
      <c r="C2177">
        <f>1.225 * (1 - 0.00000687559 * B2177) ^ 4.2561</f>
        <v>0.45828836225470948</v>
      </c>
      <c r="D2177">
        <f>E2177*(SQRT($C$2/C2177))</f>
        <v>359.68415850957115</v>
      </c>
      <c r="E2177">
        <v>220</v>
      </c>
      <c r="F2177">
        <v>1215</v>
      </c>
      <c r="G2177">
        <v>1250</v>
      </c>
      <c r="H2177">
        <f>CONVERT(G2177,"HP","kW")</f>
        <v>932.12483947783778</v>
      </c>
      <c r="I2177">
        <v>0.70079999999999998</v>
      </c>
      <c r="J2177">
        <v>2.306</v>
      </c>
      <c r="K2177">
        <v>0.84309999999999996</v>
      </c>
      <c r="L2177">
        <v>0.25090000000000001</v>
      </c>
      <c r="M2177">
        <v>7.6200000000000004E-2</v>
      </c>
      <c r="N2177">
        <f>CONVERT(O2177,"lbf","N")</f>
        <v>3530.5534960322589</v>
      </c>
      <c r="O2177">
        <v>793.7</v>
      </c>
      <c r="P2177">
        <f t="shared" si="33"/>
        <v>0.30370665603826225</v>
      </c>
    </row>
    <row r="2178" spans="1:16" hidden="1" x14ac:dyDescent="0.25">
      <c r="A2178">
        <v>0</v>
      </c>
      <c r="B2178">
        <v>30000</v>
      </c>
      <c r="C2178">
        <f>1.225 * (1 - 0.00000687559 * B2178) ^ 4.2561</f>
        <v>0.45828836225470948</v>
      </c>
      <c r="D2178">
        <f>E2178*(SQRT($C$2/C2178))</f>
        <v>392.38271837407763</v>
      </c>
      <c r="E2178">
        <v>240</v>
      </c>
      <c r="F2178">
        <v>1215</v>
      </c>
      <c r="G2178">
        <v>1250</v>
      </c>
      <c r="H2178">
        <f>CONVERT(G2178,"HP","kW")</f>
        <v>932.12483947783778</v>
      </c>
      <c r="I2178">
        <v>0.50409999999999999</v>
      </c>
      <c r="J2178">
        <v>2.5156999999999998</v>
      </c>
      <c r="K2178">
        <v>0.88419999999999999</v>
      </c>
      <c r="L2178">
        <v>0.25090000000000001</v>
      </c>
      <c r="M2178">
        <v>5.0299999999999997E-2</v>
      </c>
      <c r="N2178">
        <f>CONVERT(O2178,"lbf","N")</f>
        <v>2327.7543712658194</v>
      </c>
      <c r="O2178">
        <v>523.29999999999995</v>
      </c>
      <c r="P2178">
        <f t="shared" si="33"/>
        <v>0.20047827819848543</v>
      </c>
    </row>
    <row r="2179" spans="1:16" hidden="1" x14ac:dyDescent="0.25">
      <c r="A2179">
        <v>0</v>
      </c>
      <c r="B2179">
        <v>25000</v>
      </c>
      <c r="C2179">
        <f>1.225 * (1 - 0.00000687559 * B2179) ^ 4.2561</f>
        <v>0.54892259437885793</v>
      </c>
      <c r="D2179">
        <f>E2179*(SQRT($C$2/C2179))</f>
        <v>179.26426993092403</v>
      </c>
      <c r="E2179">
        <v>120</v>
      </c>
      <c r="F2179">
        <v>1215</v>
      </c>
      <c r="G2179">
        <v>1500</v>
      </c>
      <c r="H2179">
        <f>CONVERT(G2179,"HP","kW")</f>
        <v>1118.5498073734054</v>
      </c>
      <c r="I2179">
        <v>0.83320000000000005</v>
      </c>
      <c r="J2179">
        <v>1.1493</v>
      </c>
      <c r="K2179">
        <v>0.64149999999999996</v>
      </c>
      <c r="L2179">
        <v>0.251</v>
      </c>
      <c r="M2179">
        <v>0.182</v>
      </c>
      <c r="N2179">
        <f>CONVERT(O2179,"lbf","N")</f>
        <v>10105.469865548805</v>
      </c>
      <c r="O2179">
        <v>2271.8000000000002</v>
      </c>
      <c r="P2179">
        <f t="shared" ref="P2179:P2242" si="34">M2179/L2179</f>
        <v>0.72509960159362552</v>
      </c>
    </row>
    <row r="2180" spans="1:16" hidden="1" x14ac:dyDescent="0.25">
      <c r="A2180">
        <v>0</v>
      </c>
      <c r="B2180">
        <v>25000</v>
      </c>
      <c r="C2180">
        <f>1.225 * (1 - 0.00000687559 * B2180) ^ 4.2561</f>
        <v>0.54892259437885793</v>
      </c>
      <c r="D2180">
        <f>E2180*(SQRT($C$2/C2180))</f>
        <v>239.01902657456537</v>
      </c>
      <c r="E2180">
        <v>160</v>
      </c>
      <c r="F2180">
        <v>1215</v>
      </c>
      <c r="G2180">
        <v>1500</v>
      </c>
      <c r="H2180">
        <f>CONVERT(G2180,"HP","kW")</f>
        <v>1118.5498073734054</v>
      </c>
      <c r="I2180">
        <v>0.87860000000000005</v>
      </c>
      <c r="J2180">
        <v>1.5324</v>
      </c>
      <c r="K2180">
        <v>0.69379999999999997</v>
      </c>
      <c r="L2180">
        <v>0.251</v>
      </c>
      <c r="M2180">
        <v>0.1439</v>
      </c>
      <c r="N2180">
        <f>CONVERT(O2180,"lbf","N")</f>
        <v>7992.5645983000659</v>
      </c>
      <c r="O2180">
        <v>1796.8</v>
      </c>
      <c r="P2180">
        <f t="shared" si="34"/>
        <v>0.57330677290836651</v>
      </c>
    </row>
    <row r="2181" spans="1:16" hidden="1" x14ac:dyDescent="0.25">
      <c r="A2181">
        <v>0</v>
      </c>
      <c r="B2181">
        <v>25000</v>
      </c>
      <c r="C2181">
        <f>1.225 * (1 - 0.00000687559 * B2181) ^ 4.2561</f>
        <v>0.54892259437885793</v>
      </c>
      <c r="D2181">
        <f>E2181*(SQRT($C$2/C2181))</f>
        <v>268.89640489638606</v>
      </c>
      <c r="E2181">
        <v>180</v>
      </c>
      <c r="F2181">
        <v>1215</v>
      </c>
      <c r="G2181">
        <v>1500</v>
      </c>
      <c r="H2181">
        <f>CONVERT(G2181,"HP","kW")</f>
        <v>1118.5498073734054</v>
      </c>
      <c r="I2181">
        <v>0.87690000000000001</v>
      </c>
      <c r="J2181">
        <v>1.724</v>
      </c>
      <c r="K2181">
        <v>0.72360000000000002</v>
      </c>
      <c r="L2181">
        <v>0.251</v>
      </c>
      <c r="M2181">
        <v>0.12759999999999999</v>
      </c>
      <c r="N2181">
        <f>CONVERT(O2181,"lbf","N")</f>
        <v>7090.4652547252372</v>
      </c>
      <c r="O2181">
        <v>1594</v>
      </c>
      <c r="P2181">
        <f t="shared" si="34"/>
        <v>0.50836653386454178</v>
      </c>
    </row>
    <row r="2182" spans="1:16" hidden="1" x14ac:dyDescent="0.25">
      <c r="A2182">
        <v>0</v>
      </c>
      <c r="B2182">
        <v>30000</v>
      </c>
      <c r="C2182">
        <f>1.225 * (1 - 0.00000687559 * B2182) ^ 4.2561</f>
        <v>0.45828836225470948</v>
      </c>
      <c r="D2182">
        <f>E2182*(SQRT($C$2/C2182))</f>
        <v>98.095679593519407</v>
      </c>
      <c r="E2182">
        <v>60</v>
      </c>
      <c r="F2182">
        <v>1215</v>
      </c>
      <c r="G2182">
        <v>1250</v>
      </c>
      <c r="H2182">
        <f>CONVERT(G2182,"HP","kW")</f>
        <v>932.12483947783778</v>
      </c>
      <c r="I2182">
        <v>0.64770000000000005</v>
      </c>
      <c r="J2182">
        <v>0.62890000000000001</v>
      </c>
      <c r="K2182">
        <v>0.60029999999999994</v>
      </c>
      <c r="L2182">
        <v>0.251</v>
      </c>
      <c r="M2182">
        <v>0.25850000000000001</v>
      </c>
      <c r="N2182">
        <f>CONVERT(O2182,"lbf","N")</f>
        <v>11963.93685640464</v>
      </c>
      <c r="O2182">
        <v>2689.6</v>
      </c>
      <c r="P2182">
        <f t="shared" si="34"/>
        <v>1.0298804780876494</v>
      </c>
    </row>
    <row r="2183" spans="1:16" hidden="1" x14ac:dyDescent="0.25">
      <c r="A2183">
        <v>0</v>
      </c>
      <c r="B2183">
        <v>25000</v>
      </c>
      <c r="C2183">
        <f>1.225 * (1 - 0.00000687559 * B2183) ^ 4.2561</f>
        <v>0.54892259437885793</v>
      </c>
      <c r="D2183">
        <f>E2183*(SQRT($C$2/C2183))</f>
        <v>29.877378321820672</v>
      </c>
      <c r="E2183">
        <v>20</v>
      </c>
      <c r="F2183">
        <v>1215</v>
      </c>
      <c r="G2183">
        <v>1500</v>
      </c>
      <c r="H2183">
        <f>CONVERT(G2183,"HP","kW")</f>
        <v>1118.5498073734054</v>
      </c>
      <c r="I2183">
        <v>0.21060000000000001</v>
      </c>
      <c r="J2183">
        <v>0.19159999999999999</v>
      </c>
      <c r="K2183">
        <v>0.56000000000000005</v>
      </c>
      <c r="L2183">
        <v>0.25109999999999999</v>
      </c>
      <c r="M2183">
        <v>0.27600000000000002</v>
      </c>
      <c r="N2183">
        <f>CONVERT(O2183,"lbf","N")</f>
        <v>15325.013108895473</v>
      </c>
      <c r="O2183">
        <v>3445.2</v>
      </c>
      <c r="P2183">
        <f t="shared" si="34"/>
        <v>1.0991636798088413</v>
      </c>
    </row>
    <row r="2184" spans="1:16" hidden="1" x14ac:dyDescent="0.25">
      <c r="A2184">
        <v>0</v>
      </c>
      <c r="B2184">
        <v>25000</v>
      </c>
      <c r="C2184">
        <f>1.225 * (1 - 0.00000687559 * B2184) ^ 4.2561</f>
        <v>0.54892259437885793</v>
      </c>
      <c r="D2184">
        <f>E2184*(SQRT($C$2/C2184))</f>
        <v>149.38689160910337</v>
      </c>
      <c r="E2184">
        <v>100</v>
      </c>
      <c r="F2184">
        <v>1215</v>
      </c>
      <c r="G2184">
        <v>1500</v>
      </c>
      <c r="H2184">
        <f>CONVERT(G2184,"HP","kW")</f>
        <v>1118.5498073734054</v>
      </c>
      <c r="I2184">
        <v>0.7883</v>
      </c>
      <c r="J2184">
        <v>0.95779999999999998</v>
      </c>
      <c r="K2184">
        <v>0.61929999999999996</v>
      </c>
      <c r="L2184">
        <v>0.25109999999999999</v>
      </c>
      <c r="M2184">
        <v>0.20669999999999999</v>
      </c>
      <c r="N2184">
        <f>CONVERT(O2184,"lbf","N")</f>
        <v>11473.742834402936</v>
      </c>
      <c r="O2184">
        <v>2579.4</v>
      </c>
      <c r="P2184">
        <f t="shared" si="34"/>
        <v>0.82317801672640378</v>
      </c>
    </row>
    <row r="2185" spans="1:16" hidden="1" x14ac:dyDescent="0.25">
      <c r="A2185">
        <v>0</v>
      </c>
      <c r="B2185">
        <v>25000</v>
      </c>
      <c r="C2185">
        <f>1.225 * (1 - 0.00000687559 * B2185) ^ 4.2561</f>
        <v>0.54892259437885793</v>
      </c>
      <c r="D2185">
        <f>E2185*(SQRT($C$2/C2185))</f>
        <v>298.77378321820675</v>
      </c>
      <c r="E2185">
        <v>200</v>
      </c>
      <c r="F2185">
        <v>1215</v>
      </c>
      <c r="G2185">
        <v>1500</v>
      </c>
      <c r="H2185">
        <f>CONVERT(G2185,"HP","kW")</f>
        <v>1118.5498073734054</v>
      </c>
      <c r="I2185">
        <v>0.8629</v>
      </c>
      <c r="J2185">
        <v>1.9155</v>
      </c>
      <c r="K2185">
        <v>0.75529999999999997</v>
      </c>
      <c r="L2185">
        <v>0.25109999999999999</v>
      </c>
      <c r="M2185">
        <v>0.11310000000000001</v>
      </c>
      <c r="N2185">
        <f>CONVERT(O2185,"lbf","N")</f>
        <v>6279.5544542632488</v>
      </c>
      <c r="O2185">
        <v>1411.7</v>
      </c>
      <c r="P2185">
        <f t="shared" si="34"/>
        <v>0.4504181600955795</v>
      </c>
    </row>
    <row r="2186" spans="1:16" hidden="1" x14ac:dyDescent="0.25">
      <c r="A2186">
        <v>0</v>
      </c>
      <c r="B2186">
        <v>25000</v>
      </c>
      <c r="C2186">
        <f>1.225 * (1 - 0.00000687559 * B2186) ^ 4.2561</f>
        <v>0.54892259437885793</v>
      </c>
      <c r="D2186">
        <f>E2186*(SQRT($C$2/C2186))</f>
        <v>0</v>
      </c>
      <c r="E2186">
        <v>0</v>
      </c>
      <c r="F2186">
        <v>1215</v>
      </c>
      <c r="G2186">
        <v>1500</v>
      </c>
      <c r="H2186">
        <f>CONVERT(G2186,"HP","kW")</f>
        <v>1118.5498073734054</v>
      </c>
      <c r="I2186">
        <v>0</v>
      </c>
      <c r="J2186">
        <v>0</v>
      </c>
      <c r="K2186">
        <v>0.55310000000000004</v>
      </c>
      <c r="L2186">
        <v>0.25119999999999998</v>
      </c>
      <c r="M2186">
        <v>0.2651</v>
      </c>
      <c r="N2186">
        <f>CONVERT(O2186,"lbf","N")</f>
        <v>14709.824059504948</v>
      </c>
      <c r="O2186">
        <v>3306.9</v>
      </c>
      <c r="P2186">
        <f t="shared" si="34"/>
        <v>1.0553343949044587</v>
      </c>
    </row>
    <row r="2187" spans="1:16" hidden="1" x14ac:dyDescent="0.25">
      <c r="A2187">
        <v>0</v>
      </c>
      <c r="B2187">
        <v>25000</v>
      </c>
      <c r="C2187">
        <f>1.225 * (1 - 0.00000687559 * B2187) ^ 4.2561</f>
        <v>0.54892259437885793</v>
      </c>
      <c r="D2187">
        <f>E2187*(SQRT($C$2/C2187))</f>
        <v>59.754756643641343</v>
      </c>
      <c r="E2187">
        <v>40</v>
      </c>
      <c r="F2187">
        <v>1215</v>
      </c>
      <c r="G2187">
        <v>1500</v>
      </c>
      <c r="H2187">
        <f>CONVERT(G2187,"HP","kW")</f>
        <v>1118.5498073734054</v>
      </c>
      <c r="I2187">
        <v>0.43169999999999997</v>
      </c>
      <c r="J2187">
        <v>0.3831</v>
      </c>
      <c r="K2187">
        <v>0.56969999999999998</v>
      </c>
      <c r="L2187">
        <v>0.25119999999999998</v>
      </c>
      <c r="M2187">
        <v>0.28310000000000002</v>
      </c>
      <c r="N2187">
        <f>CONVERT(O2187,"lbf","N")</f>
        <v>15709.784278615509</v>
      </c>
      <c r="O2187">
        <v>3531.7</v>
      </c>
      <c r="P2187">
        <f t="shared" si="34"/>
        <v>1.1269904458598727</v>
      </c>
    </row>
    <row r="2188" spans="1:16" hidden="1" x14ac:dyDescent="0.25">
      <c r="A2188">
        <v>0</v>
      </c>
      <c r="B2188">
        <v>25000</v>
      </c>
      <c r="C2188">
        <f>1.225 * (1 - 0.00000687559 * B2188) ^ 4.2561</f>
        <v>0.54892259437885793</v>
      </c>
      <c r="D2188">
        <f>E2188*(SQRT($C$2/C2188))</f>
        <v>89.632134965462015</v>
      </c>
      <c r="E2188">
        <v>60</v>
      </c>
      <c r="F2188">
        <v>1215</v>
      </c>
      <c r="G2188">
        <v>1500</v>
      </c>
      <c r="H2188">
        <f>CONVERT(G2188,"HP","kW")</f>
        <v>1118.5498073734054</v>
      </c>
      <c r="I2188">
        <v>0.61</v>
      </c>
      <c r="J2188">
        <v>0.57469999999999999</v>
      </c>
      <c r="K2188">
        <v>0.58330000000000004</v>
      </c>
      <c r="L2188">
        <v>0.25119999999999998</v>
      </c>
      <c r="M2188">
        <v>0.2666</v>
      </c>
      <c r="N2188">
        <f>CONVERT(O2188,"lbf","N")</f>
        <v>14797.898847487104</v>
      </c>
      <c r="O2188">
        <v>3326.7</v>
      </c>
      <c r="P2188">
        <f t="shared" si="34"/>
        <v>1.0613057324840764</v>
      </c>
    </row>
    <row r="2189" spans="1:16" hidden="1" x14ac:dyDescent="0.25">
      <c r="A2189">
        <v>0</v>
      </c>
      <c r="B2189">
        <v>25000</v>
      </c>
      <c r="C2189">
        <f>1.225 * (1 - 0.00000687559 * B2189) ^ 4.2561</f>
        <v>0.54892259437885793</v>
      </c>
      <c r="D2189">
        <f>E2189*(SQRT($C$2/C2189))</f>
        <v>209.14164825274472</v>
      </c>
      <c r="E2189">
        <v>140</v>
      </c>
      <c r="F2189">
        <v>1215</v>
      </c>
      <c r="G2189">
        <v>1500</v>
      </c>
      <c r="H2189">
        <f>CONVERT(G2189,"HP","kW")</f>
        <v>1118.5498073734054</v>
      </c>
      <c r="I2189">
        <v>0.86229999999999996</v>
      </c>
      <c r="J2189">
        <v>1.3409</v>
      </c>
      <c r="K2189">
        <v>0.66639999999999999</v>
      </c>
      <c r="L2189">
        <v>0.25119999999999998</v>
      </c>
      <c r="M2189">
        <v>0.16159999999999999</v>
      </c>
      <c r="N2189">
        <f>CONVERT(O2189,"lbf","N")</f>
        <v>8964.9458433960135</v>
      </c>
      <c r="O2189">
        <v>2015.4</v>
      </c>
      <c r="P2189">
        <f t="shared" si="34"/>
        <v>0.6433121019108281</v>
      </c>
    </row>
    <row r="2190" spans="1:16" hidden="1" x14ac:dyDescent="0.25">
      <c r="A2190">
        <v>0</v>
      </c>
      <c r="B2190">
        <v>25000</v>
      </c>
      <c r="C2190">
        <f>1.225 * (1 - 0.00000687559 * B2190) ^ 4.2561</f>
        <v>0.54892259437885793</v>
      </c>
      <c r="D2190">
        <f>E2190*(SQRT($C$2/C2190))</f>
        <v>328.65116154002743</v>
      </c>
      <c r="E2190">
        <v>220</v>
      </c>
      <c r="F2190">
        <v>1215</v>
      </c>
      <c r="G2190">
        <v>1500</v>
      </c>
      <c r="H2190">
        <f>CONVERT(G2190,"HP","kW")</f>
        <v>1118.5498073734054</v>
      </c>
      <c r="I2190">
        <v>0.82050000000000001</v>
      </c>
      <c r="J2190">
        <v>2.1071</v>
      </c>
      <c r="K2190">
        <v>0.78890000000000005</v>
      </c>
      <c r="L2190">
        <v>0.25119999999999998</v>
      </c>
      <c r="M2190">
        <v>9.7799999999999998E-2</v>
      </c>
      <c r="N2190">
        <f>CONVERT(O2190,"lbf","N")</f>
        <v>5428.6096592639151</v>
      </c>
      <c r="O2190">
        <v>1220.4000000000001</v>
      </c>
      <c r="P2190">
        <f t="shared" si="34"/>
        <v>0.38933121019108285</v>
      </c>
    </row>
    <row r="2191" spans="1:16" hidden="1" x14ac:dyDescent="0.25">
      <c r="A2191">
        <v>0</v>
      </c>
      <c r="B2191">
        <v>25000</v>
      </c>
      <c r="C2191">
        <f>1.225 * (1 - 0.00000687559 * B2191) ^ 4.2561</f>
        <v>0.54892259437885793</v>
      </c>
      <c r="D2191">
        <f>E2191*(SQRT($C$2/C2191))</f>
        <v>358.52853986184806</v>
      </c>
      <c r="E2191">
        <v>240</v>
      </c>
      <c r="F2191">
        <v>1215</v>
      </c>
      <c r="G2191">
        <v>1500</v>
      </c>
      <c r="H2191">
        <f>CONVERT(G2191,"HP","kW")</f>
        <v>1118.5498073734054</v>
      </c>
      <c r="I2191">
        <v>0.74109999999999998</v>
      </c>
      <c r="J2191">
        <v>2.2986</v>
      </c>
      <c r="K2191">
        <v>0.82410000000000005</v>
      </c>
      <c r="L2191">
        <v>0.25119999999999998</v>
      </c>
      <c r="M2191">
        <v>8.1000000000000003E-2</v>
      </c>
      <c r="N2191">
        <f>CONVERT(O2191,"lbf","N")</f>
        <v>4494.4831200592098</v>
      </c>
      <c r="O2191">
        <v>1010.4</v>
      </c>
      <c r="P2191">
        <f t="shared" si="34"/>
        <v>0.32245222929936307</v>
      </c>
    </row>
    <row r="2192" spans="1:16" hidden="1" x14ac:dyDescent="0.25">
      <c r="A2192">
        <v>0</v>
      </c>
      <c r="B2192">
        <v>25000</v>
      </c>
      <c r="C2192">
        <f>1.225 * (1 - 0.00000687559 * B2192) ^ 4.2561</f>
        <v>0.54892259437885793</v>
      </c>
      <c r="D2192">
        <f>E2192*(SQRT($C$2/C2192))</f>
        <v>388.40591818366875</v>
      </c>
      <c r="E2192">
        <v>260</v>
      </c>
      <c r="F2192">
        <v>1215</v>
      </c>
      <c r="G2192">
        <v>1500</v>
      </c>
      <c r="H2192">
        <f>CONVERT(G2192,"HP","kW")</f>
        <v>1118.5498073734054</v>
      </c>
      <c r="I2192">
        <v>0.58750000000000002</v>
      </c>
      <c r="J2192">
        <v>2.4902000000000002</v>
      </c>
      <c r="K2192">
        <v>0.86070000000000002</v>
      </c>
      <c r="L2192">
        <v>0.25119999999999998</v>
      </c>
      <c r="M2192">
        <v>5.9299999999999999E-2</v>
      </c>
      <c r="N2192">
        <f>CONVERT(O2192,"lbf","N")</f>
        <v>3288.5702401620879</v>
      </c>
      <c r="O2192">
        <v>739.3</v>
      </c>
      <c r="P2192">
        <f t="shared" si="34"/>
        <v>0.23606687898089174</v>
      </c>
    </row>
    <row r="2193" spans="1:16" hidden="1" x14ac:dyDescent="0.25">
      <c r="A2193">
        <v>0</v>
      </c>
      <c r="B2193">
        <v>25000</v>
      </c>
      <c r="C2193">
        <f>1.225 * (1 - 0.00000687559 * B2193) ^ 4.2561</f>
        <v>0.54892259437885793</v>
      </c>
      <c r="D2193">
        <f>E2193*(SQRT($C$2/C2193))</f>
        <v>119.50951328728269</v>
      </c>
      <c r="E2193">
        <v>80</v>
      </c>
      <c r="F2193">
        <v>1215</v>
      </c>
      <c r="G2193">
        <v>1500</v>
      </c>
      <c r="H2193">
        <f>CONVERT(G2193,"HP","kW")</f>
        <v>1118.5498073734054</v>
      </c>
      <c r="I2193">
        <v>0.71940000000000004</v>
      </c>
      <c r="J2193">
        <v>0.76619999999999999</v>
      </c>
      <c r="K2193">
        <v>0.59989999999999999</v>
      </c>
      <c r="L2193">
        <v>0.2515</v>
      </c>
      <c r="M2193">
        <v>0.2361</v>
      </c>
      <c r="N2193">
        <f>CONVERT(O2193,"lbf","N")</f>
        <v>13088.002458580972</v>
      </c>
      <c r="O2193">
        <v>2942.3</v>
      </c>
      <c r="P2193">
        <f t="shared" si="34"/>
        <v>0.93876739562624256</v>
      </c>
    </row>
    <row r="2194" spans="1:16" hidden="1" x14ac:dyDescent="0.25">
      <c r="A2194">
        <v>0</v>
      </c>
      <c r="B2194">
        <v>10000</v>
      </c>
      <c r="C2194">
        <f>1.225 * (1 - 0.00000687559 * B2194) ^ 4.2561</f>
        <v>0.90462252368600637</v>
      </c>
      <c r="D2194">
        <f>E2194*(SQRT($C$2/C2194))</f>
        <v>46.547283141308135</v>
      </c>
      <c r="E2194">
        <v>40</v>
      </c>
      <c r="F2194">
        <v>1215</v>
      </c>
      <c r="G2194">
        <v>2500</v>
      </c>
      <c r="H2194">
        <f>CONVERT(G2194,"HP","kW")</f>
        <v>1864.2496789556756</v>
      </c>
      <c r="I2194">
        <v>0.33489999999999998</v>
      </c>
      <c r="J2194">
        <v>0.2984</v>
      </c>
      <c r="K2194">
        <v>0.53290000000000004</v>
      </c>
      <c r="L2194">
        <v>0.25390000000000001</v>
      </c>
      <c r="M2194">
        <v>0.28489999999999999</v>
      </c>
      <c r="N2194">
        <f>CONVERT(O2194,"lbf","N")</f>
        <v>26071.026887041793</v>
      </c>
      <c r="O2194">
        <v>5861</v>
      </c>
      <c r="P2194">
        <f t="shared" si="34"/>
        <v>1.1220953131153997</v>
      </c>
    </row>
    <row r="2195" spans="1:16" hidden="1" x14ac:dyDescent="0.25">
      <c r="A2195">
        <v>0</v>
      </c>
      <c r="B2195">
        <v>10000</v>
      </c>
      <c r="C2195">
        <f>1.225 * (1 - 0.00000687559 * B2195) ^ 4.2561</f>
        <v>0.90462252368600637</v>
      </c>
      <c r="D2195">
        <f>E2195*(SQRT($C$2/C2195))</f>
        <v>162.91549099457848</v>
      </c>
      <c r="E2195">
        <v>140</v>
      </c>
      <c r="F2195">
        <v>1215</v>
      </c>
      <c r="G2195">
        <v>2500</v>
      </c>
      <c r="H2195">
        <f>CONVERT(G2195,"HP","kW")</f>
        <v>1864.2496789556756</v>
      </c>
      <c r="I2195">
        <v>0.81059999999999999</v>
      </c>
      <c r="J2195">
        <v>1.0445</v>
      </c>
      <c r="K2195">
        <v>0.59309999999999996</v>
      </c>
      <c r="L2195">
        <v>0.25390000000000001</v>
      </c>
      <c r="M2195">
        <v>0.19700000000000001</v>
      </c>
      <c r="N2195">
        <f>CONVERT(O2195,"lbf","N")</f>
        <v>18030.866317458436</v>
      </c>
      <c r="O2195">
        <v>4053.5</v>
      </c>
      <c r="P2195">
        <f t="shared" si="34"/>
        <v>0.77589602205592756</v>
      </c>
    </row>
    <row r="2196" spans="1:16" hidden="1" x14ac:dyDescent="0.25">
      <c r="A2196">
        <v>0</v>
      </c>
      <c r="B2196">
        <v>10000</v>
      </c>
      <c r="C2196">
        <f>1.225 * (1 - 0.00000687559 * B2196) ^ 4.2561</f>
        <v>0.90462252368600637</v>
      </c>
      <c r="D2196">
        <f>E2196*(SQRT($C$2/C2196))</f>
        <v>186.18913256523254</v>
      </c>
      <c r="E2196">
        <v>160</v>
      </c>
      <c r="F2196">
        <v>1215</v>
      </c>
      <c r="G2196">
        <v>2500</v>
      </c>
      <c r="H2196">
        <f>CONVERT(G2196,"HP","kW")</f>
        <v>1864.2496789556756</v>
      </c>
      <c r="I2196">
        <v>0.84089999999999998</v>
      </c>
      <c r="J2196">
        <v>1.1937</v>
      </c>
      <c r="K2196">
        <v>0.61009999999999998</v>
      </c>
      <c r="L2196">
        <v>0.25390000000000001</v>
      </c>
      <c r="M2196">
        <v>0.17879999999999999</v>
      </c>
      <c r="N2196">
        <f>CONVERT(O2196,"lbf","N")</f>
        <v>16366.341789027958</v>
      </c>
      <c r="O2196">
        <v>3679.3</v>
      </c>
      <c r="P2196">
        <f t="shared" si="34"/>
        <v>0.70421425758172496</v>
      </c>
    </row>
    <row r="2197" spans="1:16" hidden="1" x14ac:dyDescent="0.25">
      <c r="A2197">
        <v>0</v>
      </c>
      <c r="B2197">
        <v>10000</v>
      </c>
      <c r="C2197">
        <f>1.225 * (1 - 0.00000687559 * B2197) ^ 4.2561</f>
        <v>0.90462252368600637</v>
      </c>
      <c r="D2197">
        <f>E2197*(SQRT($C$2/C2197))</f>
        <v>209.4627741358866</v>
      </c>
      <c r="E2197">
        <v>180</v>
      </c>
      <c r="F2197">
        <v>1215</v>
      </c>
      <c r="G2197">
        <v>2500</v>
      </c>
      <c r="H2197">
        <f>CONVERT(G2197,"HP","kW")</f>
        <v>1864.2496789556756</v>
      </c>
      <c r="I2197">
        <v>0.86240000000000006</v>
      </c>
      <c r="J2197">
        <v>1.3429</v>
      </c>
      <c r="K2197">
        <v>0.62870000000000004</v>
      </c>
      <c r="L2197">
        <v>0.25390000000000001</v>
      </c>
      <c r="M2197">
        <v>0.16309999999999999</v>
      </c>
      <c r="N2197">
        <f>CONVERT(O2197,"lbf","N")</f>
        <v>14919.780119745243</v>
      </c>
      <c r="O2197">
        <v>3354.1</v>
      </c>
      <c r="P2197">
        <f t="shared" si="34"/>
        <v>0.64237888932650644</v>
      </c>
    </row>
    <row r="2198" spans="1:16" hidden="1" x14ac:dyDescent="0.25">
      <c r="A2198">
        <v>0</v>
      </c>
      <c r="B2198">
        <v>10000</v>
      </c>
      <c r="C2198">
        <f>1.225 * (1 - 0.00000687559 * B2198) ^ 4.2561</f>
        <v>0.90462252368600637</v>
      </c>
      <c r="D2198">
        <f>E2198*(SQRT($C$2/C2198))</f>
        <v>232.73641570654067</v>
      </c>
      <c r="E2198">
        <v>200</v>
      </c>
      <c r="F2198">
        <v>1215</v>
      </c>
      <c r="G2198">
        <v>2500</v>
      </c>
      <c r="H2198">
        <f>CONVERT(G2198,"HP","kW")</f>
        <v>1864.2496789556756</v>
      </c>
      <c r="I2198">
        <v>0.87739999999999996</v>
      </c>
      <c r="J2198">
        <v>1.4922</v>
      </c>
      <c r="K2198">
        <v>0.64859999999999995</v>
      </c>
      <c r="L2198">
        <v>0.25390000000000001</v>
      </c>
      <c r="M2198">
        <v>0.14929999999999999</v>
      </c>
      <c r="N2198">
        <f>CONVERT(O2198,"lbf","N")</f>
        <v>13660.933402626522</v>
      </c>
      <c r="O2198">
        <v>3071.1</v>
      </c>
      <c r="P2198">
        <f t="shared" si="34"/>
        <v>0.58802678219771554</v>
      </c>
    </row>
    <row r="2199" spans="1:16" hidden="1" x14ac:dyDescent="0.25">
      <c r="A2199">
        <v>0</v>
      </c>
      <c r="B2199">
        <v>10000</v>
      </c>
      <c r="C2199">
        <f>1.225 * (1 - 0.00000687559 * B2199) ^ 4.2561</f>
        <v>0.90462252368600637</v>
      </c>
      <c r="D2199">
        <f>E2199*(SQRT($C$2/C2199))</f>
        <v>23.273641570654068</v>
      </c>
      <c r="E2199">
        <v>20</v>
      </c>
      <c r="F2199">
        <v>1215</v>
      </c>
      <c r="G2199">
        <v>2500</v>
      </c>
      <c r="H2199">
        <f>CONVERT(G2199,"HP","kW")</f>
        <v>1864.2496789556756</v>
      </c>
      <c r="I2199">
        <v>0.16120000000000001</v>
      </c>
      <c r="J2199">
        <v>0.1492</v>
      </c>
      <c r="K2199">
        <v>0.52659999999999996</v>
      </c>
      <c r="L2199">
        <v>0.254</v>
      </c>
      <c r="M2199">
        <v>0.27439999999999998</v>
      </c>
      <c r="N2199">
        <f>CONVERT(O2199,"lbf","N")</f>
        <v>25099.980108430424</v>
      </c>
      <c r="O2199">
        <v>5642.7</v>
      </c>
      <c r="P2199">
        <f t="shared" si="34"/>
        <v>1.0803149606299212</v>
      </c>
    </row>
    <row r="2200" spans="1:16" hidden="1" x14ac:dyDescent="0.25">
      <c r="A2200">
        <v>0</v>
      </c>
      <c r="B2200">
        <v>10000</v>
      </c>
      <c r="C2200">
        <f>1.225 * (1 - 0.00000687559 * B2200) ^ 4.2561</f>
        <v>0.90462252368600637</v>
      </c>
      <c r="D2200">
        <f>E2200*(SQRT($C$2/C2200))</f>
        <v>93.09456628261627</v>
      </c>
      <c r="E2200">
        <v>80</v>
      </c>
      <c r="F2200">
        <v>1215</v>
      </c>
      <c r="G2200">
        <v>2500</v>
      </c>
      <c r="H2200">
        <f>CONVERT(G2200,"HP","kW")</f>
        <v>1864.2496789556756</v>
      </c>
      <c r="I2200">
        <v>0.62719999999999998</v>
      </c>
      <c r="J2200">
        <v>0.59689999999999999</v>
      </c>
      <c r="K2200">
        <v>0.55169999999999997</v>
      </c>
      <c r="L2200">
        <v>0.254</v>
      </c>
      <c r="M2200">
        <v>0.26690000000000003</v>
      </c>
      <c r="N2200">
        <f>CONVERT(O2200,"lbf","N")</f>
        <v>24415.398801841835</v>
      </c>
      <c r="O2200">
        <v>5488.8</v>
      </c>
      <c r="P2200">
        <f t="shared" si="34"/>
        <v>1.0507874015748033</v>
      </c>
    </row>
    <row r="2201" spans="1:16" hidden="1" x14ac:dyDescent="0.25">
      <c r="A2201">
        <v>0</v>
      </c>
      <c r="B2201">
        <v>10000</v>
      </c>
      <c r="C2201">
        <f>1.225 * (1 - 0.00000687559 * B2201) ^ 4.2561</f>
        <v>0.90462252368600637</v>
      </c>
      <c r="D2201">
        <f>E2201*(SQRT($C$2/C2201))</f>
        <v>139.64184942392441</v>
      </c>
      <c r="E2201">
        <v>120</v>
      </c>
      <c r="F2201">
        <v>1215</v>
      </c>
      <c r="G2201">
        <v>2500</v>
      </c>
      <c r="H2201">
        <f>CONVERT(G2201,"HP","kW")</f>
        <v>1864.2496789556756</v>
      </c>
      <c r="I2201">
        <v>0.76839999999999997</v>
      </c>
      <c r="J2201">
        <v>0.89529999999999998</v>
      </c>
      <c r="K2201">
        <v>0.57769999999999999</v>
      </c>
      <c r="L2201">
        <v>0.254</v>
      </c>
      <c r="M2201">
        <v>0.218</v>
      </c>
      <c r="N2201">
        <f>CONVERT(O2201,"lbf","N")</f>
        <v>19940.487856889769</v>
      </c>
      <c r="O2201">
        <v>4482.8</v>
      </c>
      <c r="P2201">
        <f t="shared" si="34"/>
        <v>0.8582677165354331</v>
      </c>
    </row>
    <row r="2202" spans="1:16" hidden="1" x14ac:dyDescent="0.25">
      <c r="A2202">
        <v>0</v>
      </c>
      <c r="B2202">
        <v>10000</v>
      </c>
      <c r="C2202">
        <f>1.225 * (1 - 0.00000687559 * B2202) ^ 4.2561</f>
        <v>0.90462252368600637</v>
      </c>
      <c r="D2202">
        <f>E2202*(SQRT($C$2/C2202))</f>
        <v>256.01005727719473</v>
      </c>
      <c r="E2202">
        <v>220</v>
      </c>
      <c r="F2202">
        <v>1215</v>
      </c>
      <c r="G2202">
        <v>2500</v>
      </c>
      <c r="H2202">
        <f>CONVERT(G2202,"HP","kW")</f>
        <v>1864.2496789556756</v>
      </c>
      <c r="I2202">
        <v>0.88749999999999996</v>
      </c>
      <c r="J2202">
        <v>1.6414</v>
      </c>
      <c r="K2202">
        <v>0.67</v>
      </c>
      <c r="L2202">
        <v>0.254</v>
      </c>
      <c r="M2202">
        <v>0.13730000000000001</v>
      </c>
      <c r="N2202">
        <f>CONVERT(O2202,"lbf","N")</f>
        <v>12563.112307980233</v>
      </c>
      <c r="O2202">
        <v>2824.3</v>
      </c>
      <c r="P2202">
        <f t="shared" si="34"/>
        <v>0.54055118110236222</v>
      </c>
    </row>
    <row r="2203" spans="1:16" hidden="1" x14ac:dyDescent="0.25">
      <c r="A2203">
        <v>0</v>
      </c>
      <c r="B2203">
        <v>10000</v>
      </c>
      <c r="C2203">
        <f>1.225 * (1 - 0.00000687559 * B2203) ^ 4.2561</f>
        <v>0.90462252368600637</v>
      </c>
      <c r="D2203">
        <f>E2203*(SQRT($C$2/C2203))</f>
        <v>279.28369884784883</v>
      </c>
      <c r="E2203">
        <v>240</v>
      </c>
      <c r="F2203">
        <v>1215</v>
      </c>
      <c r="G2203">
        <v>2500</v>
      </c>
      <c r="H2203">
        <f>CONVERT(G2203,"HP","kW")</f>
        <v>1864.2496789556756</v>
      </c>
      <c r="I2203">
        <v>0.89290000000000003</v>
      </c>
      <c r="J2203">
        <v>1.7906</v>
      </c>
      <c r="K2203">
        <v>0.6925</v>
      </c>
      <c r="L2203">
        <v>0.254</v>
      </c>
      <c r="M2203">
        <v>0.12670000000000001</v>
      </c>
      <c r="N2203">
        <f>CONVERT(O2203,"lbf","N")</f>
        <v>11585.393196945972</v>
      </c>
      <c r="O2203">
        <v>2604.5</v>
      </c>
      <c r="P2203">
        <f t="shared" si="34"/>
        <v>0.4988188976377953</v>
      </c>
    </row>
    <row r="2204" spans="1:16" hidden="1" x14ac:dyDescent="0.25">
      <c r="A2204">
        <v>0</v>
      </c>
      <c r="B2204">
        <v>10000</v>
      </c>
      <c r="C2204">
        <f>1.225 * (1 - 0.00000687559 * B2204) ^ 4.2561</f>
        <v>0.90462252368600637</v>
      </c>
      <c r="D2204">
        <f>E2204*(SQRT($C$2/C2204))</f>
        <v>302.55734041850286</v>
      </c>
      <c r="E2204">
        <v>260</v>
      </c>
      <c r="F2204">
        <v>1215</v>
      </c>
      <c r="G2204">
        <v>2500</v>
      </c>
      <c r="H2204">
        <f>CONVERT(G2204,"HP","kW")</f>
        <v>1864.2496789556756</v>
      </c>
      <c r="I2204">
        <v>0.88839999999999997</v>
      </c>
      <c r="J2204">
        <v>1.9398</v>
      </c>
      <c r="K2204">
        <v>0.71619999999999995</v>
      </c>
      <c r="L2204">
        <v>0.254</v>
      </c>
      <c r="M2204">
        <v>0.1163</v>
      </c>
      <c r="N2204">
        <f>CONVERT(O2204,"lbf","N")</f>
        <v>10640.590925864642</v>
      </c>
      <c r="O2204">
        <v>2392.1</v>
      </c>
      <c r="P2204">
        <f t="shared" si="34"/>
        <v>0.45787401574803149</v>
      </c>
    </row>
    <row r="2205" spans="1:16" hidden="1" x14ac:dyDescent="0.25">
      <c r="A2205">
        <v>0</v>
      </c>
      <c r="B2205">
        <v>10000</v>
      </c>
      <c r="C2205">
        <f>1.225 * (1 - 0.00000687559 * B2205) ^ 4.2561</f>
        <v>0.90462252368600637</v>
      </c>
      <c r="D2205">
        <f>E2205*(SQRT($C$2/C2205))</f>
        <v>0</v>
      </c>
      <c r="E2205">
        <v>0</v>
      </c>
      <c r="F2205">
        <v>1215</v>
      </c>
      <c r="G2205">
        <v>2500</v>
      </c>
      <c r="H2205">
        <f>CONVERT(G2205,"HP","kW")</f>
        <v>1864.2496789556756</v>
      </c>
      <c r="I2205">
        <v>0</v>
      </c>
      <c r="J2205">
        <v>0</v>
      </c>
      <c r="K2205">
        <v>0.52170000000000005</v>
      </c>
      <c r="L2205">
        <v>0.25409999999999999</v>
      </c>
      <c r="M2205">
        <v>0.26590000000000003</v>
      </c>
      <c r="N2205">
        <f>CONVERT(O2205,"lbf","N")</f>
        <v>24311.755238206264</v>
      </c>
      <c r="O2205">
        <v>5465.5</v>
      </c>
      <c r="P2205">
        <f t="shared" si="34"/>
        <v>1.0464384100747739</v>
      </c>
    </row>
    <row r="2206" spans="1:16" hidden="1" x14ac:dyDescent="0.25">
      <c r="A2206">
        <v>0</v>
      </c>
      <c r="B2206">
        <v>10000</v>
      </c>
      <c r="C2206">
        <f>1.225 * (1 - 0.00000687559 * B2206) ^ 4.2561</f>
        <v>0.90462252368600637</v>
      </c>
      <c r="D2206">
        <f>E2206*(SQRT($C$2/C2206))</f>
        <v>69.820924711962206</v>
      </c>
      <c r="E2206">
        <v>60</v>
      </c>
      <c r="F2206">
        <v>1215</v>
      </c>
      <c r="G2206">
        <v>2500</v>
      </c>
      <c r="H2206">
        <f>CONVERT(G2206,"HP","kW")</f>
        <v>1864.2496789556756</v>
      </c>
      <c r="I2206">
        <v>0.49940000000000001</v>
      </c>
      <c r="J2206">
        <v>0.4476</v>
      </c>
      <c r="K2206">
        <v>0.54110000000000003</v>
      </c>
      <c r="L2206">
        <v>0.25409999999999999</v>
      </c>
      <c r="M2206">
        <v>0.28349999999999997</v>
      </c>
      <c r="N2206">
        <f>CONVERT(O2206,"lbf","N")</f>
        <v>25921.566640769037</v>
      </c>
      <c r="O2206">
        <v>5827.4</v>
      </c>
      <c r="P2206">
        <f t="shared" si="34"/>
        <v>1.1157024793388428</v>
      </c>
    </row>
    <row r="2207" spans="1:16" hidden="1" x14ac:dyDescent="0.25">
      <c r="A2207">
        <v>0</v>
      </c>
      <c r="B2207">
        <v>10000</v>
      </c>
      <c r="C2207">
        <f>1.225 * (1 - 0.00000687559 * B2207) ^ 4.2561</f>
        <v>0.90462252368600637</v>
      </c>
      <c r="D2207">
        <f>E2207*(SQRT($C$2/C2207))</f>
        <v>116.36820785327033</v>
      </c>
      <c r="E2207">
        <v>100</v>
      </c>
      <c r="F2207">
        <v>1215</v>
      </c>
      <c r="G2207">
        <v>2500</v>
      </c>
      <c r="H2207">
        <f>CONVERT(G2207,"HP","kW")</f>
        <v>1864.2496789556756</v>
      </c>
      <c r="I2207">
        <v>0.70979999999999999</v>
      </c>
      <c r="J2207">
        <v>0.74609999999999999</v>
      </c>
      <c r="K2207">
        <v>0.56389999999999996</v>
      </c>
      <c r="L2207">
        <v>0.25430000000000003</v>
      </c>
      <c r="M2207">
        <v>0.2419</v>
      </c>
      <c r="N2207">
        <f>CONVERT(O2207,"lbf","N")</f>
        <v>22104.547672714005</v>
      </c>
      <c r="O2207">
        <v>4969.3</v>
      </c>
      <c r="P2207">
        <f t="shared" si="34"/>
        <v>0.95123869445536757</v>
      </c>
    </row>
    <row r="2208" spans="1:16" hidden="1" x14ac:dyDescent="0.25">
      <c r="A2208">
        <v>0</v>
      </c>
      <c r="B2208">
        <v>5000</v>
      </c>
      <c r="C2208">
        <f>1.225 * (1 - 0.00000687559 * B2208) ^ 4.2561</f>
        <v>1.0555380742846066</v>
      </c>
      <c r="D2208">
        <f>E2208*(SQRT($C$2/C2208))</f>
        <v>107.72861903045587</v>
      </c>
      <c r="E2208">
        <v>100</v>
      </c>
      <c r="F2208">
        <v>1150</v>
      </c>
      <c r="G2208">
        <v>2500</v>
      </c>
      <c r="H2208">
        <f>CONVERT(G2208,"HP","kW")</f>
        <v>1864.2496789556756</v>
      </c>
      <c r="I2208">
        <v>0.70209999999999995</v>
      </c>
      <c r="J2208">
        <v>0.72970000000000002</v>
      </c>
      <c r="K2208">
        <v>0.52280000000000004</v>
      </c>
      <c r="L2208">
        <v>0.25659999999999999</v>
      </c>
      <c r="M2208">
        <v>0.24679999999999999</v>
      </c>
      <c r="N2208">
        <f>CONVERT(O2208,"lbf","N")</f>
        <v>23616.053377579523</v>
      </c>
      <c r="O2208">
        <v>5309.1</v>
      </c>
      <c r="P2208">
        <f t="shared" si="34"/>
        <v>0.96180826188620416</v>
      </c>
    </row>
    <row r="2209" spans="1:16" hidden="1" x14ac:dyDescent="0.25">
      <c r="A2209">
        <v>0</v>
      </c>
      <c r="B2209">
        <v>5000</v>
      </c>
      <c r="C2209">
        <f>1.225 * (1 - 0.00000687559 * B2209) ^ 4.2561</f>
        <v>1.0555380742846066</v>
      </c>
      <c r="D2209">
        <f>E2209*(SQRT($C$2/C2209))</f>
        <v>64.637171418273525</v>
      </c>
      <c r="E2209">
        <v>60</v>
      </c>
      <c r="F2209">
        <v>1150</v>
      </c>
      <c r="G2209">
        <v>2500</v>
      </c>
      <c r="H2209">
        <f>CONVERT(G2209,"HP","kW")</f>
        <v>1864.2496789556756</v>
      </c>
      <c r="I2209">
        <v>0.4894</v>
      </c>
      <c r="J2209">
        <v>0.43780000000000002</v>
      </c>
      <c r="K2209">
        <v>0.50239999999999996</v>
      </c>
      <c r="L2209">
        <v>0.25669999999999998</v>
      </c>
      <c r="M2209">
        <v>0.28699999999999998</v>
      </c>
      <c r="N2209">
        <f>CONVERT(O2209,"lbf","N")</f>
        <v>27438.410211572867</v>
      </c>
      <c r="O2209">
        <v>6168.4</v>
      </c>
      <c r="P2209">
        <f t="shared" si="34"/>
        <v>1.1180366186209583</v>
      </c>
    </row>
    <row r="2210" spans="1:16" hidden="1" x14ac:dyDescent="0.25">
      <c r="A2210">
        <v>0</v>
      </c>
      <c r="B2210">
        <v>5000</v>
      </c>
      <c r="C2210">
        <f>1.225 * (1 - 0.00000687559 * B2210) ^ 4.2561</f>
        <v>1.0555380742846066</v>
      </c>
      <c r="D2210">
        <f>E2210*(SQRT($C$2/C2210))</f>
        <v>150.82006664263821</v>
      </c>
      <c r="E2210">
        <v>140</v>
      </c>
      <c r="F2210">
        <v>1150</v>
      </c>
      <c r="G2210">
        <v>2500</v>
      </c>
      <c r="H2210">
        <f>CONVERT(G2210,"HP","kW")</f>
        <v>1864.2496789556756</v>
      </c>
      <c r="I2210">
        <v>0.80510000000000004</v>
      </c>
      <c r="J2210">
        <v>1.0216000000000001</v>
      </c>
      <c r="K2210">
        <v>0.54900000000000004</v>
      </c>
      <c r="L2210">
        <v>0.25669999999999998</v>
      </c>
      <c r="M2210">
        <v>0.20230000000000001</v>
      </c>
      <c r="N2210">
        <f>CONVERT(O2210,"lbf","N")</f>
        <v>19345.760626929445</v>
      </c>
      <c r="O2210">
        <v>4349.1000000000004</v>
      </c>
      <c r="P2210">
        <f t="shared" si="34"/>
        <v>0.78807947019867552</v>
      </c>
    </row>
    <row r="2211" spans="1:16" hidden="1" x14ac:dyDescent="0.25">
      <c r="A2211">
        <v>0</v>
      </c>
      <c r="B2211">
        <v>5000</v>
      </c>
      <c r="C2211">
        <f>1.225 * (1 - 0.00000687559 * B2211) ^ 4.2561</f>
        <v>1.0555380742846066</v>
      </c>
      <c r="D2211">
        <f>E2211*(SQRT($C$2/C2211))</f>
        <v>0</v>
      </c>
      <c r="E2211">
        <v>0</v>
      </c>
      <c r="F2211">
        <v>1150</v>
      </c>
      <c r="G2211">
        <v>2500</v>
      </c>
      <c r="H2211">
        <f>CONVERT(G2211,"HP","kW")</f>
        <v>1864.2496789556756</v>
      </c>
      <c r="I2211">
        <v>0</v>
      </c>
      <c r="J2211">
        <v>0</v>
      </c>
      <c r="K2211">
        <v>0.48509999999999998</v>
      </c>
      <c r="L2211">
        <v>0.25679999999999997</v>
      </c>
      <c r="M2211">
        <v>0.2671</v>
      </c>
      <c r="N2211">
        <f>CONVERT(O2211,"lbf","N")</f>
        <v>25535.016182402902</v>
      </c>
      <c r="O2211">
        <v>5740.5</v>
      </c>
      <c r="P2211">
        <f t="shared" si="34"/>
        <v>1.0401090342679129</v>
      </c>
    </row>
    <row r="2212" spans="1:16" hidden="1" x14ac:dyDescent="0.25">
      <c r="A2212">
        <v>0</v>
      </c>
      <c r="B2212">
        <v>5000</v>
      </c>
      <c r="C2212">
        <f>1.225 * (1 - 0.00000687559 * B2212) ^ 4.2561</f>
        <v>1.0555380742846066</v>
      </c>
      <c r="D2212">
        <f>E2212*(SQRT($C$2/C2212))</f>
        <v>21.545723806091175</v>
      </c>
      <c r="E2212">
        <v>20</v>
      </c>
      <c r="F2212">
        <v>1150</v>
      </c>
      <c r="G2212">
        <v>2500</v>
      </c>
      <c r="H2212">
        <f>CONVERT(G2212,"HP","kW")</f>
        <v>1864.2496789556756</v>
      </c>
      <c r="I2212">
        <v>0.15679999999999999</v>
      </c>
      <c r="J2212">
        <v>0.1459</v>
      </c>
      <c r="K2212">
        <v>0.4894</v>
      </c>
      <c r="L2212">
        <v>0.25679999999999997</v>
      </c>
      <c r="M2212">
        <v>0.27579999999999999</v>
      </c>
      <c r="N2212">
        <f>CONVERT(O2212,"lbf","N")</f>
        <v>26365.943980133561</v>
      </c>
      <c r="O2212">
        <v>5927.3</v>
      </c>
      <c r="P2212">
        <f t="shared" si="34"/>
        <v>1.07398753894081</v>
      </c>
    </row>
    <row r="2213" spans="1:16" hidden="1" x14ac:dyDescent="0.25">
      <c r="A2213">
        <v>0</v>
      </c>
      <c r="B2213">
        <v>5000</v>
      </c>
      <c r="C2213">
        <f>1.225 * (1 - 0.00000687559 * B2213) ^ 4.2561</f>
        <v>1.0555380742846066</v>
      </c>
      <c r="D2213">
        <f>E2213*(SQRT($C$2/C2213))</f>
        <v>43.09144761218235</v>
      </c>
      <c r="E2213">
        <v>40</v>
      </c>
      <c r="F2213">
        <v>1150</v>
      </c>
      <c r="G2213">
        <v>2500</v>
      </c>
      <c r="H2213">
        <f>CONVERT(G2213,"HP","kW")</f>
        <v>1864.2496789556756</v>
      </c>
      <c r="I2213">
        <v>0.32450000000000001</v>
      </c>
      <c r="J2213">
        <v>0.29189999999999999</v>
      </c>
      <c r="K2213">
        <v>0.49509999999999998</v>
      </c>
      <c r="L2213">
        <v>0.25679999999999997</v>
      </c>
      <c r="M2213">
        <v>0.28539999999999999</v>
      </c>
      <c r="N2213">
        <f>CONVERT(O2213,"lbf","N")</f>
        <v>27285.836210169433</v>
      </c>
      <c r="O2213">
        <v>6134.1</v>
      </c>
      <c r="P2213">
        <f t="shared" si="34"/>
        <v>1.1113707165109035</v>
      </c>
    </row>
    <row r="2214" spans="1:16" hidden="1" x14ac:dyDescent="0.25">
      <c r="A2214">
        <v>0</v>
      </c>
      <c r="B2214">
        <v>5000</v>
      </c>
      <c r="C2214">
        <f>1.225 * (1 - 0.00000687559 * B2214) ^ 4.2561</f>
        <v>1.0555380742846066</v>
      </c>
      <c r="D2214">
        <f>E2214*(SQRT($C$2/C2214))</f>
        <v>86.1828952243647</v>
      </c>
      <c r="E2214">
        <v>80</v>
      </c>
      <c r="F2214">
        <v>1150</v>
      </c>
      <c r="G2214">
        <v>2500</v>
      </c>
      <c r="H2214">
        <f>CONVERT(G2214,"HP","kW")</f>
        <v>1864.2496789556756</v>
      </c>
      <c r="I2214">
        <v>0.6179</v>
      </c>
      <c r="J2214">
        <v>0.58379999999999999</v>
      </c>
      <c r="K2214">
        <v>0.51180000000000003</v>
      </c>
      <c r="L2214">
        <v>0.25679999999999997</v>
      </c>
      <c r="M2214">
        <v>0.27179999999999999</v>
      </c>
      <c r="N2214">
        <f>CONVERT(O2214,"lbf","N")</f>
        <v>25980.727988252002</v>
      </c>
      <c r="O2214">
        <v>5840.7</v>
      </c>
      <c r="P2214">
        <f t="shared" si="34"/>
        <v>1.0584112149532712</v>
      </c>
    </row>
    <row r="2215" spans="1:16" hidden="1" x14ac:dyDescent="0.25">
      <c r="A2215">
        <v>0</v>
      </c>
      <c r="B2215">
        <v>5000</v>
      </c>
      <c r="C2215">
        <f>1.225 * (1 - 0.00000687559 * B2215) ^ 4.2561</f>
        <v>1.0555380742846066</v>
      </c>
      <c r="D2215">
        <f>E2215*(SQRT($C$2/C2215))</f>
        <v>129.27434283654705</v>
      </c>
      <c r="E2215">
        <v>120</v>
      </c>
      <c r="F2215">
        <v>1150</v>
      </c>
      <c r="G2215">
        <v>2500</v>
      </c>
      <c r="H2215">
        <f>CONVERT(G2215,"HP","kW")</f>
        <v>1864.2496789556756</v>
      </c>
      <c r="I2215">
        <v>0.76170000000000004</v>
      </c>
      <c r="J2215">
        <v>0.87570000000000003</v>
      </c>
      <c r="K2215">
        <v>0.53520000000000001</v>
      </c>
      <c r="L2215">
        <v>0.25679999999999997</v>
      </c>
      <c r="M2215">
        <v>0.22339999999999999</v>
      </c>
      <c r="N2215">
        <f>CONVERT(O2215,"lbf","N")</f>
        <v>21353.243041896501</v>
      </c>
      <c r="O2215">
        <v>4800.3999999999996</v>
      </c>
      <c r="P2215">
        <f t="shared" si="34"/>
        <v>0.86993769470404991</v>
      </c>
    </row>
    <row r="2216" spans="1:16" hidden="1" x14ac:dyDescent="0.25">
      <c r="A2216">
        <v>0</v>
      </c>
      <c r="B2216">
        <v>5000</v>
      </c>
      <c r="C2216">
        <f>1.225 * (1 - 0.00000687559 * B2216) ^ 4.2561</f>
        <v>1.0555380742846066</v>
      </c>
      <c r="D2216">
        <f>E2216*(SQRT($C$2/C2216))</f>
        <v>172.3657904487294</v>
      </c>
      <c r="E2216">
        <v>160</v>
      </c>
      <c r="F2216">
        <v>1150</v>
      </c>
      <c r="G2216">
        <v>2500</v>
      </c>
      <c r="H2216">
        <f>CONVERT(G2216,"HP","kW")</f>
        <v>1864.2496789556756</v>
      </c>
      <c r="I2216">
        <v>0.83640000000000003</v>
      </c>
      <c r="J2216">
        <v>1.1676</v>
      </c>
      <c r="K2216">
        <v>0.56430000000000002</v>
      </c>
      <c r="L2216">
        <v>0.25679999999999997</v>
      </c>
      <c r="M2216">
        <v>0.18390000000000001</v>
      </c>
      <c r="N2216">
        <f>CONVERT(O2216,"lbf","N")</f>
        <v>17584.264867286282</v>
      </c>
      <c r="O2216">
        <v>3953.1</v>
      </c>
      <c r="P2216">
        <f t="shared" si="34"/>
        <v>0.7161214953271029</v>
      </c>
    </row>
    <row r="2217" spans="1:16" hidden="1" x14ac:dyDescent="0.25">
      <c r="A2217">
        <v>0</v>
      </c>
      <c r="B2217">
        <v>5000</v>
      </c>
      <c r="C2217">
        <f>1.225 * (1 - 0.00000687559 * B2217) ^ 4.2561</f>
        <v>1.0555380742846066</v>
      </c>
      <c r="D2217">
        <f>E2217*(SQRT($C$2/C2217))</f>
        <v>193.91151425482059</v>
      </c>
      <c r="E2217">
        <v>180</v>
      </c>
      <c r="F2217">
        <v>1150</v>
      </c>
      <c r="G2217">
        <v>2500</v>
      </c>
      <c r="H2217">
        <f>CONVERT(G2217,"HP","kW")</f>
        <v>1864.2496789556756</v>
      </c>
      <c r="I2217">
        <v>0.85870000000000002</v>
      </c>
      <c r="J2217">
        <v>1.3134999999999999</v>
      </c>
      <c r="K2217">
        <v>0.58079999999999998</v>
      </c>
      <c r="L2217">
        <v>0.25679999999999997</v>
      </c>
      <c r="M2217">
        <v>0.16789999999999999</v>
      </c>
      <c r="N2217">
        <f>CONVERT(O2217,"lbf","N")</f>
        <v>16047.404299213778</v>
      </c>
      <c r="O2217">
        <v>3607.6</v>
      </c>
      <c r="P2217">
        <f t="shared" si="34"/>
        <v>0.65381619937694713</v>
      </c>
    </row>
    <row r="2218" spans="1:16" hidden="1" x14ac:dyDescent="0.25">
      <c r="A2218">
        <v>0</v>
      </c>
      <c r="B2218">
        <v>5000</v>
      </c>
      <c r="C2218">
        <f>1.225 * (1 - 0.00000687559 * B2218) ^ 4.2561</f>
        <v>1.0555380742846066</v>
      </c>
      <c r="D2218">
        <f>E2218*(SQRT($C$2/C2218))</f>
        <v>215.45723806091175</v>
      </c>
      <c r="E2218">
        <v>200</v>
      </c>
      <c r="F2218">
        <v>1150</v>
      </c>
      <c r="G2218">
        <v>2500</v>
      </c>
      <c r="H2218">
        <f>CONVERT(G2218,"HP","kW")</f>
        <v>1864.2496789556756</v>
      </c>
      <c r="I2218">
        <v>0.87439999999999996</v>
      </c>
      <c r="J2218">
        <v>1.4595</v>
      </c>
      <c r="K2218">
        <v>0.59870000000000001</v>
      </c>
      <c r="L2218">
        <v>0.25679999999999997</v>
      </c>
      <c r="M2218">
        <v>0.15379999999999999</v>
      </c>
      <c r="N2218">
        <f>CONVERT(O2218,"lbf","N")</f>
        <v>14707.155126535792</v>
      </c>
      <c r="O2218">
        <v>3306.3</v>
      </c>
      <c r="P2218">
        <f t="shared" si="34"/>
        <v>0.59890965732087231</v>
      </c>
    </row>
    <row r="2219" spans="1:16" hidden="1" x14ac:dyDescent="0.25">
      <c r="A2219">
        <v>0</v>
      </c>
      <c r="B2219">
        <v>5000</v>
      </c>
      <c r="C2219">
        <f>1.225 * (1 - 0.00000687559 * B2219) ^ 4.2561</f>
        <v>1.0555380742846066</v>
      </c>
      <c r="D2219">
        <f>E2219*(SQRT($C$2/C2219))</f>
        <v>237.00296186700291</v>
      </c>
      <c r="E2219">
        <v>220</v>
      </c>
      <c r="F2219">
        <v>1150</v>
      </c>
      <c r="G2219">
        <v>2500</v>
      </c>
      <c r="H2219">
        <f>CONVERT(G2219,"HP","kW")</f>
        <v>1864.2496789556756</v>
      </c>
      <c r="I2219">
        <v>0.88519999999999999</v>
      </c>
      <c r="J2219">
        <v>1.6053999999999999</v>
      </c>
      <c r="K2219">
        <v>0.6179</v>
      </c>
      <c r="L2219">
        <v>0.25679999999999997</v>
      </c>
      <c r="M2219">
        <v>0.1416</v>
      </c>
      <c r="N2219">
        <f>CONVERT(O2219,"lbf","N")</f>
        <v>13535.493553076176</v>
      </c>
      <c r="O2219">
        <v>3042.9</v>
      </c>
      <c r="P2219">
        <f t="shared" si="34"/>
        <v>0.55140186915887857</v>
      </c>
    </row>
    <row r="2220" spans="1:16" hidden="1" x14ac:dyDescent="0.25">
      <c r="A2220">
        <v>0</v>
      </c>
      <c r="B2220">
        <v>5000</v>
      </c>
      <c r="C2220">
        <f>1.225 * (1 - 0.00000687559 * B2220) ^ 4.2561</f>
        <v>1.0555380742846066</v>
      </c>
      <c r="D2220">
        <f>E2220*(SQRT($C$2/C2220))</f>
        <v>258.5486856730941</v>
      </c>
      <c r="E2220">
        <v>240</v>
      </c>
      <c r="F2220">
        <v>1150</v>
      </c>
      <c r="G2220">
        <v>2500</v>
      </c>
      <c r="H2220">
        <f>CONVERT(G2220,"HP","kW")</f>
        <v>1864.2496789556756</v>
      </c>
      <c r="I2220">
        <v>0.89219999999999999</v>
      </c>
      <c r="J2220">
        <v>1.7513000000000001</v>
      </c>
      <c r="K2220">
        <v>0.6381</v>
      </c>
      <c r="L2220">
        <v>0.25679999999999997</v>
      </c>
      <c r="M2220">
        <v>0.1308</v>
      </c>
      <c r="N2220">
        <f>CONVERT(O2220,"lbf","N")</f>
        <v>12505.730249143371</v>
      </c>
      <c r="O2220">
        <v>2811.4</v>
      </c>
      <c r="P2220">
        <f t="shared" si="34"/>
        <v>0.50934579439252337</v>
      </c>
    </row>
    <row r="2221" spans="1:16" hidden="1" x14ac:dyDescent="0.25">
      <c r="A2221">
        <v>0</v>
      </c>
      <c r="B2221">
        <v>5000</v>
      </c>
      <c r="C2221">
        <f>1.225 * (1 - 0.00000687559 * B2221) ^ 4.2561</f>
        <v>1.0555380742846066</v>
      </c>
      <c r="D2221">
        <f>E2221*(SQRT($C$2/C2221))</f>
        <v>280.09440947918529</v>
      </c>
      <c r="E2221">
        <v>260</v>
      </c>
      <c r="F2221">
        <v>1150</v>
      </c>
      <c r="G2221">
        <v>2500</v>
      </c>
      <c r="H2221">
        <f>CONVERT(G2221,"HP","kW")</f>
        <v>1864.2496789556756</v>
      </c>
      <c r="I2221">
        <v>0.89600000000000002</v>
      </c>
      <c r="J2221">
        <v>1.8973</v>
      </c>
      <c r="K2221">
        <v>0.6593</v>
      </c>
      <c r="L2221">
        <v>0.25679999999999997</v>
      </c>
      <c r="M2221">
        <v>0.12130000000000001</v>
      </c>
      <c r="N2221">
        <f>CONVERT(O2221,"lbf","N")</f>
        <v>11592.065529368863</v>
      </c>
      <c r="O2221">
        <v>2606</v>
      </c>
      <c r="P2221">
        <f t="shared" si="34"/>
        <v>0.47235202492211847</v>
      </c>
    </row>
    <row r="2222" spans="1:16" hidden="1" x14ac:dyDescent="0.25">
      <c r="A2222">
        <v>0</v>
      </c>
      <c r="B2222">
        <v>20000</v>
      </c>
      <c r="C2222">
        <f>1.225 * (1 - 0.00000687559 * B2222) ^ 4.2561</f>
        <v>0.65267221054298263</v>
      </c>
      <c r="D2222">
        <f>E2222*(SQRT($C$2/C2222))</f>
        <v>27.399994721664136</v>
      </c>
      <c r="E2222">
        <v>20</v>
      </c>
      <c r="F2222">
        <v>987</v>
      </c>
      <c r="G2222">
        <v>1000</v>
      </c>
      <c r="H2222">
        <f>CONVERT(G2222,"HP","kW")</f>
        <v>745.69987158227025</v>
      </c>
      <c r="I2222">
        <v>0.22989999999999999</v>
      </c>
      <c r="J2222">
        <v>0.2162</v>
      </c>
      <c r="K2222">
        <v>0.44679999999999997</v>
      </c>
      <c r="L2222">
        <v>0.26250000000000001</v>
      </c>
      <c r="M2222">
        <v>0.27910000000000001</v>
      </c>
      <c r="N2222">
        <f>CONVERT(O2222,"lbf","N")</f>
        <v>12164.106829091363</v>
      </c>
      <c r="O2222">
        <v>2734.6</v>
      </c>
      <c r="P2222">
        <f t="shared" si="34"/>
        <v>1.0632380952380953</v>
      </c>
    </row>
    <row r="2223" spans="1:16" hidden="1" x14ac:dyDescent="0.25">
      <c r="A2223">
        <v>0</v>
      </c>
      <c r="B2223">
        <v>20000</v>
      </c>
      <c r="C2223">
        <f>1.225 * (1 - 0.00000687559 * B2223) ^ 4.2561</f>
        <v>0.65267221054298263</v>
      </c>
      <c r="D2223">
        <f>E2223*(SQRT($C$2/C2223))</f>
        <v>54.799989443328272</v>
      </c>
      <c r="E2223">
        <v>40</v>
      </c>
      <c r="F2223">
        <v>987</v>
      </c>
      <c r="G2223">
        <v>1000</v>
      </c>
      <c r="H2223">
        <f>CONVERT(G2223,"HP","kW")</f>
        <v>745.69987158227025</v>
      </c>
      <c r="I2223">
        <v>0.47739999999999999</v>
      </c>
      <c r="J2223">
        <v>0.4325</v>
      </c>
      <c r="K2223">
        <v>0.45590000000000003</v>
      </c>
      <c r="L2223">
        <v>0.26269999999999999</v>
      </c>
      <c r="M2223">
        <v>0.28999999999999998</v>
      </c>
      <c r="N2223">
        <f>CONVERT(O2223,"lbf","N")</f>
        <v>12629.390810047613</v>
      </c>
      <c r="O2223">
        <v>2839.2</v>
      </c>
      <c r="P2223">
        <f t="shared" si="34"/>
        <v>1.1039208222306813</v>
      </c>
    </row>
    <row r="2224" spans="1:16" hidden="1" x14ac:dyDescent="0.25">
      <c r="A2224">
        <v>0</v>
      </c>
      <c r="B2224">
        <v>20000</v>
      </c>
      <c r="C2224">
        <f>1.225 * (1 - 0.00000687559 * B2224) ^ 4.2561</f>
        <v>0.65267221054298263</v>
      </c>
      <c r="D2224">
        <f>E2224*(SQRT($C$2/C2224))</f>
        <v>136.99997360832069</v>
      </c>
      <c r="E2224">
        <v>100</v>
      </c>
      <c r="F2224">
        <v>987</v>
      </c>
      <c r="G2224">
        <v>1000</v>
      </c>
      <c r="H2224">
        <f>CONVERT(G2224,"HP","kW")</f>
        <v>745.69987158227025</v>
      </c>
      <c r="I2224">
        <v>0.81759999999999999</v>
      </c>
      <c r="J2224">
        <v>1.0811999999999999</v>
      </c>
      <c r="K2224">
        <v>0.50409999999999999</v>
      </c>
      <c r="L2224">
        <v>0.26269999999999999</v>
      </c>
      <c r="M2224">
        <v>0.19869999999999999</v>
      </c>
      <c r="N2224">
        <f>CONVERT(O2224,"lbf","N")</f>
        <v>8650.4565751970949</v>
      </c>
      <c r="O2224">
        <v>1944.7</v>
      </c>
      <c r="P2224">
        <f t="shared" si="34"/>
        <v>0.75637609440426345</v>
      </c>
    </row>
    <row r="2225" spans="1:16" hidden="1" x14ac:dyDescent="0.25">
      <c r="A2225">
        <v>0</v>
      </c>
      <c r="B2225">
        <v>20000</v>
      </c>
      <c r="C2225">
        <f>1.225 * (1 - 0.00000687559 * B2225) ^ 4.2561</f>
        <v>0.65267221054298263</v>
      </c>
      <c r="D2225">
        <f>E2225*(SQRT($C$2/C2225))</f>
        <v>164.3999683299848</v>
      </c>
      <c r="E2225">
        <v>120</v>
      </c>
      <c r="F2225">
        <v>987</v>
      </c>
      <c r="G2225">
        <v>1000</v>
      </c>
      <c r="H2225">
        <f>CONVERT(G2225,"HP","kW")</f>
        <v>745.69987158227025</v>
      </c>
      <c r="I2225">
        <v>0.85540000000000005</v>
      </c>
      <c r="J2225">
        <v>1.2975000000000001</v>
      </c>
      <c r="K2225">
        <v>0.52580000000000005</v>
      </c>
      <c r="L2225">
        <v>0.26269999999999999</v>
      </c>
      <c r="M2225">
        <v>0.17319999999999999</v>
      </c>
      <c r="N2225">
        <f>CONVERT(O2225,"lbf","N")</f>
        <v>7541.9597486741777</v>
      </c>
      <c r="O2225">
        <v>1695.5</v>
      </c>
      <c r="P2225">
        <f t="shared" si="34"/>
        <v>0.65930719451846209</v>
      </c>
    </row>
    <row r="2226" spans="1:16" hidden="1" x14ac:dyDescent="0.25">
      <c r="A2226">
        <v>0</v>
      </c>
      <c r="B2226">
        <v>20000</v>
      </c>
      <c r="C2226">
        <f>1.225 * (1 - 0.00000687559 * B2226) ^ 4.2561</f>
        <v>0.65267221054298263</v>
      </c>
      <c r="D2226">
        <f>E2226*(SQRT($C$2/C2226))</f>
        <v>191.79996305164894</v>
      </c>
      <c r="E2226">
        <v>140</v>
      </c>
      <c r="F2226">
        <v>987</v>
      </c>
      <c r="G2226">
        <v>1000</v>
      </c>
      <c r="H2226">
        <f>CONVERT(G2226,"HP","kW")</f>
        <v>745.69987158227025</v>
      </c>
      <c r="I2226">
        <v>0.87809999999999999</v>
      </c>
      <c r="J2226">
        <v>1.5137</v>
      </c>
      <c r="K2226">
        <v>0.55010000000000003</v>
      </c>
      <c r="L2226">
        <v>0.26269999999999999</v>
      </c>
      <c r="M2226">
        <v>0.15240000000000001</v>
      </c>
      <c r="N2226">
        <f>CONVERT(O2226,"lbf","N")</f>
        <v>6635.8570056456138</v>
      </c>
      <c r="O2226">
        <v>1491.8</v>
      </c>
      <c r="P2226">
        <f t="shared" si="34"/>
        <v>0.58012942519984778</v>
      </c>
    </row>
    <row r="2227" spans="1:16" hidden="1" x14ac:dyDescent="0.25">
      <c r="A2227">
        <v>0</v>
      </c>
      <c r="B2227">
        <v>20000</v>
      </c>
      <c r="C2227">
        <f>1.225 * (1 - 0.00000687559 * B2227) ^ 4.2561</f>
        <v>0.65267221054298263</v>
      </c>
      <c r="D2227">
        <f>E2227*(SQRT($C$2/C2227))</f>
        <v>219.19995777331309</v>
      </c>
      <c r="E2227">
        <v>160</v>
      </c>
      <c r="F2227">
        <v>987</v>
      </c>
      <c r="G2227">
        <v>1000</v>
      </c>
      <c r="H2227">
        <f>CONVERT(G2227,"HP","kW")</f>
        <v>745.69987158227025</v>
      </c>
      <c r="I2227">
        <v>0.89070000000000005</v>
      </c>
      <c r="J2227">
        <v>1.73</v>
      </c>
      <c r="K2227">
        <v>0.57669999999999999</v>
      </c>
      <c r="L2227">
        <v>0.26269999999999999</v>
      </c>
      <c r="M2227">
        <v>0.1353</v>
      </c>
      <c r="N2227">
        <f>CONVERT(O2227,"lbf","N")</f>
        <v>5890.3350629279539</v>
      </c>
      <c r="O2227">
        <v>1324.2</v>
      </c>
      <c r="P2227">
        <f t="shared" si="34"/>
        <v>0.51503616292348686</v>
      </c>
    </row>
    <row r="2228" spans="1:16" hidden="1" x14ac:dyDescent="0.25">
      <c r="A2228">
        <v>0</v>
      </c>
      <c r="B2228">
        <v>20000</v>
      </c>
      <c r="C2228">
        <f>1.225 * (1 - 0.00000687559 * B2228) ^ 4.2561</f>
        <v>0.65267221054298263</v>
      </c>
      <c r="D2228">
        <f>E2228*(SQRT($C$2/C2228))</f>
        <v>246.59995249497723</v>
      </c>
      <c r="E2228">
        <v>180</v>
      </c>
      <c r="F2228">
        <v>987</v>
      </c>
      <c r="G2228">
        <v>1000</v>
      </c>
      <c r="H2228">
        <f>CONVERT(G2228,"HP","kW")</f>
        <v>745.69987158227025</v>
      </c>
      <c r="I2228">
        <v>0.89610000000000001</v>
      </c>
      <c r="J2228">
        <v>1.9461999999999999</v>
      </c>
      <c r="K2228">
        <v>0.60540000000000005</v>
      </c>
      <c r="L2228">
        <v>0.26269999999999999</v>
      </c>
      <c r="M2228">
        <v>0.121</v>
      </c>
      <c r="N2228">
        <f>CONVERT(O2228,"lbf","N")</f>
        <v>5267.5840367914843</v>
      </c>
      <c r="O2228">
        <v>1184.2</v>
      </c>
      <c r="P2228">
        <f t="shared" si="34"/>
        <v>0.46060144651693946</v>
      </c>
    </row>
    <row r="2229" spans="1:16" hidden="1" x14ac:dyDescent="0.25">
      <c r="A2229">
        <v>0</v>
      </c>
      <c r="B2229">
        <v>20000</v>
      </c>
      <c r="C2229">
        <f>1.225 * (1 - 0.00000687559 * B2229) ^ 4.2561</f>
        <v>0.65267221054298263</v>
      </c>
      <c r="D2229">
        <f>E2229*(SQRT($C$2/C2229))</f>
        <v>301.39994193830552</v>
      </c>
      <c r="E2229">
        <v>220</v>
      </c>
      <c r="F2229">
        <v>987</v>
      </c>
      <c r="G2229">
        <v>1000</v>
      </c>
      <c r="H2229">
        <f>CONVERT(G2229,"HP","kW")</f>
        <v>745.69987158227025</v>
      </c>
      <c r="I2229">
        <v>0.88349999999999995</v>
      </c>
      <c r="J2229">
        <v>2.3786999999999998</v>
      </c>
      <c r="K2229">
        <v>0.66800000000000004</v>
      </c>
      <c r="L2229">
        <v>0.26269999999999999</v>
      </c>
      <c r="M2229">
        <v>9.7600000000000006E-2</v>
      </c>
      <c r="N2229">
        <f>CONVERT(O2229,"lbf","N")</f>
        <v>4249.3861090583559</v>
      </c>
      <c r="O2229">
        <v>955.3</v>
      </c>
      <c r="P2229">
        <f t="shared" si="34"/>
        <v>0.37152645603349832</v>
      </c>
    </row>
    <row r="2230" spans="1:16" hidden="1" x14ac:dyDescent="0.25">
      <c r="A2230">
        <v>0</v>
      </c>
      <c r="B2230">
        <v>20000</v>
      </c>
      <c r="C2230">
        <f>1.225 * (1 - 0.00000687559 * B2230) ^ 4.2561</f>
        <v>0.65267221054298263</v>
      </c>
      <c r="D2230">
        <f>E2230*(SQRT($C$2/C2230))</f>
        <v>328.7999366599696</v>
      </c>
      <c r="E2230">
        <v>240</v>
      </c>
      <c r="F2230">
        <v>987</v>
      </c>
      <c r="G2230">
        <v>1000</v>
      </c>
      <c r="H2230">
        <f>CONVERT(G2230,"HP","kW")</f>
        <v>745.69987158227025</v>
      </c>
      <c r="I2230">
        <v>0.85540000000000005</v>
      </c>
      <c r="J2230">
        <v>2.5950000000000002</v>
      </c>
      <c r="K2230">
        <v>0.70150000000000001</v>
      </c>
      <c r="L2230">
        <v>0.26269999999999999</v>
      </c>
      <c r="M2230">
        <v>8.6599999999999996E-2</v>
      </c>
      <c r="N2230">
        <f>CONVERT(O2230,"lbf","N")</f>
        <v>3771.2022854178517</v>
      </c>
      <c r="O2230">
        <v>847.8</v>
      </c>
      <c r="P2230">
        <f t="shared" si="34"/>
        <v>0.32965359725923105</v>
      </c>
    </row>
    <row r="2231" spans="1:16" hidden="1" x14ac:dyDescent="0.25">
      <c r="A2231">
        <v>0</v>
      </c>
      <c r="B2231">
        <v>20000</v>
      </c>
      <c r="C2231">
        <f>1.225 * (1 - 0.00000687559 * B2231) ^ 4.2561</f>
        <v>0.65267221054298263</v>
      </c>
      <c r="D2231">
        <f>E2231*(SQRT($C$2/C2231))</f>
        <v>0</v>
      </c>
      <c r="E2231">
        <v>0</v>
      </c>
      <c r="F2231">
        <v>987</v>
      </c>
      <c r="G2231">
        <v>1000</v>
      </c>
      <c r="H2231">
        <f>CONVERT(G2231,"HP","kW")</f>
        <v>745.69987158227025</v>
      </c>
      <c r="I2231">
        <v>0</v>
      </c>
      <c r="J2231">
        <v>0</v>
      </c>
      <c r="K2231">
        <v>0.44059999999999999</v>
      </c>
      <c r="L2231">
        <v>0.26279999999999998</v>
      </c>
      <c r="M2231">
        <v>0.26469999999999999</v>
      </c>
      <c r="N2231">
        <f>CONVERT(O2231,"lbf","N")</f>
        <v>11524.452560816906</v>
      </c>
      <c r="O2231">
        <v>2590.8000000000002</v>
      </c>
      <c r="P2231">
        <f t="shared" si="34"/>
        <v>1.0072298325722984</v>
      </c>
    </row>
    <row r="2232" spans="1:16" hidden="1" x14ac:dyDescent="0.25">
      <c r="A2232">
        <v>0</v>
      </c>
      <c r="B2232">
        <v>20000</v>
      </c>
      <c r="C2232">
        <f>1.225 * (1 - 0.00000687559 * B2232) ^ 4.2561</f>
        <v>0.65267221054298263</v>
      </c>
      <c r="D2232">
        <f>E2232*(SQRT($C$2/C2232))</f>
        <v>109.59997888665654</v>
      </c>
      <c r="E2232">
        <v>80</v>
      </c>
      <c r="F2232">
        <v>987</v>
      </c>
      <c r="G2232">
        <v>1000</v>
      </c>
      <c r="H2232">
        <f>CONVERT(G2232,"HP","kW")</f>
        <v>745.69987158227025</v>
      </c>
      <c r="I2232">
        <v>0.75580000000000003</v>
      </c>
      <c r="J2232">
        <v>0.86499999999999999</v>
      </c>
      <c r="K2232">
        <v>0.48509999999999998</v>
      </c>
      <c r="L2232">
        <v>0.26279999999999998</v>
      </c>
      <c r="M2232">
        <v>0.2296</v>
      </c>
      <c r="N2232">
        <f>CONVERT(O2232,"lbf","N")</f>
        <v>9996.488435974923</v>
      </c>
      <c r="O2232">
        <v>2247.3000000000002</v>
      </c>
      <c r="P2232">
        <f t="shared" si="34"/>
        <v>0.87366818873668195</v>
      </c>
    </row>
    <row r="2233" spans="1:16" hidden="1" x14ac:dyDescent="0.25">
      <c r="A2233">
        <v>0</v>
      </c>
      <c r="B2233">
        <v>20000</v>
      </c>
      <c r="C2233">
        <f>1.225 * (1 - 0.00000687559 * B2233) ^ 4.2561</f>
        <v>0.65267221054298263</v>
      </c>
      <c r="D2233">
        <f>E2233*(SQRT($C$2/C2233))</f>
        <v>273.99994721664137</v>
      </c>
      <c r="E2233">
        <v>200</v>
      </c>
      <c r="F2233">
        <v>987</v>
      </c>
      <c r="G2233">
        <v>1000</v>
      </c>
      <c r="H2233">
        <f>CONVERT(G2233,"HP","kW")</f>
        <v>745.69987158227025</v>
      </c>
      <c r="I2233">
        <v>0.89470000000000005</v>
      </c>
      <c r="J2233">
        <v>2.1625000000000001</v>
      </c>
      <c r="K2233">
        <v>0.63590000000000002</v>
      </c>
      <c r="L2233">
        <v>0.26279999999999998</v>
      </c>
      <c r="M2233">
        <v>0.1087</v>
      </c>
      <c r="N2233">
        <f>CONVERT(O2233,"lbf","N")</f>
        <v>4733.3526207986979</v>
      </c>
      <c r="O2233">
        <v>1064.0999999999999</v>
      </c>
      <c r="P2233">
        <f t="shared" si="34"/>
        <v>0.41362252663622534</v>
      </c>
    </row>
    <row r="2234" spans="1:16" hidden="1" x14ac:dyDescent="0.25">
      <c r="A2234">
        <v>0</v>
      </c>
      <c r="B2234">
        <v>20000</v>
      </c>
      <c r="C2234">
        <f>1.225 * (1 - 0.00000687559 * B2234) ^ 4.2561</f>
        <v>0.65267221054298263</v>
      </c>
      <c r="D2234">
        <f>E2234*(SQRT($C$2/C2234))</f>
        <v>356.19993138163375</v>
      </c>
      <c r="E2234">
        <v>260</v>
      </c>
      <c r="F2234">
        <v>987</v>
      </c>
      <c r="G2234">
        <v>1000</v>
      </c>
      <c r="H2234">
        <f>CONVERT(G2234,"HP","kW")</f>
        <v>745.69987158227025</v>
      </c>
      <c r="I2234">
        <v>0.78259999999999996</v>
      </c>
      <c r="J2234">
        <v>2.8111999999999999</v>
      </c>
      <c r="K2234">
        <v>0.73609999999999998</v>
      </c>
      <c r="L2234">
        <v>0.26279999999999998</v>
      </c>
      <c r="M2234">
        <v>7.3099999999999998E-2</v>
      </c>
      <c r="N2234">
        <f>CONVERT(O2234,"lbf","N")</f>
        <v>3184.4818543649917</v>
      </c>
      <c r="O2234">
        <v>715.9</v>
      </c>
      <c r="P2234">
        <f t="shared" si="34"/>
        <v>0.27815829528158298</v>
      </c>
    </row>
    <row r="2235" spans="1:16" hidden="1" x14ac:dyDescent="0.25">
      <c r="A2235">
        <v>0</v>
      </c>
      <c r="B2235">
        <v>20000</v>
      </c>
      <c r="C2235">
        <f>1.225 * (1 - 0.00000687559 * B2235) ^ 4.2561</f>
        <v>0.65267221054298263</v>
      </c>
      <c r="D2235">
        <f>E2235*(SQRT($C$2/C2235))</f>
        <v>82.199984164992401</v>
      </c>
      <c r="E2235">
        <v>60</v>
      </c>
      <c r="F2235">
        <v>987</v>
      </c>
      <c r="G2235">
        <v>1000</v>
      </c>
      <c r="H2235">
        <f>CONVERT(G2235,"HP","kW")</f>
        <v>745.69987158227025</v>
      </c>
      <c r="I2235">
        <v>0.65659999999999996</v>
      </c>
      <c r="J2235">
        <v>0.64870000000000005</v>
      </c>
      <c r="K2235">
        <v>0.46899999999999997</v>
      </c>
      <c r="L2235">
        <v>0.26300000000000001</v>
      </c>
      <c r="M2235">
        <v>0.2661</v>
      </c>
      <c r="N2235">
        <f>CONVERT(O2235,"lbf","N")</f>
        <v>11578.276042361555</v>
      </c>
      <c r="O2235">
        <v>2602.9</v>
      </c>
      <c r="P2235">
        <f t="shared" si="34"/>
        <v>1.011787072243346</v>
      </c>
    </row>
    <row r="2236" spans="1:16" hidden="1" x14ac:dyDescent="0.25">
      <c r="A2236">
        <v>0</v>
      </c>
      <c r="B2236">
        <v>15000</v>
      </c>
      <c r="C2236">
        <f>1.225 * (1 - 0.00000687559 * B2236) ^ 4.2561</f>
        <v>0.77079726910167001</v>
      </c>
      <c r="D2236">
        <f>E2236*(SQRT($C$2/C2236))</f>
        <v>226.91879349779754</v>
      </c>
      <c r="E2236">
        <v>180</v>
      </c>
      <c r="F2236">
        <v>1215</v>
      </c>
      <c r="G2236">
        <v>2250</v>
      </c>
      <c r="H2236">
        <f>CONVERT(G2236,"HP","kW")</f>
        <v>1677.8247110601083</v>
      </c>
      <c r="I2236">
        <v>0.87039999999999995</v>
      </c>
      <c r="J2236">
        <v>1.4548000000000001</v>
      </c>
      <c r="K2236">
        <v>0.65569999999999995</v>
      </c>
      <c r="L2236">
        <v>0.2681</v>
      </c>
      <c r="M2236">
        <v>0.16039999999999999</v>
      </c>
      <c r="N2236">
        <f>CONVERT(O2236,"lbf","N")</f>
        <v>12510.623292920156</v>
      </c>
      <c r="O2236">
        <v>2812.5</v>
      </c>
      <c r="P2236">
        <f t="shared" si="34"/>
        <v>0.59828422230511002</v>
      </c>
    </row>
    <row r="2237" spans="1:16" hidden="1" x14ac:dyDescent="0.25">
      <c r="A2237">
        <v>0</v>
      </c>
      <c r="B2237">
        <v>15000</v>
      </c>
      <c r="C2237">
        <f>1.225 * (1 - 0.00000687559 * B2237) ^ 4.2561</f>
        <v>0.77079726910167001</v>
      </c>
      <c r="D2237">
        <f>E2237*(SQRT($C$2/C2237))</f>
        <v>176.49239494273141</v>
      </c>
      <c r="E2237">
        <v>140</v>
      </c>
      <c r="F2237">
        <v>1215</v>
      </c>
      <c r="G2237">
        <v>2250</v>
      </c>
      <c r="H2237">
        <f>CONVERT(G2237,"HP","kW")</f>
        <v>1677.8247110601083</v>
      </c>
      <c r="I2237">
        <v>0.82379999999999998</v>
      </c>
      <c r="J2237">
        <v>1.1315</v>
      </c>
      <c r="K2237">
        <v>0.61419999999999997</v>
      </c>
      <c r="L2237">
        <v>0.26819999999999999</v>
      </c>
      <c r="M2237">
        <v>0.1953</v>
      </c>
      <c r="N2237">
        <f>CONVERT(O2237,"lbf","N")</f>
        <v>15222.704011744483</v>
      </c>
      <c r="O2237">
        <v>3422.2</v>
      </c>
      <c r="P2237">
        <f t="shared" si="34"/>
        <v>0.72818791946308725</v>
      </c>
    </row>
    <row r="2238" spans="1:16" hidden="1" x14ac:dyDescent="0.25">
      <c r="A2238">
        <v>0</v>
      </c>
      <c r="B2238">
        <v>15000</v>
      </c>
      <c r="C2238">
        <f>1.225 * (1 - 0.00000687559 * B2238) ^ 4.2561</f>
        <v>0.77079726910167001</v>
      </c>
      <c r="D2238">
        <f>E2238*(SQRT($C$2/C2238))</f>
        <v>201.70559422026446</v>
      </c>
      <c r="E2238">
        <v>160</v>
      </c>
      <c r="F2238">
        <v>1215</v>
      </c>
      <c r="G2238">
        <v>2250</v>
      </c>
      <c r="H2238">
        <f>CONVERT(G2238,"HP","kW")</f>
        <v>1677.8247110601083</v>
      </c>
      <c r="I2238">
        <v>0.85140000000000005</v>
      </c>
      <c r="J2238">
        <v>1.2931999999999999</v>
      </c>
      <c r="K2238">
        <v>0.63400000000000001</v>
      </c>
      <c r="L2238">
        <v>0.26819999999999999</v>
      </c>
      <c r="M2238">
        <v>0.17660000000000001</v>
      </c>
      <c r="N2238">
        <f>CONVERT(O2238,"lbf","N")</f>
        <v>13765.911432746669</v>
      </c>
      <c r="O2238">
        <v>3094.7</v>
      </c>
      <c r="P2238">
        <f t="shared" si="34"/>
        <v>0.65846383296047728</v>
      </c>
    </row>
    <row r="2239" spans="1:16" hidden="1" x14ac:dyDescent="0.25">
      <c r="A2239">
        <v>0</v>
      </c>
      <c r="B2239">
        <v>15000</v>
      </c>
      <c r="C2239">
        <f>1.225 * (1 - 0.00000687559 * B2239) ^ 4.2561</f>
        <v>0.77079726910167001</v>
      </c>
      <c r="D2239">
        <f>E2239*(SQRT($C$2/C2239))</f>
        <v>252.13199277533059</v>
      </c>
      <c r="E2239">
        <v>200</v>
      </c>
      <c r="F2239">
        <v>1215</v>
      </c>
      <c r="G2239">
        <v>2250</v>
      </c>
      <c r="H2239">
        <f>CONVERT(G2239,"HP","kW")</f>
        <v>1677.8247110601083</v>
      </c>
      <c r="I2239">
        <v>0.88349999999999995</v>
      </c>
      <c r="J2239">
        <v>1.6165</v>
      </c>
      <c r="K2239">
        <v>0.67889999999999995</v>
      </c>
      <c r="L2239">
        <v>0.26819999999999999</v>
      </c>
      <c r="M2239">
        <v>0.14660000000000001</v>
      </c>
      <c r="N2239">
        <f>CONVERT(O2239,"lbf","N")</f>
        <v>11429.26061825033</v>
      </c>
      <c r="O2239">
        <v>2569.4</v>
      </c>
      <c r="P2239">
        <f t="shared" si="34"/>
        <v>0.54660700969425802</v>
      </c>
    </row>
    <row r="2240" spans="1:16" hidden="1" x14ac:dyDescent="0.25">
      <c r="A2240">
        <v>0</v>
      </c>
      <c r="B2240">
        <v>15000</v>
      </c>
      <c r="C2240">
        <f>1.225 * (1 - 0.00000687559 * B2240) ^ 4.2561</f>
        <v>0.77079726910167001</v>
      </c>
      <c r="D2240">
        <f>E2240*(SQRT($C$2/C2240))</f>
        <v>277.34519205286364</v>
      </c>
      <c r="E2240">
        <v>220</v>
      </c>
      <c r="F2240">
        <v>1215</v>
      </c>
      <c r="G2240">
        <v>2250</v>
      </c>
      <c r="H2240">
        <f>CONVERT(G2240,"HP","kW")</f>
        <v>1677.8247110601083</v>
      </c>
      <c r="I2240">
        <v>0.88919999999999999</v>
      </c>
      <c r="J2240">
        <v>1.7781</v>
      </c>
      <c r="K2240">
        <v>0.70369999999999999</v>
      </c>
      <c r="L2240">
        <v>0.26819999999999999</v>
      </c>
      <c r="M2240">
        <v>0.1341</v>
      </c>
      <c r="N2240">
        <f>CONVERT(O2240,"lbf","N")</f>
        <v>10455.989728831331</v>
      </c>
      <c r="O2240">
        <v>2350.6</v>
      </c>
      <c r="P2240">
        <f t="shared" si="34"/>
        <v>0.5</v>
      </c>
    </row>
    <row r="2241" spans="1:16" hidden="1" x14ac:dyDescent="0.25">
      <c r="A2241">
        <v>0</v>
      </c>
      <c r="B2241">
        <v>15000</v>
      </c>
      <c r="C2241">
        <f>1.225 * (1 - 0.00000687559 * B2241) ^ 4.2561</f>
        <v>0.77079726910167001</v>
      </c>
      <c r="D2241">
        <f>E2241*(SQRT($C$2/C2241))</f>
        <v>50.426398555066115</v>
      </c>
      <c r="E2241">
        <v>40</v>
      </c>
      <c r="F2241">
        <v>1215</v>
      </c>
      <c r="G2241">
        <v>2250</v>
      </c>
      <c r="H2241">
        <f>CONVERT(G2241,"HP","kW")</f>
        <v>1677.8247110601083</v>
      </c>
      <c r="I2241">
        <v>0.34210000000000002</v>
      </c>
      <c r="J2241">
        <v>0.32329999999999998</v>
      </c>
      <c r="K2241">
        <v>0.54420000000000002</v>
      </c>
      <c r="L2241">
        <v>0.26829999999999998</v>
      </c>
      <c r="M2241">
        <v>0.28399999999999997</v>
      </c>
      <c r="N2241">
        <f>CONVERT(O2241,"lbf","N")</f>
        <v>22127.678425113358</v>
      </c>
      <c r="O2241">
        <v>4974.5</v>
      </c>
      <c r="P2241">
        <f t="shared" si="34"/>
        <v>1.0585165859112933</v>
      </c>
    </row>
    <row r="2242" spans="1:16" hidden="1" x14ac:dyDescent="0.25">
      <c r="A2242">
        <v>0</v>
      </c>
      <c r="B2242">
        <v>15000</v>
      </c>
      <c r="C2242">
        <f>1.225 * (1 - 0.00000687559 * B2242) ^ 4.2561</f>
        <v>0.77079726910167001</v>
      </c>
      <c r="D2242">
        <f>E2242*(SQRT($C$2/C2242))</f>
        <v>75.639597832599179</v>
      </c>
      <c r="E2242">
        <v>60</v>
      </c>
      <c r="F2242">
        <v>1215</v>
      </c>
      <c r="G2242">
        <v>2250</v>
      </c>
      <c r="H2242">
        <f>CONVERT(G2242,"HP","kW")</f>
        <v>1677.8247110601083</v>
      </c>
      <c r="I2242">
        <v>0.5171</v>
      </c>
      <c r="J2242">
        <v>0.4849</v>
      </c>
      <c r="K2242">
        <v>0.55359999999999998</v>
      </c>
      <c r="L2242">
        <v>0.26829999999999998</v>
      </c>
      <c r="M2242">
        <v>0.28610000000000002</v>
      </c>
      <c r="N2242">
        <f>CONVERT(O2242,"lbf","N")</f>
        <v>22295.376380008678</v>
      </c>
      <c r="O2242">
        <v>5012.2</v>
      </c>
      <c r="P2242">
        <f t="shared" si="34"/>
        <v>1.0663436451733137</v>
      </c>
    </row>
    <row r="2243" spans="1:16" hidden="1" x14ac:dyDescent="0.25">
      <c r="A2243">
        <v>0</v>
      </c>
      <c r="B2243">
        <v>15000</v>
      </c>
      <c r="C2243">
        <f>1.225 * (1 - 0.00000687559 * B2243) ^ 4.2561</f>
        <v>0.77079726910167001</v>
      </c>
      <c r="D2243">
        <f>E2243*(SQRT($C$2/C2243))</f>
        <v>100.85279711013223</v>
      </c>
      <c r="E2243">
        <v>80</v>
      </c>
      <c r="F2243">
        <v>1215</v>
      </c>
      <c r="G2243">
        <v>2250</v>
      </c>
      <c r="H2243">
        <f>CONVERT(G2243,"HP","kW")</f>
        <v>1677.8247110601083</v>
      </c>
      <c r="I2243">
        <v>0.64680000000000004</v>
      </c>
      <c r="J2243">
        <v>0.64659999999999995</v>
      </c>
      <c r="K2243">
        <v>0.56579999999999997</v>
      </c>
      <c r="L2243">
        <v>0.26829999999999998</v>
      </c>
      <c r="M2243">
        <v>0.26840000000000003</v>
      </c>
      <c r="N2243">
        <f>CONVERT(O2243,"lbf","N")</f>
        <v>20916.427679277924</v>
      </c>
      <c r="O2243">
        <v>4702.2</v>
      </c>
      <c r="P2243">
        <f t="shared" ref="P2243:P2306" si="35">M2243/L2243</f>
        <v>1.0003727171077155</v>
      </c>
    </row>
    <row r="2244" spans="1:16" hidden="1" x14ac:dyDescent="0.25">
      <c r="A2244">
        <v>0</v>
      </c>
      <c r="B2244">
        <v>15000</v>
      </c>
      <c r="C2244">
        <f>1.225 * (1 - 0.00000687559 * B2244) ^ 4.2561</f>
        <v>0.77079726910167001</v>
      </c>
      <c r="D2244">
        <f>E2244*(SQRT($C$2/C2244))</f>
        <v>151.27919566519836</v>
      </c>
      <c r="E2244">
        <v>120</v>
      </c>
      <c r="F2244">
        <v>1215</v>
      </c>
      <c r="G2244">
        <v>2250</v>
      </c>
      <c r="H2244">
        <f>CONVERT(G2244,"HP","kW")</f>
        <v>1677.8247110601083</v>
      </c>
      <c r="I2244">
        <v>0.7843</v>
      </c>
      <c r="J2244">
        <v>0.96989999999999998</v>
      </c>
      <c r="K2244">
        <v>0.59609999999999996</v>
      </c>
      <c r="L2244">
        <v>0.26829999999999998</v>
      </c>
      <c r="M2244">
        <v>0.217</v>
      </c>
      <c r="N2244">
        <f>CONVERT(O2244,"lbf","N")</f>
        <v>16909.91447041279</v>
      </c>
      <c r="O2244">
        <v>3801.5</v>
      </c>
      <c r="P2244">
        <f t="shared" si="35"/>
        <v>0.80879612374207976</v>
      </c>
    </row>
    <row r="2245" spans="1:16" hidden="1" x14ac:dyDescent="0.25">
      <c r="A2245">
        <v>0</v>
      </c>
      <c r="B2245">
        <v>15000</v>
      </c>
      <c r="C2245">
        <f>1.225 * (1 - 0.00000687559 * B2245) ^ 4.2561</f>
        <v>0.77079726910167001</v>
      </c>
      <c r="D2245">
        <f>E2245*(SQRT($C$2/C2245))</f>
        <v>302.55839133039672</v>
      </c>
      <c r="E2245">
        <v>240</v>
      </c>
      <c r="F2245">
        <v>1215</v>
      </c>
      <c r="G2245">
        <v>2250</v>
      </c>
      <c r="H2245">
        <f>CONVERT(G2245,"HP","kW")</f>
        <v>1677.8247110601083</v>
      </c>
      <c r="I2245">
        <v>0.88129999999999997</v>
      </c>
      <c r="J2245">
        <v>1.9398</v>
      </c>
      <c r="K2245">
        <v>0.7298</v>
      </c>
      <c r="L2245">
        <v>0.26829999999999998</v>
      </c>
      <c r="M2245">
        <v>0.12189999999999999</v>
      </c>
      <c r="N2245">
        <f>CONVERT(O2245,"lbf","N")</f>
        <v>9500.0669037118496</v>
      </c>
      <c r="O2245">
        <v>2135.6999999999998</v>
      </c>
      <c r="P2245">
        <f t="shared" si="35"/>
        <v>0.45434215430488262</v>
      </c>
    </row>
    <row r="2246" spans="1:16" hidden="1" x14ac:dyDescent="0.25">
      <c r="A2246">
        <v>0</v>
      </c>
      <c r="B2246">
        <v>15000</v>
      </c>
      <c r="C2246">
        <f>1.225 * (1 - 0.00000687559 * B2246) ^ 4.2561</f>
        <v>0.77079726910167001</v>
      </c>
      <c r="D2246">
        <f>E2246*(SQRT($C$2/C2246))</f>
        <v>327.77159060792974</v>
      </c>
      <c r="E2246">
        <v>260</v>
      </c>
      <c r="F2246">
        <v>1215</v>
      </c>
      <c r="G2246">
        <v>2250</v>
      </c>
      <c r="H2246">
        <f>CONVERT(G2246,"HP","kW")</f>
        <v>1677.8247110601083</v>
      </c>
      <c r="I2246">
        <v>0.86219999999999997</v>
      </c>
      <c r="J2246">
        <v>2.1013999999999999</v>
      </c>
      <c r="K2246">
        <v>0.7571</v>
      </c>
      <c r="L2246">
        <v>0.26829999999999998</v>
      </c>
      <c r="M2246">
        <v>0.1101</v>
      </c>
      <c r="N2246">
        <f>CONVERT(O2246,"lbf","N")</f>
        <v>8579.2850293529264</v>
      </c>
      <c r="O2246">
        <v>1928.7</v>
      </c>
      <c r="P2246">
        <f t="shared" si="35"/>
        <v>0.41036153559448385</v>
      </c>
    </row>
    <row r="2247" spans="1:16" hidden="1" x14ac:dyDescent="0.25">
      <c r="A2247">
        <v>0</v>
      </c>
      <c r="B2247">
        <v>15000</v>
      </c>
      <c r="C2247">
        <f>1.225 * (1 - 0.00000687559 * B2247) ^ 4.2561</f>
        <v>0.77079726910167001</v>
      </c>
      <c r="D2247">
        <f>E2247*(SQRT($C$2/C2247))</f>
        <v>0</v>
      </c>
      <c r="E2247">
        <v>0</v>
      </c>
      <c r="F2247">
        <v>1215</v>
      </c>
      <c r="G2247">
        <v>2250</v>
      </c>
      <c r="H2247">
        <f>CONVERT(G2247,"HP","kW")</f>
        <v>1677.8247110601083</v>
      </c>
      <c r="I2247">
        <v>0</v>
      </c>
      <c r="J2247">
        <v>0</v>
      </c>
      <c r="K2247">
        <v>0.53169999999999995</v>
      </c>
      <c r="L2247">
        <v>0.26840000000000003</v>
      </c>
      <c r="M2247">
        <v>0.26190000000000002</v>
      </c>
      <c r="N2247">
        <f>CONVERT(O2247,"lbf","N")</f>
        <v>20404.882193522964</v>
      </c>
      <c r="O2247">
        <v>4587.2</v>
      </c>
      <c r="P2247">
        <f t="shared" si="35"/>
        <v>0.97578241430700441</v>
      </c>
    </row>
    <row r="2248" spans="1:16" hidden="1" x14ac:dyDescent="0.25">
      <c r="A2248">
        <v>0</v>
      </c>
      <c r="B2248">
        <v>15000</v>
      </c>
      <c r="C2248">
        <f>1.225 * (1 - 0.00000687559 * B2248) ^ 4.2561</f>
        <v>0.77079726910167001</v>
      </c>
      <c r="D2248">
        <f>E2248*(SQRT($C$2/C2248))</f>
        <v>25.213199277533057</v>
      </c>
      <c r="E2248">
        <v>20</v>
      </c>
      <c r="F2248">
        <v>1215</v>
      </c>
      <c r="G2248">
        <v>2250</v>
      </c>
      <c r="H2248">
        <f>CONVERT(G2248,"HP","kW")</f>
        <v>1677.8247110601083</v>
      </c>
      <c r="I2248">
        <v>0.16339999999999999</v>
      </c>
      <c r="J2248">
        <v>0.16159999999999999</v>
      </c>
      <c r="K2248">
        <v>0.53710000000000002</v>
      </c>
      <c r="L2248">
        <v>0.26840000000000003</v>
      </c>
      <c r="M2248">
        <v>0.2712</v>
      </c>
      <c r="N2248">
        <f>CONVERT(O2248,"lbf","N")</f>
        <v>21135.280182748738</v>
      </c>
      <c r="O2248">
        <v>4751.3999999999996</v>
      </c>
      <c r="P2248">
        <f t="shared" si="35"/>
        <v>1.0104321907600595</v>
      </c>
    </row>
    <row r="2249" spans="1:16" hidden="1" x14ac:dyDescent="0.25">
      <c r="A2249">
        <v>0</v>
      </c>
      <c r="B2249">
        <v>15000</v>
      </c>
      <c r="C2249">
        <f>1.225 * (1 - 0.00000687559 * B2249) ^ 4.2561</f>
        <v>0.77079726910167001</v>
      </c>
      <c r="D2249">
        <f>E2249*(SQRT($C$2/C2249))</f>
        <v>126.06599638766529</v>
      </c>
      <c r="E2249">
        <v>100</v>
      </c>
      <c r="F2249">
        <v>1215</v>
      </c>
      <c r="G2249">
        <v>2250</v>
      </c>
      <c r="H2249">
        <f>CONVERT(G2249,"HP","kW")</f>
        <v>1677.8247110601083</v>
      </c>
      <c r="I2249">
        <v>0.72840000000000005</v>
      </c>
      <c r="J2249">
        <v>0.80820000000000003</v>
      </c>
      <c r="K2249">
        <v>0.57999999999999996</v>
      </c>
      <c r="L2249">
        <v>0.26860000000000001</v>
      </c>
      <c r="M2249">
        <v>0.24199999999999999</v>
      </c>
      <c r="N2249">
        <f>CONVERT(O2249,"lbf","N")</f>
        <v>18844.89087305111</v>
      </c>
      <c r="O2249">
        <v>4236.5</v>
      </c>
      <c r="P2249">
        <f t="shared" si="35"/>
        <v>0.90096798212956064</v>
      </c>
    </row>
    <row r="2250" spans="1:16" hidden="1" x14ac:dyDescent="0.25">
      <c r="A2250">
        <v>0</v>
      </c>
      <c r="B2250">
        <v>10000</v>
      </c>
      <c r="C2250">
        <f>1.225 * (1 - 0.00000687559 * B2250) ^ 4.2561</f>
        <v>0.90462252368600637</v>
      </c>
      <c r="D2250">
        <f>E2250*(SQRT($C$2/C2250))</f>
        <v>69.820924711962206</v>
      </c>
      <c r="E2250">
        <v>60</v>
      </c>
      <c r="F2250">
        <v>1150</v>
      </c>
      <c r="G2250">
        <v>2250</v>
      </c>
      <c r="H2250">
        <f>CONVERT(G2250,"HP","kW")</f>
        <v>1677.8247110601083</v>
      </c>
      <c r="I2250">
        <v>0.5071</v>
      </c>
      <c r="J2250">
        <v>0.47289999999999999</v>
      </c>
      <c r="K2250">
        <v>0.51349999999999996</v>
      </c>
      <c r="L2250">
        <v>0.26960000000000001</v>
      </c>
      <c r="M2250">
        <v>0.28910000000000002</v>
      </c>
      <c r="N2250">
        <f>CONVERT(O2250,"lbf","N")</f>
        <v>23689.449034231318</v>
      </c>
      <c r="O2250">
        <v>5325.6</v>
      </c>
      <c r="P2250">
        <f t="shared" si="35"/>
        <v>1.0723293768545994</v>
      </c>
    </row>
    <row r="2251" spans="1:16" hidden="1" x14ac:dyDescent="0.25">
      <c r="A2251">
        <v>0</v>
      </c>
      <c r="B2251">
        <v>10000</v>
      </c>
      <c r="C2251">
        <f>1.225 * (1 - 0.00000687559 * B2251) ^ 4.2561</f>
        <v>0.90462252368600637</v>
      </c>
      <c r="D2251">
        <f>E2251*(SQRT($C$2/C2251))</f>
        <v>93.09456628261627</v>
      </c>
      <c r="E2251">
        <v>80</v>
      </c>
      <c r="F2251">
        <v>1150</v>
      </c>
      <c r="G2251">
        <v>2250</v>
      </c>
      <c r="H2251">
        <f>CONVERT(G2251,"HP","kW")</f>
        <v>1677.8247110601083</v>
      </c>
      <c r="I2251">
        <v>0.63880000000000003</v>
      </c>
      <c r="J2251">
        <v>0.63060000000000005</v>
      </c>
      <c r="K2251">
        <v>0.52429999999999999</v>
      </c>
      <c r="L2251">
        <v>0.26960000000000001</v>
      </c>
      <c r="M2251">
        <v>0.27310000000000001</v>
      </c>
      <c r="N2251">
        <f>CONVERT(O2251,"lbf","N")</f>
        <v>22379.002946375575</v>
      </c>
      <c r="O2251">
        <v>5031</v>
      </c>
      <c r="P2251">
        <f t="shared" si="35"/>
        <v>1.0129821958456973</v>
      </c>
    </row>
    <row r="2252" spans="1:16" hidden="1" x14ac:dyDescent="0.25">
      <c r="A2252">
        <v>0</v>
      </c>
      <c r="B2252">
        <v>10000</v>
      </c>
      <c r="C2252">
        <f>1.225 * (1 - 0.00000687559 * B2252) ^ 4.2561</f>
        <v>0.90462252368600637</v>
      </c>
      <c r="D2252">
        <f>E2252*(SQRT($C$2/C2252))</f>
        <v>139.64184942392441</v>
      </c>
      <c r="E2252">
        <v>120</v>
      </c>
      <c r="F2252">
        <v>1150</v>
      </c>
      <c r="G2252">
        <v>2250</v>
      </c>
      <c r="H2252">
        <f>CONVERT(G2252,"HP","kW")</f>
        <v>1677.8247110601083</v>
      </c>
      <c r="I2252">
        <v>0.77790000000000004</v>
      </c>
      <c r="J2252">
        <v>0.94589999999999996</v>
      </c>
      <c r="K2252">
        <v>0.5514</v>
      </c>
      <c r="L2252">
        <v>0.26960000000000001</v>
      </c>
      <c r="M2252">
        <v>0.22170000000000001</v>
      </c>
      <c r="N2252">
        <f>CONVERT(O2252,"lbf","N")</f>
        <v>18169.20600969304</v>
      </c>
      <c r="O2252">
        <v>4084.6</v>
      </c>
      <c r="P2252">
        <f t="shared" si="35"/>
        <v>0.82232937685459939</v>
      </c>
    </row>
    <row r="2253" spans="1:16" hidden="1" x14ac:dyDescent="0.25">
      <c r="A2253">
        <v>0</v>
      </c>
      <c r="B2253">
        <v>10000</v>
      </c>
      <c r="C2253">
        <f>1.225 * (1 - 0.00000687559 * B2253) ^ 4.2561</f>
        <v>0.90462252368600637</v>
      </c>
      <c r="D2253">
        <f>E2253*(SQRT($C$2/C2253))</f>
        <v>162.91549099457848</v>
      </c>
      <c r="E2253">
        <v>140</v>
      </c>
      <c r="F2253">
        <v>1150</v>
      </c>
      <c r="G2253">
        <v>2250</v>
      </c>
      <c r="H2253">
        <f>CONVERT(G2253,"HP","kW")</f>
        <v>1677.8247110601083</v>
      </c>
      <c r="I2253">
        <v>0.81859999999999999</v>
      </c>
      <c r="J2253">
        <v>1.1034999999999999</v>
      </c>
      <c r="K2253">
        <v>0.5675</v>
      </c>
      <c r="L2253">
        <v>0.26960000000000001</v>
      </c>
      <c r="M2253">
        <v>0.2</v>
      </c>
      <c r="N2253">
        <f>CONVERT(O2253,"lbf","N")</f>
        <v>16387.248430619682</v>
      </c>
      <c r="O2253">
        <v>3684</v>
      </c>
      <c r="P2253">
        <f t="shared" si="35"/>
        <v>0.74183976261127604</v>
      </c>
    </row>
    <row r="2254" spans="1:16" hidden="1" x14ac:dyDescent="0.25">
      <c r="A2254">
        <v>0</v>
      </c>
      <c r="B2254">
        <v>10000</v>
      </c>
      <c r="C2254">
        <f>1.225 * (1 - 0.00000687559 * B2254) ^ 4.2561</f>
        <v>0.90462252368600637</v>
      </c>
      <c r="D2254">
        <f>E2254*(SQRT($C$2/C2254))</f>
        <v>186.18913256523254</v>
      </c>
      <c r="E2254">
        <v>160</v>
      </c>
      <c r="F2254">
        <v>1150</v>
      </c>
      <c r="G2254">
        <v>2250</v>
      </c>
      <c r="H2254">
        <f>CONVERT(G2254,"HP","kW")</f>
        <v>1677.8247110601083</v>
      </c>
      <c r="I2254">
        <v>0.84719999999999995</v>
      </c>
      <c r="J2254">
        <v>1.2612000000000001</v>
      </c>
      <c r="K2254">
        <v>0.58520000000000005</v>
      </c>
      <c r="L2254">
        <v>0.26960000000000001</v>
      </c>
      <c r="M2254">
        <v>0.18110000000000001</v>
      </c>
      <c r="N2254">
        <f>CONVERT(O2254,"lbf","N")</f>
        <v>14840.15695283208</v>
      </c>
      <c r="O2254">
        <v>3336.2</v>
      </c>
      <c r="P2254">
        <f t="shared" si="35"/>
        <v>0.67173590504451042</v>
      </c>
    </row>
    <row r="2255" spans="1:16" hidden="1" x14ac:dyDescent="0.25">
      <c r="A2255">
        <v>0</v>
      </c>
      <c r="B2255">
        <v>10000</v>
      </c>
      <c r="C2255">
        <f>1.225 * (1 - 0.00000687559 * B2255) ^ 4.2561</f>
        <v>0.90462252368600637</v>
      </c>
      <c r="D2255">
        <f>E2255*(SQRT($C$2/C2255))</f>
        <v>209.4627741358866</v>
      </c>
      <c r="E2255">
        <v>180</v>
      </c>
      <c r="F2255">
        <v>1150</v>
      </c>
      <c r="G2255">
        <v>2250</v>
      </c>
      <c r="H2255">
        <f>CONVERT(G2255,"HP","kW")</f>
        <v>1677.8247110601083</v>
      </c>
      <c r="I2255">
        <v>0.86719999999999997</v>
      </c>
      <c r="J2255">
        <v>1.4188000000000001</v>
      </c>
      <c r="K2255">
        <v>0.60440000000000005</v>
      </c>
      <c r="L2255">
        <v>0.26960000000000001</v>
      </c>
      <c r="M2255">
        <v>0.1648</v>
      </c>
      <c r="N2255">
        <f>CONVERT(O2255,"lbf","N")</f>
        <v>13502.131890961724</v>
      </c>
      <c r="O2255">
        <v>3035.4</v>
      </c>
      <c r="P2255">
        <f t="shared" si="35"/>
        <v>0.61127596439169141</v>
      </c>
    </row>
    <row r="2256" spans="1:16" hidden="1" x14ac:dyDescent="0.25">
      <c r="A2256">
        <v>0</v>
      </c>
      <c r="B2256">
        <v>10000</v>
      </c>
      <c r="C2256">
        <f>1.225 * (1 - 0.00000687559 * B2256) ^ 4.2561</f>
        <v>0.90462252368600637</v>
      </c>
      <c r="D2256">
        <f>E2256*(SQRT($C$2/C2256))</f>
        <v>232.73641570654067</v>
      </c>
      <c r="E2256">
        <v>200</v>
      </c>
      <c r="F2256">
        <v>1150</v>
      </c>
      <c r="G2256">
        <v>2250</v>
      </c>
      <c r="H2256">
        <f>CONVERT(G2256,"HP","kW")</f>
        <v>1677.8247110601083</v>
      </c>
      <c r="I2256">
        <v>0.88090000000000002</v>
      </c>
      <c r="J2256">
        <v>1.5765</v>
      </c>
      <c r="K2256">
        <v>0.62509999999999999</v>
      </c>
      <c r="L2256">
        <v>0.26960000000000001</v>
      </c>
      <c r="M2256">
        <v>0.1507</v>
      </c>
      <c r="N2256">
        <f>CONVERT(O2256,"lbf","N")</f>
        <v>12345.149448832466</v>
      </c>
      <c r="O2256">
        <v>2775.3</v>
      </c>
      <c r="P2256">
        <f t="shared" si="35"/>
        <v>0.55897626112759646</v>
      </c>
    </row>
    <row r="2257" spans="1:16" hidden="1" x14ac:dyDescent="0.25">
      <c r="A2257">
        <v>0</v>
      </c>
      <c r="B2257">
        <v>10000</v>
      </c>
      <c r="C2257">
        <f>1.225 * (1 - 0.00000687559 * B2257) ^ 4.2561</f>
        <v>0.90462252368600637</v>
      </c>
      <c r="D2257">
        <f>E2257*(SQRT($C$2/C2257))</f>
        <v>256.01005727719473</v>
      </c>
      <c r="E2257">
        <v>220</v>
      </c>
      <c r="F2257">
        <v>1150</v>
      </c>
      <c r="G2257">
        <v>2250</v>
      </c>
      <c r="H2257">
        <f>CONVERT(G2257,"HP","kW")</f>
        <v>1677.8247110601083</v>
      </c>
      <c r="I2257">
        <v>0.88990000000000002</v>
      </c>
      <c r="J2257">
        <v>1.7341</v>
      </c>
      <c r="K2257">
        <v>0.6472</v>
      </c>
      <c r="L2257">
        <v>0.26960000000000001</v>
      </c>
      <c r="M2257">
        <v>0.1384</v>
      </c>
      <c r="N2257">
        <f>CONVERT(O2257,"lbf","N")</f>
        <v>11337.627252975964</v>
      </c>
      <c r="O2257">
        <v>2548.8000000000002</v>
      </c>
      <c r="P2257">
        <f t="shared" si="35"/>
        <v>0.51335311572700293</v>
      </c>
    </row>
    <row r="2258" spans="1:16" hidden="1" x14ac:dyDescent="0.25">
      <c r="A2258">
        <v>0</v>
      </c>
      <c r="B2258">
        <v>10000</v>
      </c>
      <c r="C2258">
        <f>1.225 * (1 - 0.00000687559 * B2258) ^ 4.2561</f>
        <v>0.90462252368600637</v>
      </c>
      <c r="D2258">
        <f>E2258*(SQRT($C$2/C2258))</f>
        <v>279.28369884784883</v>
      </c>
      <c r="E2258">
        <v>240</v>
      </c>
      <c r="F2258">
        <v>1150</v>
      </c>
      <c r="G2258">
        <v>2250</v>
      </c>
      <c r="H2258">
        <f>CONVERT(G2258,"HP","kW")</f>
        <v>1677.8247110601083</v>
      </c>
      <c r="I2258">
        <v>0.89500000000000002</v>
      </c>
      <c r="J2258">
        <v>1.8917999999999999</v>
      </c>
      <c r="K2258">
        <v>0.67049999999999998</v>
      </c>
      <c r="L2258">
        <v>0.26960000000000001</v>
      </c>
      <c r="M2258">
        <v>0.12759999999999999</v>
      </c>
      <c r="N2258">
        <f>CONVERT(O2258,"lbf","N")</f>
        <v>10451.54150721607</v>
      </c>
      <c r="O2258">
        <v>2349.6</v>
      </c>
      <c r="P2258">
        <f t="shared" si="35"/>
        <v>0.47329376854599403</v>
      </c>
    </row>
    <row r="2259" spans="1:16" hidden="1" x14ac:dyDescent="0.25">
      <c r="A2259">
        <v>0</v>
      </c>
      <c r="B2259">
        <v>10000</v>
      </c>
      <c r="C2259">
        <f>1.225 * (1 - 0.00000687559 * B2259) ^ 4.2561</f>
        <v>0.90462252368600637</v>
      </c>
      <c r="D2259">
        <f>E2259*(SQRT($C$2/C2259))</f>
        <v>0</v>
      </c>
      <c r="E2259">
        <v>0</v>
      </c>
      <c r="F2259">
        <v>1150</v>
      </c>
      <c r="G2259">
        <v>2250</v>
      </c>
      <c r="H2259">
        <f>CONVERT(G2259,"HP","kW")</f>
        <v>1677.8247110601083</v>
      </c>
      <c r="I2259">
        <v>0</v>
      </c>
      <c r="J2259">
        <v>0</v>
      </c>
      <c r="K2259">
        <v>0.49409999999999998</v>
      </c>
      <c r="L2259">
        <v>0.2697</v>
      </c>
      <c r="M2259">
        <v>0.26350000000000001</v>
      </c>
      <c r="N2259">
        <f>CONVERT(O2259,"lbf","N")</f>
        <v>21586.774676697678</v>
      </c>
      <c r="O2259">
        <v>4852.8999999999996</v>
      </c>
      <c r="P2259">
        <f t="shared" si="35"/>
        <v>0.97701149425287359</v>
      </c>
    </row>
    <row r="2260" spans="1:16" hidden="1" x14ac:dyDescent="0.25">
      <c r="A2260">
        <v>0</v>
      </c>
      <c r="B2260">
        <v>10000</v>
      </c>
      <c r="C2260">
        <f>1.225 * (1 - 0.00000687559 * B2260) ^ 4.2561</f>
        <v>0.90462252368600637</v>
      </c>
      <c r="D2260">
        <f>E2260*(SQRT($C$2/C2260))</f>
        <v>46.547283141308135</v>
      </c>
      <c r="E2260">
        <v>40</v>
      </c>
      <c r="F2260">
        <v>1150</v>
      </c>
      <c r="G2260">
        <v>2250</v>
      </c>
      <c r="H2260">
        <f>CONVERT(G2260,"HP","kW")</f>
        <v>1677.8247110601083</v>
      </c>
      <c r="I2260">
        <v>0.3332</v>
      </c>
      <c r="J2260">
        <v>0.31530000000000002</v>
      </c>
      <c r="K2260">
        <v>0.50519999999999998</v>
      </c>
      <c r="L2260">
        <v>0.2697</v>
      </c>
      <c r="M2260">
        <v>0.28499999999999998</v>
      </c>
      <c r="N2260">
        <f>CONVERT(O2260,"lbf","N")</f>
        <v>23347.380792017782</v>
      </c>
      <c r="O2260">
        <v>5248.7</v>
      </c>
      <c r="P2260">
        <f t="shared" si="35"/>
        <v>1.0567296996662958</v>
      </c>
    </row>
    <row r="2261" spans="1:16" hidden="1" x14ac:dyDescent="0.25">
      <c r="A2261">
        <v>0</v>
      </c>
      <c r="B2261">
        <v>10000</v>
      </c>
      <c r="C2261">
        <f>1.225 * (1 - 0.00000687559 * B2261) ^ 4.2561</f>
        <v>0.90462252368600637</v>
      </c>
      <c r="D2261">
        <f>E2261*(SQRT($C$2/C2261))</f>
        <v>116.36820785327033</v>
      </c>
      <c r="E2261">
        <v>100</v>
      </c>
      <c r="F2261">
        <v>1150</v>
      </c>
      <c r="G2261">
        <v>2250</v>
      </c>
      <c r="H2261">
        <f>CONVERT(G2261,"HP","kW")</f>
        <v>1677.8247110601083</v>
      </c>
      <c r="I2261">
        <v>0.7208</v>
      </c>
      <c r="J2261">
        <v>0.78820000000000001</v>
      </c>
      <c r="K2261">
        <v>0.53700000000000003</v>
      </c>
      <c r="L2261">
        <v>0.2697</v>
      </c>
      <c r="M2261">
        <v>0.24660000000000001</v>
      </c>
      <c r="N2261">
        <f>CONVERT(O2261,"lbf","N")</f>
        <v>20202.932932190139</v>
      </c>
      <c r="O2261">
        <v>4541.8</v>
      </c>
      <c r="P2261">
        <f t="shared" si="35"/>
        <v>0.91434927697441604</v>
      </c>
    </row>
    <row r="2262" spans="1:16" hidden="1" x14ac:dyDescent="0.25">
      <c r="A2262">
        <v>0</v>
      </c>
      <c r="B2262">
        <v>10000</v>
      </c>
      <c r="C2262">
        <f>1.225 * (1 - 0.00000687559 * B2262) ^ 4.2561</f>
        <v>0.90462252368600637</v>
      </c>
      <c r="D2262">
        <f>E2262*(SQRT($C$2/C2262))</f>
        <v>302.55734041850286</v>
      </c>
      <c r="E2262">
        <v>260</v>
      </c>
      <c r="F2262">
        <v>1150</v>
      </c>
      <c r="G2262">
        <v>2250</v>
      </c>
      <c r="H2262">
        <f>CONVERT(G2262,"HP","kW")</f>
        <v>1677.8247110601083</v>
      </c>
      <c r="I2262">
        <v>0.89610000000000001</v>
      </c>
      <c r="J2262">
        <v>2.0493999999999999</v>
      </c>
      <c r="K2262">
        <v>0.69489999999999996</v>
      </c>
      <c r="L2262">
        <v>0.2697</v>
      </c>
      <c r="M2262">
        <v>0.1179</v>
      </c>
      <c r="N2262">
        <f>CONVERT(O2262,"lbf","N")</f>
        <v>9659.7580596997013</v>
      </c>
      <c r="O2262">
        <v>2171.6</v>
      </c>
      <c r="P2262">
        <f t="shared" si="35"/>
        <v>0.43715239154616242</v>
      </c>
    </row>
    <row r="2263" spans="1:16" hidden="1" x14ac:dyDescent="0.25">
      <c r="A2263">
        <v>0</v>
      </c>
      <c r="B2263">
        <v>10000</v>
      </c>
      <c r="C2263">
        <f>1.225 * (1 - 0.00000687559 * B2263) ^ 4.2561</f>
        <v>0.90462252368600637</v>
      </c>
      <c r="D2263">
        <f>E2263*(SQRT($C$2/C2263))</f>
        <v>23.273641570654068</v>
      </c>
      <c r="E2263">
        <v>20</v>
      </c>
      <c r="F2263">
        <v>1150</v>
      </c>
      <c r="G2263">
        <v>2250</v>
      </c>
      <c r="H2263">
        <f>CONVERT(G2263,"HP","kW")</f>
        <v>1677.8247110601083</v>
      </c>
      <c r="I2263">
        <v>0.1595</v>
      </c>
      <c r="J2263">
        <v>0.15759999999999999</v>
      </c>
      <c r="K2263">
        <v>0.49880000000000002</v>
      </c>
      <c r="L2263">
        <v>0.26979999999999998</v>
      </c>
      <c r="M2263">
        <v>0.27300000000000002</v>
      </c>
      <c r="N2263">
        <f>CONVERT(O2263,"lbf","N")</f>
        <v>22357.206660460801</v>
      </c>
      <c r="O2263">
        <v>5026.1000000000004</v>
      </c>
      <c r="P2263">
        <f t="shared" si="35"/>
        <v>1.0118606375092662</v>
      </c>
    </row>
    <row r="2264" spans="1:16" hidden="1" x14ac:dyDescent="0.25">
      <c r="A2264">
        <v>0</v>
      </c>
      <c r="B2264">
        <v>15000</v>
      </c>
      <c r="C2264">
        <f>1.225 * (1 - 0.00000687559 * B2264) ^ 4.2561</f>
        <v>0.77079726910167001</v>
      </c>
      <c r="D2264">
        <f>E2264*(SQRT($C$2/C2264))</f>
        <v>327.77159060792974</v>
      </c>
      <c r="E2264">
        <v>260</v>
      </c>
      <c r="F2264">
        <v>987</v>
      </c>
      <c r="G2264">
        <v>1250</v>
      </c>
      <c r="H2264">
        <f>CONVERT(G2264,"HP","kW")</f>
        <v>932.12483947783778</v>
      </c>
      <c r="I2264">
        <v>0.86519999999999997</v>
      </c>
      <c r="J2264">
        <v>2.5869</v>
      </c>
      <c r="K2264">
        <v>0.68659999999999999</v>
      </c>
      <c r="L2264">
        <v>0.27800000000000002</v>
      </c>
      <c r="M2264">
        <v>9.2999999999999999E-2</v>
      </c>
      <c r="N2264">
        <f>CONVERT(O2264,"lbf","N")</f>
        <v>4782.72788072809</v>
      </c>
      <c r="O2264">
        <v>1075.2</v>
      </c>
      <c r="P2264">
        <f t="shared" si="35"/>
        <v>0.3345323741007194</v>
      </c>
    </row>
    <row r="2265" spans="1:16" hidden="1" x14ac:dyDescent="0.25">
      <c r="A2265">
        <v>0</v>
      </c>
      <c r="B2265">
        <v>15000</v>
      </c>
      <c r="C2265">
        <f>1.225 * (1 - 0.00000687559 * B2265) ^ 4.2561</f>
        <v>0.77079726910167001</v>
      </c>
      <c r="D2265">
        <f>E2265*(SQRT($C$2/C2265))</f>
        <v>25.213199277533057</v>
      </c>
      <c r="E2265">
        <v>20</v>
      </c>
      <c r="F2265">
        <v>987</v>
      </c>
      <c r="G2265">
        <v>1250</v>
      </c>
      <c r="H2265">
        <f>CONVERT(G2265,"HP","kW")</f>
        <v>932.12483947783778</v>
      </c>
      <c r="I2265">
        <v>0.19550000000000001</v>
      </c>
      <c r="J2265">
        <v>0.19900000000000001</v>
      </c>
      <c r="K2265">
        <v>0.43759999999999999</v>
      </c>
      <c r="L2265">
        <v>0.27810000000000001</v>
      </c>
      <c r="M2265">
        <v>0.2732</v>
      </c>
      <c r="N2265">
        <f>CONVERT(O2265,"lbf","N")</f>
        <v>14047.039038831133</v>
      </c>
      <c r="O2265">
        <v>3157.9</v>
      </c>
      <c r="P2265">
        <f t="shared" si="35"/>
        <v>0.98238043869111824</v>
      </c>
    </row>
    <row r="2266" spans="1:16" hidden="1" x14ac:dyDescent="0.25">
      <c r="A2266">
        <v>0</v>
      </c>
      <c r="B2266">
        <v>15000</v>
      </c>
      <c r="C2266">
        <f>1.225 * (1 - 0.00000687559 * B2266) ^ 4.2561</f>
        <v>0.77079726910167001</v>
      </c>
      <c r="D2266">
        <f>E2266*(SQRT($C$2/C2266))</f>
        <v>75.639597832599179</v>
      </c>
      <c r="E2266">
        <v>60</v>
      </c>
      <c r="F2266">
        <v>987</v>
      </c>
      <c r="G2266">
        <v>1250</v>
      </c>
      <c r="H2266">
        <f>CONVERT(G2266,"HP","kW")</f>
        <v>932.12483947783778</v>
      </c>
      <c r="I2266">
        <v>0.61</v>
      </c>
      <c r="J2266">
        <v>0.59699999999999998</v>
      </c>
      <c r="K2266">
        <v>0.45629999999999998</v>
      </c>
      <c r="L2266">
        <v>0.27810000000000001</v>
      </c>
      <c r="M2266">
        <v>0.28410000000000002</v>
      </c>
      <c r="N2266">
        <f>CONVERT(O2266,"lbf","N")</f>
        <v>14611.963183969216</v>
      </c>
      <c r="O2266">
        <v>3284.9</v>
      </c>
      <c r="P2266">
        <f t="shared" si="35"/>
        <v>1.0215749730312838</v>
      </c>
    </row>
    <row r="2267" spans="1:16" hidden="1" x14ac:dyDescent="0.25">
      <c r="A2267">
        <v>0</v>
      </c>
      <c r="B2267">
        <v>15000</v>
      </c>
      <c r="C2267">
        <f>1.225 * (1 - 0.00000687559 * B2267) ^ 4.2561</f>
        <v>0.77079726910167001</v>
      </c>
      <c r="D2267">
        <f>E2267*(SQRT($C$2/C2267))</f>
        <v>126.06599638766529</v>
      </c>
      <c r="E2267">
        <v>100</v>
      </c>
      <c r="F2267">
        <v>987</v>
      </c>
      <c r="G2267">
        <v>1250</v>
      </c>
      <c r="H2267">
        <f>CONVERT(G2267,"HP","kW")</f>
        <v>932.12483947783778</v>
      </c>
      <c r="I2267">
        <v>0.78969999999999996</v>
      </c>
      <c r="J2267">
        <v>0.995</v>
      </c>
      <c r="K2267">
        <v>0.4864</v>
      </c>
      <c r="L2267">
        <v>0.27810000000000001</v>
      </c>
      <c r="M2267">
        <v>0.22070000000000001</v>
      </c>
      <c r="N2267">
        <f>CONVERT(O2267,"lbf","N")</f>
        <v>11350.082273498692</v>
      </c>
      <c r="O2267">
        <v>2551.6</v>
      </c>
      <c r="P2267">
        <f t="shared" si="35"/>
        <v>0.79359942466738587</v>
      </c>
    </row>
    <row r="2268" spans="1:16" hidden="1" x14ac:dyDescent="0.25">
      <c r="A2268">
        <v>0</v>
      </c>
      <c r="B2268">
        <v>15000</v>
      </c>
      <c r="C2268">
        <f>1.225 * (1 - 0.00000687559 * B2268) ^ 4.2561</f>
        <v>0.77079726910167001</v>
      </c>
      <c r="D2268">
        <f>E2268*(SQRT($C$2/C2268))</f>
        <v>151.27919566519836</v>
      </c>
      <c r="E2268">
        <v>120</v>
      </c>
      <c r="F2268">
        <v>987</v>
      </c>
      <c r="G2268">
        <v>1250</v>
      </c>
      <c r="H2268">
        <f>CONVERT(G2268,"HP","kW")</f>
        <v>932.12483947783778</v>
      </c>
      <c r="I2268">
        <v>0.83440000000000003</v>
      </c>
      <c r="J2268">
        <v>1.1939</v>
      </c>
      <c r="K2268">
        <v>0.505</v>
      </c>
      <c r="L2268">
        <v>0.27810000000000001</v>
      </c>
      <c r="M2268">
        <v>0.1943</v>
      </c>
      <c r="N2268">
        <f>CONVERT(O2268,"lbf","N")</f>
        <v>9993.819503005765</v>
      </c>
      <c r="O2268">
        <v>2246.6999999999998</v>
      </c>
      <c r="P2268">
        <f t="shared" si="35"/>
        <v>0.69866954332973752</v>
      </c>
    </row>
    <row r="2269" spans="1:16" hidden="1" x14ac:dyDescent="0.25">
      <c r="A2269">
        <v>0</v>
      </c>
      <c r="B2269">
        <v>15000</v>
      </c>
      <c r="C2269">
        <f>1.225 * (1 - 0.00000687559 * B2269) ^ 4.2561</f>
        <v>0.77079726910167001</v>
      </c>
      <c r="D2269">
        <f>E2269*(SQRT($C$2/C2269))</f>
        <v>176.49239494273141</v>
      </c>
      <c r="E2269">
        <v>140</v>
      </c>
      <c r="F2269">
        <v>987</v>
      </c>
      <c r="G2269">
        <v>1250</v>
      </c>
      <c r="H2269">
        <f>CONVERT(G2269,"HP","kW")</f>
        <v>932.12483947783778</v>
      </c>
      <c r="I2269">
        <v>0.86299999999999999</v>
      </c>
      <c r="J2269">
        <v>1.3929</v>
      </c>
      <c r="K2269">
        <v>0.52569999999999995</v>
      </c>
      <c r="L2269">
        <v>0.27810000000000001</v>
      </c>
      <c r="M2269">
        <v>0.17230000000000001</v>
      </c>
      <c r="N2269">
        <f>CONVERT(O2269,"lbf","N")</f>
        <v>8859.5229911143379</v>
      </c>
      <c r="O2269">
        <v>1991.7</v>
      </c>
      <c r="P2269">
        <f t="shared" si="35"/>
        <v>0.61956130888169725</v>
      </c>
    </row>
    <row r="2270" spans="1:16" hidden="1" x14ac:dyDescent="0.25">
      <c r="A2270">
        <v>0</v>
      </c>
      <c r="B2270">
        <v>15000</v>
      </c>
      <c r="C2270">
        <f>1.225 * (1 - 0.00000687559 * B2270) ^ 4.2561</f>
        <v>0.77079726910167001</v>
      </c>
      <c r="D2270">
        <f>E2270*(SQRT($C$2/C2270))</f>
        <v>201.70559422026446</v>
      </c>
      <c r="E2270">
        <v>160</v>
      </c>
      <c r="F2270">
        <v>987</v>
      </c>
      <c r="G2270">
        <v>1250</v>
      </c>
      <c r="H2270">
        <f>CONVERT(G2270,"HP","kW")</f>
        <v>932.12483947783778</v>
      </c>
      <c r="I2270">
        <v>0.88090000000000002</v>
      </c>
      <c r="J2270">
        <v>1.5919000000000001</v>
      </c>
      <c r="K2270">
        <v>0.54859999999999998</v>
      </c>
      <c r="L2270">
        <v>0.27810000000000001</v>
      </c>
      <c r="M2270">
        <v>0.15390000000000001</v>
      </c>
      <c r="N2270">
        <f>CONVERT(O2270,"lbf","N")</f>
        <v>7912.9414313869038</v>
      </c>
      <c r="O2270">
        <v>1778.9</v>
      </c>
      <c r="P2270">
        <f t="shared" si="35"/>
        <v>0.55339805825242716</v>
      </c>
    </row>
    <row r="2271" spans="1:16" hidden="1" x14ac:dyDescent="0.25">
      <c r="A2271">
        <v>0</v>
      </c>
      <c r="B2271">
        <v>15000</v>
      </c>
      <c r="C2271">
        <f>1.225 * (1 - 0.00000687559 * B2271) ^ 4.2561</f>
        <v>0.77079726910167001</v>
      </c>
      <c r="D2271">
        <f>E2271*(SQRT($C$2/C2271))</f>
        <v>226.91879349779754</v>
      </c>
      <c r="E2271">
        <v>180</v>
      </c>
      <c r="F2271">
        <v>987</v>
      </c>
      <c r="G2271">
        <v>1250</v>
      </c>
      <c r="H2271">
        <f>CONVERT(G2271,"HP","kW")</f>
        <v>932.12483947783778</v>
      </c>
      <c r="I2271">
        <v>0.89119999999999999</v>
      </c>
      <c r="J2271">
        <v>1.7908999999999999</v>
      </c>
      <c r="K2271">
        <v>0.57330000000000003</v>
      </c>
      <c r="L2271">
        <v>0.27810000000000001</v>
      </c>
      <c r="M2271">
        <v>0.1384</v>
      </c>
      <c r="N2271">
        <f>CONVERT(O2271,"lbf","N")</f>
        <v>7116.2649400937471</v>
      </c>
      <c r="O2271">
        <v>1599.8</v>
      </c>
      <c r="P2271">
        <f t="shared" si="35"/>
        <v>0.49766271125494421</v>
      </c>
    </row>
    <row r="2272" spans="1:16" hidden="1" x14ac:dyDescent="0.25">
      <c r="A2272" s="6">
        <v>0</v>
      </c>
      <c r="B2272" s="6">
        <v>15000</v>
      </c>
      <c r="C2272" s="6">
        <f>1.225 * (1 - 0.00000687559 * B2272) ^ 4.2561</f>
        <v>0.77079726910167001</v>
      </c>
      <c r="D2272" s="6">
        <f>E2272*(SQRT($C$2/C2272))</f>
        <v>252.13199277533059</v>
      </c>
      <c r="E2272" s="6">
        <v>200</v>
      </c>
      <c r="F2272" s="6">
        <v>987</v>
      </c>
      <c r="G2272" s="6">
        <v>1250</v>
      </c>
      <c r="H2272" s="6">
        <f>CONVERT(G2272,"HP","kW")</f>
        <v>932.12483947783778</v>
      </c>
      <c r="I2272" s="6">
        <v>0.89580000000000004</v>
      </c>
      <c r="J2272" s="6">
        <v>1.9899</v>
      </c>
      <c r="K2272" s="6">
        <v>0.59960000000000002</v>
      </c>
      <c r="L2272" s="6">
        <v>0.27810000000000001</v>
      </c>
      <c r="M2272" s="6">
        <v>0.12520000000000001</v>
      </c>
      <c r="N2272" s="6">
        <f>CONVERT(O2272,"lbf","N")</f>
        <v>6437.4663216049958</v>
      </c>
      <c r="O2272" s="6">
        <v>1447.2</v>
      </c>
      <c r="P2272">
        <f t="shared" si="35"/>
        <v>0.45019777058612009</v>
      </c>
    </row>
    <row r="2273" spans="1:16" hidden="1" x14ac:dyDescent="0.25">
      <c r="A2273">
        <v>0</v>
      </c>
      <c r="B2273">
        <v>15000</v>
      </c>
      <c r="C2273">
        <f>1.225 * (1 - 0.00000687559 * B2273) ^ 4.2561</f>
        <v>0.77079726910167001</v>
      </c>
      <c r="D2273">
        <f>E2273*(SQRT($C$2/C2273))</f>
        <v>277.34519205286364</v>
      </c>
      <c r="E2273">
        <v>220</v>
      </c>
      <c r="F2273">
        <v>987</v>
      </c>
      <c r="G2273">
        <v>1250</v>
      </c>
      <c r="H2273">
        <f>CONVERT(G2273,"HP","kW")</f>
        <v>932.12483947783778</v>
      </c>
      <c r="I2273">
        <v>0.89500000000000002</v>
      </c>
      <c r="J2273">
        <v>2.1888999999999998</v>
      </c>
      <c r="K2273">
        <v>0.62739999999999996</v>
      </c>
      <c r="L2273">
        <v>0.27810000000000001</v>
      </c>
      <c r="M2273">
        <v>0.1137</v>
      </c>
      <c r="N2273">
        <f>CONVERT(O2273,"lbf","N")</f>
        <v>5847.1873132599267</v>
      </c>
      <c r="O2273">
        <v>1314.5</v>
      </c>
      <c r="P2273">
        <f t="shared" si="35"/>
        <v>0.40884573894282628</v>
      </c>
    </row>
    <row r="2274" spans="1:16" hidden="1" x14ac:dyDescent="0.25">
      <c r="A2274">
        <v>0</v>
      </c>
      <c r="B2274">
        <v>15000</v>
      </c>
      <c r="C2274">
        <f>1.225 * (1 - 0.00000687559 * B2274) ^ 4.2561</f>
        <v>0.77079726910167001</v>
      </c>
      <c r="D2274">
        <f>E2274*(SQRT($C$2/C2274))</f>
        <v>302.55839133039672</v>
      </c>
      <c r="E2274">
        <v>240</v>
      </c>
      <c r="F2274">
        <v>987</v>
      </c>
      <c r="G2274">
        <v>1250</v>
      </c>
      <c r="H2274">
        <f>CONVERT(G2274,"HP","kW")</f>
        <v>932.12483947783778</v>
      </c>
      <c r="I2274">
        <v>0.88649999999999995</v>
      </c>
      <c r="J2274">
        <v>2.3879000000000001</v>
      </c>
      <c r="K2274">
        <v>0.65639999999999998</v>
      </c>
      <c r="L2274">
        <v>0.27810000000000001</v>
      </c>
      <c r="M2274">
        <v>0.1032</v>
      </c>
      <c r="N2274">
        <f>CONVERT(O2274,"lbf","N")</f>
        <v>5309.3973199749325</v>
      </c>
      <c r="O2274">
        <v>1193.5999999999999</v>
      </c>
      <c r="P2274">
        <f t="shared" si="35"/>
        <v>0.37108953613807982</v>
      </c>
    </row>
    <row r="2275" spans="1:16" hidden="1" x14ac:dyDescent="0.25">
      <c r="A2275">
        <v>0</v>
      </c>
      <c r="B2275">
        <v>15000</v>
      </c>
      <c r="C2275">
        <f>1.225 * (1 - 0.00000687559 * B2275) ^ 4.2561</f>
        <v>0.77079726910167001</v>
      </c>
      <c r="D2275">
        <f>E2275*(SQRT($C$2/C2275))</f>
        <v>0</v>
      </c>
      <c r="E2275">
        <v>0</v>
      </c>
      <c r="F2275">
        <v>987</v>
      </c>
      <c r="G2275">
        <v>1250</v>
      </c>
      <c r="H2275">
        <f>CONVERT(G2275,"HP","kW")</f>
        <v>932.12483947783778</v>
      </c>
      <c r="I2275">
        <v>0</v>
      </c>
      <c r="J2275">
        <v>0</v>
      </c>
      <c r="K2275">
        <v>0.43219999999999997</v>
      </c>
      <c r="L2275">
        <v>0.27829999999999999</v>
      </c>
      <c r="M2275">
        <v>0.25990000000000002</v>
      </c>
      <c r="N2275">
        <f>CONVERT(O2275,"lbf","N")</f>
        <v>13357.564688465758</v>
      </c>
      <c r="O2275">
        <v>3002.9</v>
      </c>
      <c r="P2275">
        <f t="shared" si="35"/>
        <v>0.93388429752066127</v>
      </c>
    </row>
    <row r="2276" spans="1:16" hidden="1" x14ac:dyDescent="0.25">
      <c r="A2276">
        <v>0</v>
      </c>
      <c r="B2276">
        <v>15000</v>
      </c>
      <c r="C2276">
        <f>1.225 * (1 - 0.00000687559 * B2276) ^ 4.2561</f>
        <v>0.77079726910167001</v>
      </c>
      <c r="D2276">
        <f>E2276*(SQRT($C$2/C2276))</f>
        <v>50.426398555066115</v>
      </c>
      <c r="E2276">
        <v>40</v>
      </c>
      <c r="F2276">
        <v>987</v>
      </c>
      <c r="G2276">
        <v>1250</v>
      </c>
      <c r="H2276">
        <f>CONVERT(G2276,"HP","kW")</f>
        <v>932.12483947783778</v>
      </c>
      <c r="I2276">
        <v>0.41520000000000001</v>
      </c>
      <c r="J2276">
        <v>0.39800000000000002</v>
      </c>
      <c r="K2276">
        <v>0.44540000000000002</v>
      </c>
      <c r="L2276">
        <v>0.27829999999999999</v>
      </c>
      <c r="M2276">
        <v>0.2903</v>
      </c>
      <c r="N2276">
        <f>CONVERT(O2276,"lbf","N")</f>
        <v>14918.000831099138</v>
      </c>
      <c r="O2276">
        <v>3353.7</v>
      </c>
      <c r="P2276">
        <f t="shared" si="35"/>
        <v>1.0431189363995688</v>
      </c>
    </row>
    <row r="2277" spans="1:16" hidden="1" x14ac:dyDescent="0.25">
      <c r="A2277">
        <v>0</v>
      </c>
      <c r="B2277">
        <v>15000</v>
      </c>
      <c r="C2277">
        <f>1.225 * (1 - 0.00000687559 * B2277) ^ 4.2561</f>
        <v>0.77079726910167001</v>
      </c>
      <c r="D2277">
        <f>E2277*(SQRT($C$2/C2277))</f>
        <v>100.85279711013223</v>
      </c>
      <c r="E2277">
        <v>80</v>
      </c>
      <c r="F2277">
        <v>987</v>
      </c>
      <c r="G2277">
        <v>1250</v>
      </c>
      <c r="H2277">
        <f>CONVERT(G2277,"HP","kW")</f>
        <v>932.12483947783778</v>
      </c>
      <c r="I2277">
        <v>0.7208</v>
      </c>
      <c r="J2277">
        <v>0.79600000000000004</v>
      </c>
      <c r="K2277">
        <v>0.47020000000000001</v>
      </c>
      <c r="L2277">
        <v>0.27839999999999998</v>
      </c>
      <c r="M2277">
        <v>0.25209999999999999</v>
      </c>
      <c r="N2277">
        <f>CONVERT(O2277,"lbf","N")</f>
        <v>12950.552410669419</v>
      </c>
      <c r="O2277">
        <v>2911.4</v>
      </c>
      <c r="P2277">
        <f t="shared" si="35"/>
        <v>0.90553160919540232</v>
      </c>
    </row>
    <row r="2278" spans="1:16" hidden="1" x14ac:dyDescent="0.25">
      <c r="A2278">
        <v>0</v>
      </c>
      <c r="B2278">
        <v>10000</v>
      </c>
      <c r="C2278">
        <f>1.225 * (1 - 0.00000687559 * B2278) ^ 4.2561</f>
        <v>0.90462252368600637</v>
      </c>
      <c r="D2278">
        <f>E2278*(SQRT($C$2/C2278))</f>
        <v>93.09456628261627</v>
      </c>
      <c r="E2278">
        <v>80</v>
      </c>
      <c r="F2278">
        <v>1215</v>
      </c>
      <c r="G2278">
        <v>2750</v>
      </c>
      <c r="H2278">
        <f>CONVERT(G2278,"HP","kW")</f>
        <v>2050.6746468512433</v>
      </c>
      <c r="I2278">
        <v>0.60199999999999998</v>
      </c>
      <c r="J2278">
        <v>0.59689999999999999</v>
      </c>
      <c r="K2278">
        <v>0.55120000000000002</v>
      </c>
      <c r="L2278">
        <v>0.27939999999999998</v>
      </c>
      <c r="M2278">
        <v>0.28179999999999999</v>
      </c>
      <c r="N2278">
        <f>CONVERT(O2278,"lbf","N")</f>
        <v>25778.333904757648</v>
      </c>
      <c r="O2278">
        <v>5795.2</v>
      </c>
      <c r="P2278">
        <f t="shared" si="35"/>
        <v>1.0085898353614891</v>
      </c>
    </row>
    <row r="2279" spans="1:16" hidden="1" x14ac:dyDescent="0.25">
      <c r="A2279">
        <v>0</v>
      </c>
      <c r="B2279">
        <v>10000</v>
      </c>
      <c r="C2279">
        <f>1.225 * (1 - 0.00000687559 * B2279) ^ 4.2561</f>
        <v>0.90462252368600637</v>
      </c>
      <c r="D2279">
        <f>E2279*(SQRT($C$2/C2279))</f>
        <v>162.91549099457848</v>
      </c>
      <c r="E2279">
        <v>140</v>
      </c>
      <c r="F2279">
        <v>1215</v>
      </c>
      <c r="G2279">
        <v>2750</v>
      </c>
      <c r="H2279">
        <f>CONVERT(G2279,"HP","kW")</f>
        <v>2050.6746468512433</v>
      </c>
      <c r="I2279">
        <v>0.79979999999999996</v>
      </c>
      <c r="J2279">
        <v>1.0445</v>
      </c>
      <c r="K2279">
        <v>0.59289999999999998</v>
      </c>
      <c r="L2279">
        <v>0.27939999999999998</v>
      </c>
      <c r="M2279">
        <v>0.214</v>
      </c>
      <c r="N2279">
        <f>CONVERT(O2279,"lbf","N")</f>
        <v>19569.506174177044</v>
      </c>
      <c r="O2279">
        <v>4399.3999999999996</v>
      </c>
      <c r="P2279">
        <f t="shared" si="35"/>
        <v>0.76592698639942736</v>
      </c>
    </row>
    <row r="2280" spans="1:16" hidden="1" x14ac:dyDescent="0.25">
      <c r="A2280">
        <v>0</v>
      </c>
      <c r="B2280">
        <v>10000</v>
      </c>
      <c r="C2280">
        <f>1.225 * (1 - 0.00000687559 * B2280) ^ 4.2561</f>
        <v>0.90462252368600637</v>
      </c>
      <c r="D2280">
        <f>E2280*(SQRT($C$2/C2280))</f>
        <v>186.18913256523254</v>
      </c>
      <c r="E2280">
        <v>160</v>
      </c>
      <c r="F2280">
        <v>1215</v>
      </c>
      <c r="G2280">
        <v>2750</v>
      </c>
      <c r="H2280">
        <f>CONVERT(G2280,"HP","kW")</f>
        <v>2050.6746468512433</v>
      </c>
      <c r="I2280">
        <v>0.83179999999999998</v>
      </c>
      <c r="J2280">
        <v>1.1937</v>
      </c>
      <c r="K2280">
        <v>0.6099</v>
      </c>
      <c r="L2280">
        <v>0.27939999999999998</v>
      </c>
      <c r="M2280">
        <v>0.19470000000000001</v>
      </c>
      <c r="N2280">
        <f>CONVERT(O2280,"lbf","N")</f>
        <v>17807.565592372361</v>
      </c>
      <c r="O2280">
        <v>4003.3</v>
      </c>
      <c r="P2280">
        <f t="shared" si="35"/>
        <v>0.6968503937007875</v>
      </c>
    </row>
    <row r="2281" spans="1:16" hidden="1" x14ac:dyDescent="0.25">
      <c r="A2281">
        <v>0</v>
      </c>
      <c r="B2281">
        <v>10000</v>
      </c>
      <c r="C2281">
        <f>1.225 * (1 - 0.00000687559 * B2281) ^ 4.2561</f>
        <v>0.90462252368600637</v>
      </c>
      <c r="D2281">
        <f>E2281*(SQRT($C$2/C2281))</f>
        <v>209.4627741358866</v>
      </c>
      <c r="E2281">
        <v>180</v>
      </c>
      <c r="F2281">
        <v>1215</v>
      </c>
      <c r="G2281">
        <v>2750</v>
      </c>
      <c r="H2281">
        <f>CONVERT(G2281,"HP","kW")</f>
        <v>2050.6746468512433</v>
      </c>
      <c r="I2281">
        <v>0.85489999999999999</v>
      </c>
      <c r="J2281">
        <v>1.3429</v>
      </c>
      <c r="K2281">
        <v>0.62849999999999995</v>
      </c>
      <c r="L2281">
        <v>0.27939999999999998</v>
      </c>
      <c r="M2281">
        <v>0.17780000000000001</v>
      </c>
      <c r="N2281">
        <f>CONVERT(O2281,"lbf","N")</f>
        <v>16269.37055781528</v>
      </c>
      <c r="O2281">
        <v>3657.5</v>
      </c>
      <c r="P2281">
        <f t="shared" si="35"/>
        <v>0.63636363636363646</v>
      </c>
    </row>
    <row r="2282" spans="1:16" hidden="1" x14ac:dyDescent="0.25">
      <c r="A2282">
        <v>0</v>
      </c>
      <c r="B2282">
        <v>10000</v>
      </c>
      <c r="C2282">
        <f>1.225 * (1 - 0.00000687559 * B2282) ^ 4.2561</f>
        <v>0.90462252368600637</v>
      </c>
      <c r="D2282">
        <f>E2282*(SQRT($C$2/C2282))</f>
        <v>232.73641570654067</v>
      </c>
      <c r="E2282">
        <v>200</v>
      </c>
      <c r="F2282">
        <v>1215</v>
      </c>
      <c r="G2282">
        <v>2750</v>
      </c>
      <c r="H2282">
        <f>CONVERT(G2282,"HP","kW")</f>
        <v>2050.6746468512433</v>
      </c>
      <c r="I2282">
        <v>0.87150000000000005</v>
      </c>
      <c r="J2282">
        <v>1.4922</v>
      </c>
      <c r="K2282">
        <v>0.64849999999999997</v>
      </c>
      <c r="L2282">
        <v>0.27939999999999998</v>
      </c>
      <c r="M2282">
        <v>0.16320000000000001</v>
      </c>
      <c r="N2282">
        <f>CONVERT(O2282,"lbf","N")</f>
        <v>14926.452452168132</v>
      </c>
      <c r="O2282">
        <v>3355.6</v>
      </c>
      <c r="P2282">
        <f t="shared" si="35"/>
        <v>0.58410880458124559</v>
      </c>
    </row>
    <row r="2283" spans="1:16" hidden="1" x14ac:dyDescent="0.25">
      <c r="A2283">
        <v>0</v>
      </c>
      <c r="B2283">
        <v>10000</v>
      </c>
      <c r="C2283">
        <f>1.225 * (1 - 0.00000687559 * B2283) ^ 4.2561</f>
        <v>0.90462252368600637</v>
      </c>
      <c r="D2283">
        <f>E2283*(SQRT($C$2/C2283))</f>
        <v>256.01005727719473</v>
      </c>
      <c r="E2283">
        <v>220</v>
      </c>
      <c r="F2283">
        <v>1215</v>
      </c>
      <c r="G2283">
        <v>2750</v>
      </c>
      <c r="H2283">
        <f>CONVERT(G2283,"HP","kW")</f>
        <v>2050.6746468512433</v>
      </c>
      <c r="I2283">
        <v>0.8831</v>
      </c>
      <c r="J2283">
        <v>1.6414</v>
      </c>
      <c r="K2283">
        <v>0.66990000000000005</v>
      </c>
      <c r="L2283">
        <v>0.27939999999999998</v>
      </c>
      <c r="M2283">
        <v>0.15029999999999999</v>
      </c>
      <c r="N2283">
        <f>CONVERT(O2283,"lbf","N")</f>
        <v>13750.342657093257</v>
      </c>
      <c r="O2283">
        <v>3091.2</v>
      </c>
      <c r="P2283">
        <f t="shared" si="35"/>
        <v>0.53793843951324261</v>
      </c>
    </row>
    <row r="2284" spans="1:16" hidden="1" x14ac:dyDescent="0.25">
      <c r="A2284">
        <v>0</v>
      </c>
      <c r="B2284">
        <v>10000</v>
      </c>
      <c r="C2284">
        <f>1.225 * (1 - 0.00000687559 * B2284) ^ 4.2561</f>
        <v>0.90462252368600637</v>
      </c>
      <c r="D2284">
        <f>E2284*(SQRT($C$2/C2284))</f>
        <v>279.28369884784883</v>
      </c>
      <c r="E2284">
        <v>240</v>
      </c>
      <c r="F2284">
        <v>1215</v>
      </c>
      <c r="G2284">
        <v>2750</v>
      </c>
      <c r="H2284">
        <f>CONVERT(G2284,"HP","kW")</f>
        <v>2050.6746468512433</v>
      </c>
      <c r="I2284">
        <v>0.89049999999999996</v>
      </c>
      <c r="J2284">
        <v>1.7906</v>
      </c>
      <c r="K2284">
        <v>0.69240000000000002</v>
      </c>
      <c r="L2284">
        <v>0.27939999999999998</v>
      </c>
      <c r="M2284">
        <v>0.13900000000000001</v>
      </c>
      <c r="N2284">
        <f>CONVERT(O2284,"lbf","N")</f>
        <v>12710.348443445353</v>
      </c>
      <c r="O2284">
        <v>2857.4</v>
      </c>
      <c r="P2284">
        <f t="shared" si="35"/>
        <v>0.49749463135289912</v>
      </c>
    </row>
    <row r="2285" spans="1:16" hidden="1" x14ac:dyDescent="0.25">
      <c r="A2285">
        <v>0</v>
      </c>
      <c r="B2285">
        <v>10000</v>
      </c>
      <c r="C2285">
        <f>1.225 * (1 - 0.00000687559 * B2285) ^ 4.2561</f>
        <v>0.90462252368600637</v>
      </c>
      <c r="D2285">
        <f>E2285*(SQRT($C$2/C2285))</f>
        <v>302.55734041850286</v>
      </c>
      <c r="E2285">
        <v>260</v>
      </c>
      <c r="F2285">
        <v>1215</v>
      </c>
      <c r="G2285">
        <v>2750</v>
      </c>
      <c r="H2285">
        <f>CONVERT(G2285,"HP","kW")</f>
        <v>2050.6746468512433</v>
      </c>
      <c r="I2285">
        <v>0.88949999999999996</v>
      </c>
      <c r="J2285">
        <v>1.9398</v>
      </c>
      <c r="K2285">
        <v>0.71609999999999996</v>
      </c>
      <c r="L2285">
        <v>0.27939999999999998</v>
      </c>
      <c r="M2285">
        <v>0.12809999999999999</v>
      </c>
      <c r="N2285">
        <f>CONVERT(O2285,"lbf","N")</f>
        <v>11720.174311888366</v>
      </c>
      <c r="O2285">
        <v>2634.8</v>
      </c>
      <c r="P2285">
        <f t="shared" si="35"/>
        <v>0.45848246241947027</v>
      </c>
    </row>
    <row r="2286" spans="1:16" hidden="1" x14ac:dyDescent="0.25">
      <c r="A2286">
        <v>0</v>
      </c>
      <c r="B2286">
        <v>10000</v>
      </c>
      <c r="C2286">
        <f>1.225 * (1 - 0.00000687559 * B2286) ^ 4.2561</f>
        <v>0.90462252368600637</v>
      </c>
      <c r="D2286">
        <f>E2286*(SQRT($C$2/C2286))</f>
        <v>0</v>
      </c>
      <c r="E2286">
        <v>0</v>
      </c>
      <c r="F2286">
        <v>1215</v>
      </c>
      <c r="G2286">
        <v>2750</v>
      </c>
      <c r="H2286">
        <f>CONVERT(G2286,"HP","kW")</f>
        <v>2050.6746468512433</v>
      </c>
      <c r="I2286">
        <v>0</v>
      </c>
      <c r="J2286">
        <v>0</v>
      </c>
      <c r="K2286">
        <v>0.52200000000000002</v>
      </c>
      <c r="L2286">
        <v>0.27950000000000003</v>
      </c>
      <c r="M2286">
        <v>0.25919999999999999</v>
      </c>
      <c r="N2286">
        <f>CONVERT(O2286,"lbf","N")</f>
        <v>23695.231722331158</v>
      </c>
      <c r="O2286">
        <v>5326.9</v>
      </c>
      <c r="P2286">
        <f t="shared" si="35"/>
        <v>0.92737030411449006</v>
      </c>
    </row>
    <row r="2287" spans="1:16" hidden="1" x14ac:dyDescent="0.25">
      <c r="A2287">
        <v>0</v>
      </c>
      <c r="B2287">
        <v>10000</v>
      </c>
      <c r="C2287">
        <f>1.225 * (1 - 0.00000687559 * B2287) ^ 4.2561</f>
        <v>0.90462252368600637</v>
      </c>
      <c r="D2287">
        <f>E2287*(SQRT($C$2/C2287))</f>
        <v>23.273641570654068</v>
      </c>
      <c r="E2287">
        <v>20</v>
      </c>
      <c r="F2287">
        <v>1215</v>
      </c>
      <c r="G2287">
        <v>2750</v>
      </c>
      <c r="H2287">
        <f>CONVERT(G2287,"HP","kW")</f>
        <v>2050.6746468512433</v>
      </c>
      <c r="I2287">
        <v>0.14299999999999999</v>
      </c>
      <c r="J2287">
        <v>0.1492</v>
      </c>
      <c r="K2287">
        <v>0.52669999999999995</v>
      </c>
      <c r="L2287">
        <v>0.27950000000000003</v>
      </c>
      <c r="M2287">
        <v>0.26779999999999998</v>
      </c>
      <c r="N2287">
        <f>CONVERT(O2287,"lbf","N")</f>
        <v>24491.463391462785</v>
      </c>
      <c r="O2287">
        <v>5505.9</v>
      </c>
      <c r="P2287">
        <f t="shared" si="35"/>
        <v>0.95813953488372072</v>
      </c>
    </row>
    <row r="2288" spans="1:16" hidden="1" x14ac:dyDescent="0.25">
      <c r="A2288">
        <v>0</v>
      </c>
      <c r="B2288">
        <v>10000</v>
      </c>
      <c r="C2288">
        <f>1.225 * (1 - 0.00000687559 * B2288) ^ 4.2561</f>
        <v>0.90462252368600637</v>
      </c>
      <c r="D2288">
        <f>E2288*(SQRT($C$2/C2288))</f>
        <v>46.547283141308135</v>
      </c>
      <c r="E2288">
        <v>40</v>
      </c>
      <c r="F2288">
        <v>1215</v>
      </c>
      <c r="G2288">
        <v>2750</v>
      </c>
      <c r="H2288">
        <f>CONVERT(G2288,"HP","kW")</f>
        <v>2050.6746468512433</v>
      </c>
      <c r="I2288">
        <v>0.29849999999999999</v>
      </c>
      <c r="J2288">
        <v>0.2984</v>
      </c>
      <c r="K2288">
        <v>0.53290000000000004</v>
      </c>
      <c r="L2288">
        <v>0.27950000000000003</v>
      </c>
      <c r="M2288">
        <v>0.27950000000000003</v>
      </c>
      <c r="N2288">
        <f>CONVERT(O2288,"lbf","N")</f>
        <v>25563.929622902095</v>
      </c>
      <c r="O2288">
        <v>5747</v>
      </c>
      <c r="P2288">
        <f t="shared" si="35"/>
        <v>1</v>
      </c>
    </row>
    <row r="2289" spans="1:16" hidden="1" x14ac:dyDescent="0.25">
      <c r="A2289">
        <v>0</v>
      </c>
      <c r="B2289">
        <v>10000</v>
      </c>
      <c r="C2289">
        <f>1.225 * (1 - 0.00000687559 * B2289) ^ 4.2561</f>
        <v>0.90462252368600637</v>
      </c>
      <c r="D2289">
        <f>E2289*(SQRT($C$2/C2289))</f>
        <v>69.820924711962206</v>
      </c>
      <c r="E2289">
        <v>60</v>
      </c>
      <c r="F2289">
        <v>1215</v>
      </c>
      <c r="G2289">
        <v>2750</v>
      </c>
      <c r="H2289">
        <f>CONVERT(G2289,"HP","kW")</f>
        <v>2050.6746468512433</v>
      </c>
      <c r="I2289">
        <v>0.46550000000000002</v>
      </c>
      <c r="J2289">
        <v>0.4476</v>
      </c>
      <c r="K2289">
        <v>0.54079999999999995</v>
      </c>
      <c r="L2289">
        <v>0.27950000000000003</v>
      </c>
      <c r="M2289">
        <v>0.29060000000000002</v>
      </c>
      <c r="N2289">
        <f>CONVERT(O2289,"lbf","N")</f>
        <v>26574.120751727758</v>
      </c>
      <c r="O2289">
        <v>5974.1</v>
      </c>
      <c r="P2289">
        <f t="shared" si="35"/>
        <v>1.0397137745974956</v>
      </c>
    </row>
    <row r="2290" spans="1:16" hidden="1" x14ac:dyDescent="0.25">
      <c r="A2290">
        <v>0</v>
      </c>
      <c r="B2290">
        <v>10000</v>
      </c>
      <c r="C2290">
        <f>1.225 * (1 - 0.00000687559 * B2290) ^ 4.2561</f>
        <v>0.90462252368600637</v>
      </c>
      <c r="D2290">
        <f>E2290*(SQRT($C$2/C2290))</f>
        <v>116.36820785327033</v>
      </c>
      <c r="E2290">
        <v>100</v>
      </c>
      <c r="F2290">
        <v>1215</v>
      </c>
      <c r="G2290">
        <v>2750</v>
      </c>
      <c r="H2290">
        <f>CONVERT(G2290,"HP","kW")</f>
        <v>2050.6746468512433</v>
      </c>
      <c r="I2290">
        <v>0.69550000000000001</v>
      </c>
      <c r="J2290">
        <v>0.74609999999999999</v>
      </c>
      <c r="K2290">
        <v>0.56340000000000001</v>
      </c>
      <c r="L2290">
        <v>0.27950000000000003</v>
      </c>
      <c r="M2290">
        <v>0.26050000000000001</v>
      </c>
      <c r="N2290">
        <f>CONVERT(O2290,"lbf","N")</f>
        <v>23824.67497133524</v>
      </c>
      <c r="O2290">
        <v>5356</v>
      </c>
      <c r="P2290">
        <f t="shared" si="35"/>
        <v>0.93202146690518783</v>
      </c>
    </row>
    <row r="2291" spans="1:16" hidden="1" x14ac:dyDescent="0.25">
      <c r="A2291">
        <v>0</v>
      </c>
      <c r="B2291">
        <v>10000</v>
      </c>
      <c r="C2291">
        <f>1.225 * (1 - 0.00000687559 * B2291) ^ 4.2561</f>
        <v>0.90462252368600637</v>
      </c>
      <c r="D2291">
        <f>E2291*(SQRT($C$2/C2291))</f>
        <v>139.64184942392441</v>
      </c>
      <c r="E2291">
        <v>120</v>
      </c>
      <c r="F2291">
        <v>1215</v>
      </c>
      <c r="G2291">
        <v>2750</v>
      </c>
      <c r="H2291">
        <f>CONVERT(G2291,"HP","kW")</f>
        <v>2050.6746468512433</v>
      </c>
      <c r="I2291">
        <v>0.75580000000000003</v>
      </c>
      <c r="J2291">
        <v>0.89529999999999998</v>
      </c>
      <c r="K2291">
        <v>0.57740000000000002</v>
      </c>
      <c r="L2291">
        <v>0.27950000000000003</v>
      </c>
      <c r="M2291">
        <v>0.2359</v>
      </c>
      <c r="N2291">
        <f>CONVERT(O2291,"lbf","N")</f>
        <v>21574.764478336478</v>
      </c>
      <c r="O2291">
        <v>4850.2</v>
      </c>
      <c r="P2291">
        <f t="shared" si="35"/>
        <v>0.84400715563506257</v>
      </c>
    </row>
    <row r="2292" spans="1:16" hidden="1" x14ac:dyDescent="0.25">
      <c r="A2292">
        <v>0</v>
      </c>
      <c r="B2292">
        <v>0</v>
      </c>
      <c r="C2292">
        <f>1.225 * (1 - 0.00000687559 * B2292) ^ 4.2561</f>
        <v>1.2250000000000001</v>
      </c>
      <c r="D2292">
        <f>E2292*(SQRT($C$2/C2292))</f>
        <v>20</v>
      </c>
      <c r="E2292">
        <v>20</v>
      </c>
      <c r="F2292">
        <v>987</v>
      </c>
      <c r="G2292">
        <v>2000</v>
      </c>
      <c r="H2292">
        <f>CONVERT(G2292,"HP","kW")</f>
        <v>1491.3997431645405</v>
      </c>
      <c r="I2292">
        <v>0.15179999999999999</v>
      </c>
      <c r="J2292">
        <v>0.1578</v>
      </c>
      <c r="K2292">
        <v>0.41320000000000001</v>
      </c>
      <c r="L2292">
        <v>0.28000000000000003</v>
      </c>
      <c r="M2292">
        <v>0.26919999999999999</v>
      </c>
      <c r="N2292">
        <f>CONVERT(O2292,"lbf","N")</f>
        <v>21997.790353947756</v>
      </c>
      <c r="O2292">
        <v>4945.3</v>
      </c>
      <c r="P2292">
        <f t="shared" si="35"/>
        <v>0.9614285714285713</v>
      </c>
    </row>
    <row r="2293" spans="1:16" hidden="1" x14ac:dyDescent="0.25">
      <c r="A2293">
        <v>0</v>
      </c>
      <c r="B2293">
        <v>0</v>
      </c>
      <c r="C2293">
        <f>1.225 * (1 - 0.00000687559 * B2293) ^ 4.2561</f>
        <v>1.2250000000000001</v>
      </c>
      <c r="D2293">
        <f>E2293*(SQRT($C$2/C2293))</f>
        <v>40</v>
      </c>
      <c r="E2293">
        <v>40</v>
      </c>
      <c r="F2293">
        <v>987</v>
      </c>
      <c r="G2293">
        <v>2000</v>
      </c>
      <c r="H2293">
        <f>CONVERT(G2293,"HP","kW")</f>
        <v>1491.3997431645405</v>
      </c>
      <c r="I2293">
        <v>0.31850000000000001</v>
      </c>
      <c r="J2293">
        <v>0.31569999999999998</v>
      </c>
      <c r="K2293">
        <v>0.41839999999999999</v>
      </c>
      <c r="L2293">
        <v>0.28000000000000003</v>
      </c>
      <c r="M2293">
        <v>0.28239999999999998</v>
      </c>
      <c r="N2293">
        <f>CONVERT(O2293,"lbf","N")</f>
        <v>23080.932317263683</v>
      </c>
      <c r="O2293">
        <v>5188.8</v>
      </c>
      <c r="P2293">
        <f t="shared" si="35"/>
        <v>1.0085714285714285</v>
      </c>
    </row>
    <row r="2294" spans="1:16" hidden="1" x14ac:dyDescent="0.25">
      <c r="A2294">
        <v>0</v>
      </c>
      <c r="B2294">
        <v>0</v>
      </c>
      <c r="C2294">
        <f>1.225 * (1 - 0.00000687559 * B2294) ^ 4.2561</f>
        <v>1.2250000000000001</v>
      </c>
      <c r="D2294">
        <f>E2294*(SQRT($C$2/C2294))</f>
        <v>60</v>
      </c>
      <c r="E2294">
        <v>60</v>
      </c>
      <c r="F2294">
        <v>987</v>
      </c>
      <c r="G2294">
        <v>2000</v>
      </c>
      <c r="H2294">
        <f>CONVERT(G2294,"HP","kW")</f>
        <v>1491.3997431645405</v>
      </c>
      <c r="I2294">
        <v>0.49630000000000002</v>
      </c>
      <c r="J2294">
        <v>0.47349999999999998</v>
      </c>
      <c r="K2294">
        <v>0.42520000000000002</v>
      </c>
      <c r="L2294">
        <v>0.28000000000000003</v>
      </c>
      <c r="M2294">
        <v>0.29339999999999999</v>
      </c>
      <c r="N2294">
        <f>CONVERT(O2294,"lbf","N")</f>
        <v>23979.028261384778</v>
      </c>
      <c r="O2294">
        <v>5390.7</v>
      </c>
      <c r="P2294">
        <f t="shared" si="35"/>
        <v>1.0478571428571428</v>
      </c>
    </row>
    <row r="2295" spans="1:16" hidden="1" x14ac:dyDescent="0.25">
      <c r="A2295">
        <v>0</v>
      </c>
      <c r="B2295">
        <v>0</v>
      </c>
      <c r="C2295">
        <f>1.225 * (1 - 0.00000687559 * B2295) ^ 4.2561</f>
        <v>1.2250000000000001</v>
      </c>
      <c r="D2295">
        <f>E2295*(SQRT($C$2/C2295))</f>
        <v>100</v>
      </c>
      <c r="E2295">
        <v>100</v>
      </c>
      <c r="F2295">
        <v>987</v>
      </c>
      <c r="G2295">
        <v>2000</v>
      </c>
      <c r="H2295">
        <f>CONVERT(G2295,"HP","kW")</f>
        <v>1491.3997431645405</v>
      </c>
      <c r="I2295">
        <v>0.71719999999999995</v>
      </c>
      <c r="J2295">
        <v>0.78920000000000001</v>
      </c>
      <c r="K2295">
        <v>0.44469999999999998</v>
      </c>
      <c r="L2295">
        <v>0.28000000000000003</v>
      </c>
      <c r="M2295">
        <v>0.25440000000000002</v>
      </c>
      <c r="N2295">
        <f>CONVERT(O2295,"lbf","N")</f>
        <v>20792.767118373678</v>
      </c>
      <c r="O2295">
        <v>4674.3999999999996</v>
      </c>
      <c r="P2295">
        <f t="shared" si="35"/>
        <v>0.90857142857142859</v>
      </c>
    </row>
    <row r="2296" spans="1:16" hidden="1" x14ac:dyDescent="0.25">
      <c r="A2296">
        <v>0</v>
      </c>
      <c r="B2296">
        <v>0</v>
      </c>
      <c r="C2296">
        <f>1.225 * (1 - 0.00000687559 * B2296) ^ 4.2561</f>
        <v>1.2250000000000001</v>
      </c>
      <c r="D2296">
        <f>E2296*(SQRT($C$2/C2296))</f>
        <v>120</v>
      </c>
      <c r="E2296">
        <v>120</v>
      </c>
      <c r="F2296">
        <v>987</v>
      </c>
      <c r="G2296">
        <v>2000</v>
      </c>
      <c r="H2296">
        <f>CONVERT(G2296,"HP","kW")</f>
        <v>1491.3997431645405</v>
      </c>
      <c r="I2296">
        <v>0.77490000000000003</v>
      </c>
      <c r="J2296">
        <v>0.94710000000000005</v>
      </c>
      <c r="K2296">
        <v>0.45669999999999999</v>
      </c>
      <c r="L2296">
        <v>0.28000000000000003</v>
      </c>
      <c r="M2296">
        <v>0.2291</v>
      </c>
      <c r="N2296">
        <f>CONVERT(O2296,"lbf","N")</f>
        <v>18720.785489985341</v>
      </c>
      <c r="O2296">
        <v>4208.6000000000004</v>
      </c>
      <c r="P2296">
        <f t="shared" si="35"/>
        <v>0.81821428571428567</v>
      </c>
    </row>
    <row r="2297" spans="1:16" hidden="1" x14ac:dyDescent="0.25">
      <c r="A2297">
        <v>0</v>
      </c>
      <c r="B2297">
        <v>0</v>
      </c>
      <c r="C2297">
        <f>1.225 * (1 - 0.00000687559 * B2297) ^ 4.2561</f>
        <v>1.2250000000000001</v>
      </c>
      <c r="D2297">
        <f>E2297*(SQRT($C$2/C2297))</f>
        <v>140</v>
      </c>
      <c r="E2297">
        <v>140</v>
      </c>
      <c r="F2297">
        <v>987</v>
      </c>
      <c r="G2297">
        <v>2000</v>
      </c>
      <c r="H2297">
        <f>CONVERT(G2297,"HP","kW")</f>
        <v>1491.3997431645405</v>
      </c>
      <c r="I2297">
        <v>0.81610000000000005</v>
      </c>
      <c r="J2297">
        <v>1.1049</v>
      </c>
      <c r="K2297">
        <v>0.47010000000000002</v>
      </c>
      <c r="L2297">
        <v>0.28000000000000003</v>
      </c>
      <c r="M2297">
        <v>0.20680000000000001</v>
      </c>
      <c r="N2297">
        <f>CONVERT(O2297,"lbf","N")</f>
        <v>16898.349094213114</v>
      </c>
      <c r="O2297">
        <v>3798.9</v>
      </c>
      <c r="P2297">
        <f t="shared" si="35"/>
        <v>0.73857142857142855</v>
      </c>
    </row>
    <row r="2298" spans="1:16" hidden="1" x14ac:dyDescent="0.25">
      <c r="A2298">
        <v>0</v>
      </c>
      <c r="B2298">
        <v>0</v>
      </c>
      <c r="C2298">
        <f>1.225 * (1 - 0.00000687559 * B2298) ^ 4.2561</f>
        <v>1.2250000000000001</v>
      </c>
      <c r="D2298">
        <f>E2298*(SQRT($C$2/C2298))</f>
        <v>160</v>
      </c>
      <c r="E2298">
        <v>160</v>
      </c>
      <c r="F2298">
        <v>987</v>
      </c>
      <c r="G2298">
        <v>2000</v>
      </c>
      <c r="H2298">
        <f>CONVERT(G2298,"HP","kW")</f>
        <v>1491.3997431645405</v>
      </c>
      <c r="I2298">
        <v>0.84509999999999996</v>
      </c>
      <c r="J2298">
        <v>1.2627999999999999</v>
      </c>
      <c r="K2298">
        <v>0.48480000000000001</v>
      </c>
      <c r="L2298">
        <v>0.28000000000000003</v>
      </c>
      <c r="M2298">
        <v>0.18740000000000001</v>
      </c>
      <c r="N2298">
        <f>CONVERT(O2298,"lbf","N")</f>
        <v>15313.002910534273</v>
      </c>
      <c r="O2298">
        <v>3442.5</v>
      </c>
      <c r="P2298">
        <f t="shared" si="35"/>
        <v>0.66928571428571426</v>
      </c>
    </row>
    <row r="2299" spans="1:16" hidden="1" x14ac:dyDescent="0.25">
      <c r="A2299">
        <v>0</v>
      </c>
      <c r="B2299">
        <v>0</v>
      </c>
      <c r="C2299">
        <f>1.225 * (1 - 0.00000687559 * B2299) ^ 4.2561</f>
        <v>1.2250000000000001</v>
      </c>
      <c r="D2299">
        <f>E2299*(SQRT($C$2/C2299))</f>
        <v>180</v>
      </c>
      <c r="E2299">
        <v>180</v>
      </c>
      <c r="F2299">
        <v>987</v>
      </c>
      <c r="G2299">
        <v>2000</v>
      </c>
      <c r="H2299">
        <f>CONVERT(G2299,"HP","kW")</f>
        <v>1491.3997431645405</v>
      </c>
      <c r="I2299">
        <v>0.86550000000000005</v>
      </c>
      <c r="J2299">
        <v>1.4206000000000001</v>
      </c>
      <c r="K2299">
        <v>0.50080000000000002</v>
      </c>
      <c r="L2299">
        <v>0.28000000000000003</v>
      </c>
      <c r="M2299">
        <v>0.1706</v>
      </c>
      <c r="N2299">
        <f>CONVERT(O2299,"lbf","N")</f>
        <v>13939.392075741827</v>
      </c>
      <c r="O2299">
        <v>3133.7</v>
      </c>
      <c r="P2299">
        <f t="shared" si="35"/>
        <v>0.60928571428571421</v>
      </c>
    </row>
    <row r="2300" spans="1:16" hidden="1" x14ac:dyDescent="0.25">
      <c r="A2300">
        <v>0</v>
      </c>
      <c r="B2300">
        <v>0</v>
      </c>
      <c r="C2300">
        <f>1.225 * (1 - 0.00000687559 * B2300) ^ 4.2561</f>
        <v>1.2250000000000001</v>
      </c>
      <c r="D2300">
        <f>E2300*(SQRT($C$2/C2300))</f>
        <v>200</v>
      </c>
      <c r="E2300">
        <v>200</v>
      </c>
      <c r="F2300">
        <v>987</v>
      </c>
      <c r="G2300">
        <v>2000</v>
      </c>
      <c r="H2300">
        <f>CONVERT(G2300,"HP","kW")</f>
        <v>1491.3997431645405</v>
      </c>
      <c r="I2300">
        <v>0.87949999999999995</v>
      </c>
      <c r="J2300">
        <v>1.5785</v>
      </c>
      <c r="K2300">
        <v>0.51800000000000002</v>
      </c>
      <c r="L2300">
        <v>0.28000000000000003</v>
      </c>
      <c r="M2300">
        <v>0.156</v>
      </c>
      <c r="N2300">
        <f>CONVERT(O2300,"lbf","N")</f>
        <v>12748.603149336594</v>
      </c>
      <c r="O2300">
        <v>2866</v>
      </c>
      <c r="P2300">
        <f t="shared" si="35"/>
        <v>0.55714285714285705</v>
      </c>
    </row>
    <row r="2301" spans="1:16" hidden="1" x14ac:dyDescent="0.25">
      <c r="A2301">
        <v>0</v>
      </c>
      <c r="B2301">
        <v>0</v>
      </c>
      <c r="C2301">
        <f>1.225 * (1 - 0.00000687559 * B2301) ^ 4.2561</f>
        <v>1.2250000000000001</v>
      </c>
      <c r="D2301">
        <f>E2301*(SQRT($C$2/C2301))</f>
        <v>220</v>
      </c>
      <c r="E2301">
        <v>220</v>
      </c>
      <c r="F2301">
        <v>987</v>
      </c>
      <c r="G2301">
        <v>2000</v>
      </c>
      <c r="H2301">
        <f>CONVERT(G2301,"HP","kW")</f>
        <v>1491.3997431645405</v>
      </c>
      <c r="I2301">
        <v>0.88870000000000005</v>
      </c>
      <c r="J2301">
        <v>1.7363</v>
      </c>
      <c r="K2301">
        <v>0.5363</v>
      </c>
      <c r="L2301">
        <v>0.28000000000000003</v>
      </c>
      <c r="M2301">
        <v>0.14330000000000001</v>
      </c>
      <c r="N2301">
        <f>CONVERT(O2301,"lbf","N")</f>
        <v>11710.388224334793</v>
      </c>
      <c r="O2301">
        <v>2632.6</v>
      </c>
      <c r="P2301">
        <f t="shared" si="35"/>
        <v>0.51178571428571429</v>
      </c>
    </row>
    <row r="2302" spans="1:16" hidden="1" x14ac:dyDescent="0.25">
      <c r="A2302">
        <v>0</v>
      </c>
      <c r="B2302">
        <v>0</v>
      </c>
      <c r="C2302">
        <f>1.225 * (1 - 0.00000687559 * B2302) ^ 4.2561</f>
        <v>1.2250000000000001</v>
      </c>
      <c r="D2302">
        <f>E2302*(SQRT($C$2/C2302))</f>
        <v>240</v>
      </c>
      <c r="E2302">
        <v>240</v>
      </c>
      <c r="F2302">
        <v>987</v>
      </c>
      <c r="G2302">
        <v>2000</v>
      </c>
      <c r="H2302">
        <f>CONVERT(G2302,"HP","kW")</f>
        <v>1491.3997431645405</v>
      </c>
      <c r="I2302">
        <v>0.89400000000000002</v>
      </c>
      <c r="J2302">
        <v>1.8942000000000001</v>
      </c>
      <c r="K2302">
        <v>0.55559999999999998</v>
      </c>
      <c r="L2302">
        <v>0.28000000000000003</v>
      </c>
      <c r="M2302">
        <v>0.1321</v>
      </c>
      <c r="N2302">
        <f>CONVERT(O2302,"lbf","N")</f>
        <v>10798.502793206389</v>
      </c>
      <c r="O2302">
        <v>2427.6</v>
      </c>
      <c r="P2302">
        <f t="shared" si="35"/>
        <v>0.4717857142857142</v>
      </c>
    </row>
    <row r="2303" spans="1:16" hidden="1" x14ac:dyDescent="0.25">
      <c r="A2303">
        <v>0</v>
      </c>
      <c r="B2303">
        <v>0</v>
      </c>
      <c r="C2303">
        <f>1.225 * (1 - 0.00000687559 * B2303) ^ 4.2561</f>
        <v>1.2250000000000001</v>
      </c>
      <c r="D2303">
        <f>E2303*(SQRT($C$2/C2303))</f>
        <v>260</v>
      </c>
      <c r="E2303">
        <v>260</v>
      </c>
      <c r="F2303">
        <v>987</v>
      </c>
      <c r="G2303">
        <v>2000</v>
      </c>
      <c r="H2303">
        <f>CONVERT(G2303,"HP","kW")</f>
        <v>1491.3997431645405</v>
      </c>
      <c r="I2303">
        <v>0.89590000000000003</v>
      </c>
      <c r="J2303">
        <v>2.052</v>
      </c>
      <c r="K2303">
        <v>0.57589999999999997</v>
      </c>
      <c r="L2303">
        <v>0.28000000000000003</v>
      </c>
      <c r="M2303">
        <v>0.12230000000000001</v>
      </c>
      <c r="N2303">
        <f>CONVERT(O2303,"lbf","N")</f>
        <v>9989.8161035520316</v>
      </c>
      <c r="O2303">
        <v>2245.8000000000002</v>
      </c>
      <c r="P2303">
        <f t="shared" si="35"/>
        <v>0.43678571428571428</v>
      </c>
    </row>
    <row r="2304" spans="1:16" hidden="1" x14ac:dyDescent="0.25">
      <c r="A2304">
        <v>0</v>
      </c>
      <c r="B2304">
        <v>0</v>
      </c>
      <c r="C2304">
        <f>1.225 * (1 - 0.00000687559 * B2304) ^ 4.2561</f>
        <v>1.2250000000000001</v>
      </c>
      <c r="D2304">
        <f>E2304*(SQRT($C$2/C2304))</f>
        <v>0</v>
      </c>
      <c r="E2304">
        <v>0</v>
      </c>
      <c r="F2304">
        <v>987</v>
      </c>
      <c r="G2304">
        <v>2000</v>
      </c>
      <c r="H2304">
        <f>CONVERT(G2304,"HP","kW")</f>
        <v>1491.3997431645405</v>
      </c>
      <c r="I2304">
        <v>0</v>
      </c>
      <c r="J2304">
        <v>0</v>
      </c>
      <c r="K2304">
        <v>0.40920000000000001</v>
      </c>
      <c r="L2304">
        <v>0.2802</v>
      </c>
      <c r="M2304">
        <v>0.25890000000000002</v>
      </c>
      <c r="N2304">
        <f>CONVERT(O2304,"lbf","N")</f>
        <v>21140.173226525527</v>
      </c>
      <c r="O2304">
        <v>4752.5</v>
      </c>
      <c r="P2304">
        <f t="shared" si="35"/>
        <v>0.92398286937901508</v>
      </c>
    </row>
    <row r="2305" spans="1:16" hidden="1" x14ac:dyDescent="0.25">
      <c r="A2305">
        <v>0</v>
      </c>
      <c r="B2305">
        <v>0</v>
      </c>
      <c r="C2305">
        <f>1.225 * (1 - 0.00000687559 * B2305) ^ 4.2561</f>
        <v>1.2250000000000001</v>
      </c>
      <c r="D2305">
        <f>E2305*(SQRT($C$2/C2305))</f>
        <v>80</v>
      </c>
      <c r="E2305">
        <v>80</v>
      </c>
      <c r="F2305">
        <v>987</v>
      </c>
      <c r="G2305">
        <v>2000</v>
      </c>
      <c r="H2305">
        <f>CONVERT(G2305,"HP","kW")</f>
        <v>1491.3997431645405</v>
      </c>
      <c r="I2305">
        <v>0.63349999999999995</v>
      </c>
      <c r="J2305">
        <v>0.63139999999999996</v>
      </c>
      <c r="K2305">
        <v>0.43409999999999999</v>
      </c>
      <c r="L2305">
        <v>0.2802</v>
      </c>
      <c r="M2305">
        <v>0.28110000000000002</v>
      </c>
      <c r="N2305">
        <f>CONVERT(O2305,"lbf","N")</f>
        <v>22955.937289874862</v>
      </c>
      <c r="O2305">
        <v>5160.7</v>
      </c>
      <c r="P2305">
        <f t="shared" si="35"/>
        <v>1.0032119914346895</v>
      </c>
    </row>
    <row r="2306" spans="1:16" hidden="1" x14ac:dyDescent="0.25">
      <c r="A2306">
        <v>0</v>
      </c>
      <c r="B2306">
        <v>30000</v>
      </c>
      <c r="C2306">
        <f>1.225 * (1 - 0.00000687559 * B2306) ^ 4.2561</f>
        <v>0.45828836225470948</v>
      </c>
      <c r="D2306">
        <f>E2306*(SQRT($C$2/C2306))</f>
        <v>32.698559864506464</v>
      </c>
      <c r="E2306">
        <v>20</v>
      </c>
      <c r="F2306">
        <v>987</v>
      </c>
      <c r="G2306">
        <v>750</v>
      </c>
      <c r="H2306">
        <f>CONVERT(G2306,"HP","kW")</f>
        <v>559.27490368670271</v>
      </c>
      <c r="I2306">
        <v>0.25590000000000002</v>
      </c>
      <c r="J2306">
        <v>0.2581</v>
      </c>
      <c r="K2306">
        <v>0.46739999999999998</v>
      </c>
      <c r="L2306">
        <v>0.28060000000000002</v>
      </c>
      <c r="M2306">
        <v>0.2782</v>
      </c>
      <c r="N2306">
        <f>CONVERT(O2306,"lbf","N")</f>
        <v>8507.2238391857063</v>
      </c>
      <c r="O2306">
        <v>1912.5</v>
      </c>
      <c r="P2306">
        <f t="shared" si="35"/>
        <v>0.99144689950106912</v>
      </c>
    </row>
    <row r="2307" spans="1:16" hidden="1" x14ac:dyDescent="0.25">
      <c r="A2307">
        <v>0</v>
      </c>
      <c r="B2307">
        <v>30000</v>
      </c>
      <c r="C2307">
        <f>1.225 * (1 - 0.00000687559 * B2307) ^ 4.2561</f>
        <v>0.45828836225470948</v>
      </c>
      <c r="D2307">
        <f>E2307*(SQRT($C$2/C2307))</f>
        <v>65.397119729012928</v>
      </c>
      <c r="E2307">
        <v>40</v>
      </c>
      <c r="F2307">
        <v>987</v>
      </c>
      <c r="G2307">
        <v>750</v>
      </c>
      <c r="H2307">
        <f>CONVERT(G2307,"HP","kW")</f>
        <v>559.27490368670271</v>
      </c>
      <c r="I2307">
        <v>0.53720000000000001</v>
      </c>
      <c r="J2307">
        <v>0.5161</v>
      </c>
      <c r="K2307">
        <v>0.4798</v>
      </c>
      <c r="L2307">
        <v>0.28060000000000002</v>
      </c>
      <c r="M2307">
        <v>0.29199999999999998</v>
      </c>
      <c r="N2307">
        <f>CONVERT(O2307,"lbf","N")</f>
        <v>8929.8048926354531</v>
      </c>
      <c r="O2307">
        <v>2007.5</v>
      </c>
      <c r="P2307">
        <f t="shared" ref="P2307:P2370" si="36">M2307/L2307</f>
        <v>1.0406272273699215</v>
      </c>
    </row>
    <row r="2308" spans="1:16" hidden="1" x14ac:dyDescent="0.25">
      <c r="A2308">
        <v>0</v>
      </c>
      <c r="B2308">
        <v>30000</v>
      </c>
      <c r="C2308">
        <f>1.225 * (1 - 0.00000687559 * B2308) ^ 4.2561</f>
        <v>0.45828836225470948</v>
      </c>
      <c r="D2308">
        <f>E2308*(SQRT($C$2/C2308))</f>
        <v>130.79423945802586</v>
      </c>
      <c r="E2308">
        <v>80</v>
      </c>
      <c r="F2308">
        <v>987</v>
      </c>
      <c r="G2308">
        <v>750</v>
      </c>
      <c r="H2308">
        <f>CONVERT(G2308,"HP","kW")</f>
        <v>559.27490368670271</v>
      </c>
      <c r="I2308">
        <v>0.79830000000000001</v>
      </c>
      <c r="J2308">
        <v>1.0323</v>
      </c>
      <c r="K2308">
        <v>0.52049999999999996</v>
      </c>
      <c r="L2308">
        <v>0.28060000000000002</v>
      </c>
      <c r="M2308">
        <v>0.217</v>
      </c>
      <c r="N2308">
        <f>CONVERT(O2308,"lbf","N")</f>
        <v>6635.412183484088</v>
      </c>
      <c r="O2308">
        <v>1491.7</v>
      </c>
      <c r="P2308">
        <f t="shared" si="36"/>
        <v>0.77334283677833204</v>
      </c>
    </row>
    <row r="2309" spans="1:16" hidden="1" x14ac:dyDescent="0.25">
      <c r="A2309">
        <v>0</v>
      </c>
      <c r="B2309">
        <v>30000</v>
      </c>
      <c r="C2309">
        <f>1.225 * (1 - 0.00000687559 * B2309) ^ 4.2561</f>
        <v>0.45828836225470948</v>
      </c>
      <c r="D2309">
        <f>E2309*(SQRT($C$2/C2309))</f>
        <v>163.49279932253233</v>
      </c>
      <c r="E2309">
        <v>100</v>
      </c>
      <c r="F2309">
        <v>987</v>
      </c>
      <c r="G2309">
        <v>750</v>
      </c>
      <c r="H2309">
        <f>CONVERT(G2309,"HP","kW")</f>
        <v>559.27490368670271</v>
      </c>
      <c r="I2309">
        <v>0.8488</v>
      </c>
      <c r="J2309">
        <v>1.2903</v>
      </c>
      <c r="K2309">
        <v>0.54710000000000003</v>
      </c>
      <c r="L2309">
        <v>0.28060000000000002</v>
      </c>
      <c r="M2309">
        <v>0.18459999999999999</v>
      </c>
      <c r="N2309">
        <f>CONVERT(O2309,"lbf","N")</f>
        <v>5644.3484076040495</v>
      </c>
      <c r="O2309">
        <v>1268.9000000000001</v>
      </c>
      <c r="P2309">
        <f t="shared" si="36"/>
        <v>0.65787598004276537</v>
      </c>
    </row>
    <row r="2310" spans="1:16" hidden="1" x14ac:dyDescent="0.25">
      <c r="A2310">
        <v>0</v>
      </c>
      <c r="B2310">
        <v>30000</v>
      </c>
      <c r="C2310">
        <f>1.225 * (1 - 0.00000687559 * B2310) ^ 4.2561</f>
        <v>0.45828836225470948</v>
      </c>
      <c r="D2310">
        <f>E2310*(SQRT($C$2/C2310))</f>
        <v>196.19135918703881</v>
      </c>
      <c r="E2310">
        <v>120</v>
      </c>
      <c r="F2310">
        <v>987</v>
      </c>
      <c r="G2310">
        <v>750</v>
      </c>
      <c r="H2310">
        <f>CONVERT(G2310,"HP","kW")</f>
        <v>559.27490368670271</v>
      </c>
      <c r="I2310">
        <v>0.87709999999999999</v>
      </c>
      <c r="J2310">
        <v>1.5484</v>
      </c>
      <c r="K2310">
        <v>0.5776</v>
      </c>
      <c r="L2310">
        <v>0.28060000000000002</v>
      </c>
      <c r="M2310">
        <v>0.159</v>
      </c>
      <c r="N2310">
        <f>CONVERT(O2310,"lbf","N")</f>
        <v>4860.1269368336216</v>
      </c>
      <c r="O2310">
        <v>1092.5999999999999</v>
      </c>
      <c r="P2310">
        <f t="shared" si="36"/>
        <v>0.56664290805416961</v>
      </c>
    </row>
    <row r="2311" spans="1:16" hidden="1" x14ac:dyDescent="0.25">
      <c r="A2311">
        <v>0</v>
      </c>
      <c r="B2311">
        <v>30000</v>
      </c>
      <c r="C2311">
        <f>1.225 * (1 - 0.00000687559 * B2311) ^ 4.2561</f>
        <v>0.45828836225470948</v>
      </c>
      <c r="D2311">
        <f>E2311*(SQRT($C$2/C2311))</f>
        <v>228.88991905154526</v>
      </c>
      <c r="E2311">
        <v>140</v>
      </c>
      <c r="F2311">
        <v>987</v>
      </c>
      <c r="G2311">
        <v>750</v>
      </c>
      <c r="H2311">
        <f>CONVERT(G2311,"HP","kW")</f>
        <v>559.27490368670271</v>
      </c>
      <c r="I2311">
        <v>0.89149999999999996</v>
      </c>
      <c r="J2311">
        <v>1.8065</v>
      </c>
      <c r="K2311">
        <v>0.61150000000000004</v>
      </c>
      <c r="L2311">
        <v>0.28060000000000002</v>
      </c>
      <c r="M2311">
        <v>0.13850000000000001</v>
      </c>
      <c r="N2311">
        <f>CONVERT(O2311,"lbf","N")</f>
        <v>4234.26215556647</v>
      </c>
      <c r="O2311">
        <v>951.9</v>
      </c>
      <c r="P2311">
        <f t="shared" si="36"/>
        <v>0.49358517462580187</v>
      </c>
    </row>
    <row r="2312" spans="1:16" hidden="1" x14ac:dyDescent="0.25">
      <c r="A2312">
        <v>0</v>
      </c>
      <c r="B2312">
        <v>30000</v>
      </c>
      <c r="C2312">
        <f>1.225 * (1 - 0.00000687559 * B2312) ^ 4.2561</f>
        <v>0.45828836225470948</v>
      </c>
      <c r="D2312">
        <f>E2312*(SQRT($C$2/C2312))</f>
        <v>261.58847891605171</v>
      </c>
      <c r="E2312">
        <v>160</v>
      </c>
      <c r="F2312">
        <v>987</v>
      </c>
      <c r="G2312">
        <v>750</v>
      </c>
      <c r="H2312">
        <f>CONVERT(G2312,"HP","kW")</f>
        <v>559.27490368670271</v>
      </c>
      <c r="I2312">
        <v>0.89610000000000001</v>
      </c>
      <c r="J2312">
        <v>2.0644999999999998</v>
      </c>
      <c r="K2312">
        <v>0.6482</v>
      </c>
      <c r="L2312">
        <v>0.28060000000000002</v>
      </c>
      <c r="M2312">
        <v>0.12180000000000001</v>
      </c>
      <c r="N2312">
        <f>CONVERT(O2312,"lbf","N")</f>
        <v>3724.4959584576168</v>
      </c>
      <c r="O2312">
        <v>837.3</v>
      </c>
      <c r="P2312">
        <f t="shared" si="36"/>
        <v>0.43406985032074125</v>
      </c>
    </row>
    <row r="2313" spans="1:16" hidden="1" x14ac:dyDescent="0.25">
      <c r="A2313">
        <v>0</v>
      </c>
      <c r="B2313">
        <v>30000</v>
      </c>
      <c r="C2313">
        <f>1.225 * (1 - 0.00000687559 * B2313) ^ 4.2561</f>
        <v>0.45828836225470948</v>
      </c>
      <c r="D2313">
        <f>E2313*(SQRT($C$2/C2313))</f>
        <v>294.28703878055819</v>
      </c>
      <c r="E2313">
        <v>180</v>
      </c>
      <c r="F2313">
        <v>987</v>
      </c>
      <c r="G2313">
        <v>750</v>
      </c>
      <c r="H2313">
        <f>CONVERT(G2313,"HP","kW")</f>
        <v>559.27490368670271</v>
      </c>
      <c r="I2313">
        <v>0.88980000000000004</v>
      </c>
      <c r="J2313">
        <v>2.3226</v>
      </c>
      <c r="K2313">
        <v>0.6875</v>
      </c>
      <c r="L2313">
        <v>0.28060000000000002</v>
      </c>
      <c r="M2313">
        <v>0.1075</v>
      </c>
      <c r="N2313">
        <f>CONVERT(O2313,"lbf","N")</f>
        <v>3287.2357736775093</v>
      </c>
      <c r="O2313">
        <v>739</v>
      </c>
      <c r="P2313">
        <f t="shared" si="36"/>
        <v>0.3831076265146115</v>
      </c>
    </row>
    <row r="2314" spans="1:16" hidden="1" x14ac:dyDescent="0.25">
      <c r="A2314">
        <v>0</v>
      </c>
      <c r="B2314">
        <v>30000</v>
      </c>
      <c r="C2314">
        <f>1.225 * (1 - 0.00000687559 * B2314) ^ 4.2561</f>
        <v>0.45828836225470948</v>
      </c>
      <c r="D2314">
        <f>E2314*(SQRT($C$2/C2314))</f>
        <v>326.98559864506467</v>
      </c>
      <c r="E2314">
        <v>200</v>
      </c>
      <c r="F2314">
        <v>987</v>
      </c>
      <c r="G2314">
        <v>750</v>
      </c>
      <c r="H2314">
        <f>CONVERT(G2314,"HP","kW")</f>
        <v>559.27490368670271</v>
      </c>
      <c r="I2314">
        <v>0.85270000000000001</v>
      </c>
      <c r="J2314">
        <v>2.5807000000000002</v>
      </c>
      <c r="K2314">
        <v>0.72889999999999999</v>
      </c>
      <c r="L2314">
        <v>0.28060000000000002</v>
      </c>
      <c r="M2314">
        <v>9.2700000000000005E-2</v>
      </c>
      <c r="N2314">
        <f>CONVERT(O2314,"lbf","N")</f>
        <v>2835.2964575670426</v>
      </c>
      <c r="O2314">
        <v>637.4</v>
      </c>
      <c r="P2314">
        <f t="shared" si="36"/>
        <v>0.33036350677120457</v>
      </c>
    </row>
    <row r="2315" spans="1:16" hidden="1" x14ac:dyDescent="0.25">
      <c r="A2315">
        <v>0</v>
      </c>
      <c r="B2315">
        <v>30000</v>
      </c>
      <c r="C2315">
        <f>1.225 * (1 - 0.00000687559 * B2315) ^ 4.2561</f>
        <v>0.45828836225470948</v>
      </c>
      <c r="D2315">
        <f>E2315*(SQRT($C$2/C2315))</f>
        <v>392.38271837407763</v>
      </c>
      <c r="E2315">
        <v>240</v>
      </c>
      <c r="F2315">
        <v>987</v>
      </c>
      <c r="G2315">
        <v>750</v>
      </c>
      <c r="H2315">
        <f>CONVERT(G2315,"HP","kW")</f>
        <v>559.27490368670271</v>
      </c>
      <c r="I2315">
        <v>0.46050000000000002</v>
      </c>
      <c r="J2315">
        <v>3.0968</v>
      </c>
      <c r="K2315">
        <v>0.81659999999999999</v>
      </c>
      <c r="L2315">
        <v>0.28060000000000002</v>
      </c>
      <c r="M2315">
        <v>4.1700000000000001E-2</v>
      </c>
      <c r="N2315">
        <f>CONVERT(O2315,"lbf","N")</f>
        <v>1275.7499592567115</v>
      </c>
      <c r="O2315">
        <v>286.8</v>
      </c>
      <c r="P2315">
        <f t="shared" si="36"/>
        <v>0.14861012116892372</v>
      </c>
    </row>
    <row r="2316" spans="1:16" hidden="1" x14ac:dyDescent="0.25">
      <c r="A2316">
        <v>0</v>
      </c>
      <c r="B2316">
        <v>30000</v>
      </c>
      <c r="C2316">
        <f>1.225 * (1 - 0.00000687559 * B2316) ^ 4.2561</f>
        <v>0.45828836225470948</v>
      </c>
      <c r="D2316">
        <f>E2316*(SQRT($C$2/C2316))</f>
        <v>0</v>
      </c>
      <c r="E2316">
        <v>0</v>
      </c>
      <c r="F2316">
        <v>987</v>
      </c>
      <c r="G2316">
        <v>750</v>
      </c>
      <c r="H2316">
        <f>CONVERT(G2316,"HP","kW")</f>
        <v>559.27490368670271</v>
      </c>
      <c r="I2316">
        <v>0</v>
      </c>
      <c r="J2316">
        <v>0</v>
      </c>
      <c r="K2316">
        <v>0.45950000000000002</v>
      </c>
      <c r="L2316">
        <v>0.28070000000000001</v>
      </c>
      <c r="M2316">
        <v>0.2601</v>
      </c>
      <c r="N2316">
        <f>CONVERT(O2316,"lbf","N")</f>
        <v>7949.4168486320386</v>
      </c>
      <c r="O2316">
        <v>1787.1</v>
      </c>
      <c r="P2316">
        <f t="shared" si="36"/>
        <v>0.92661204132525821</v>
      </c>
    </row>
    <row r="2317" spans="1:16" hidden="1" x14ac:dyDescent="0.25">
      <c r="A2317">
        <v>0</v>
      </c>
      <c r="B2317">
        <v>30000</v>
      </c>
      <c r="C2317">
        <f>1.225 * (1 - 0.00000687559 * B2317) ^ 4.2561</f>
        <v>0.45828836225470948</v>
      </c>
      <c r="D2317">
        <f>E2317*(SQRT($C$2/C2317))</f>
        <v>98.095679593519407</v>
      </c>
      <c r="E2317">
        <v>60</v>
      </c>
      <c r="F2317">
        <v>987</v>
      </c>
      <c r="G2317">
        <v>750</v>
      </c>
      <c r="H2317">
        <f>CONVERT(G2317,"HP","kW")</f>
        <v>559.27490368670271</v>
      </c>
      <c r="I2317">
        <v>0.70979999999999999</v>
      </c>
      <c r="J2317">
        <v>0.7742</v>
      </c>
      <c r="K2317">
        <v>0.498</v>
      </c>
      <c r="L2317">
        <v>0.28070000000000001</v>
      </c>
      <c r="M2317">
        <v>0.25729999999999997</v>
      </c>
      <c r="N2317">
        <f>CONVERT(O2317,"lbf","N")</f>
        <v>7866.6799265881946</v>
      </c>
      <c r="O2317">
        <v>1768.5</v>
      </c>
      <c r="P2317">
        <f t="shared" si="36"/>
        <v>0.91663697898111851</v>
      </c>
    </row>
    <row r="2318" spans="1:16" hidden="1" x14ac:dyDescent="0.25">
      <c r="A2318">
        <v>0</v>
      </c>
      <c r="B2318">
        <v>30000</v>
      </c>
      <c r="C2318">
        <f>1.225 * (1 - 0.00000687559 * B2318) ^ 4.2561</f>
        <v>0.45828836225470948</v>
      </c>
      <c r="D2318">
        <f>E2318*(SQRT($C$2/C2318))</f>
        <v>359.68415850957115</v>
      </c>
      <c r="E2318">
        <v>220</v>
      </c>
      <c r="F2318">
        <v>987</v>
      </c>
      <c r="G2318">
        <v>750</v>
      </c>
      <c r="H2318">
        <f>CONVERT(G2318,"HP","kW")</f>
        <v>559.27490368670271</v>
      </c>
      <c r="I2318">
        <v>0.72889999999999999</v>
      </c>
      <c r="J2318">
        <v>2.8386999999999998</v>
      </c>
      <c r="K2318">
        <v>0.77200000000000002</v>
      </c>
      <c r="L2318">
        <v>0.28070000000000001</v>
      </c>
      <c r="M2318">
        <v>7.2099999999999997E-2</v>
      </c>
      <c r="N2318">
        <f>CONVERT(O2318,"lbf","N")</f>
        <v>2203.2041660385257</v>
      </c>
      <c r="O2318">
        <v>495.3</v>
      </c>
      <c r="P2318">
        <f t="shared" si="36"/>
        <v>0.256857855361596</v>
      </c>
    </row>
    <row r="2319" spans="1:16" hidden="1" x14ac:dyDescent="0.25">
      <c r="A2319">
        <v>0</v>
      </c>
      <c r="B2319">
        <v>30000</v>
      </c>
      <c r="C2319">
        <f>1.225 * (1 - 0.00000687559 * B2319) ^ 4.2561</f>
        <v>0.45828836225470948</v>
      </c>
      <c r="D2319">
        <f>E2319*(SQRT($C$2/C2319))</f>
        <v>425.08127823858405</v>
      </c>
      <c r="E2319">
        <v>260</v>
      </c>
      <c r="F2319">
        <v>987</v>
      </c>
      <c r="G2319">
        <v>750</v>
      </c>
      <c r="H2319">
        <f>CONVERT(G2319,"HP","kW")</f>
        <v>559.27490368670271</v>
      </c>
      <c r="I2319">
        <v>-4.3999999999999997E-2</v>
      </c>
      <c r="J2319">
        <v>3.3548</v>
      </c>
      <c r="K2319">
        <v>0.86240000000000006</v>
      </c>
      <c r="L2319">
        <v>0.28070000000000001</v>
      </c>
      <c r="M2319">
        <v>-3.7000000000000002E-3</v>
      </c>
      <c r="N2319">
        <f>CONVERT(O2319,"lbf","N")</f>
        <v>-112.54000686609065</v>
      </c>
      <c r="O2319">
        <v>-25.3</v>
      </c>
      <c r="P2319">
        <f t="shared" si="36"/>
        <v>-1.3181332383327396E-2</v>
      </c>
    </row>
    <row r="2320" spans="1:16" hidden="1" x14ac:dyDescent="0.25">
      <c r="A2320">
        <v>0</v>
      </c>
      <c r="B2320">
        <v>15000</v>
      </c>
      <c r="C2320">
        <f>1.225 * (1 - 0.00000687559 * B2320) ^ 4.2561</f>
        <v>0.77079726910167001</v>
      </c>
      <c r="D2320">
        <f>E2320*(SQRT($C$2/C2320))</f>
        <v>100.85279711013223</v>
      </c>
      <c r="E2320">
        <v>80</v>
      </c>
      <c r="F2320">
        <v>1150</v>
      </c>
      <c r="G2320">
        <v>2000</v>
      </c>
      <c r="H2320">
        <f>CONVERT(G2320,"HP","kW")</f>
        <v>1491.3997431645405</v>
      </c>
      <c r="I2320">
        <v>0.66200000000000003</v>
      </c>
      <c r="J2320">
        <v>0.68310000000000004</v>
      </c>
      <c r="K2320">
        <v>0.53820000000000001</v>
      </c>
      <c r="L2320">
        <v>0.28120000000000001</v>
      </c>
      <c r="M2320">
        <v>0.27250000000000002</v>
      </c>
      <c r="N2320">
        <f>CONVERT(O2320,"lbf","N")</f>
        <v>19028.602425761368</v>
      </c>
      <c r="O2320">
        <v>4277.8</v>
      </c>
      <c r="P2320">
        <f t="shared" si="36"/>
        <v>0.96906116642958751</v>
      </c>
    </row>
    <row r="2321" spans="1:16" hidden="1" x14ac:dyDescent="0.25">
      <c r="A2321">
        <v>0</v>
      </c>
      <c r="B2321">
        <v>15000</v>
      </c>
      <c r="C2321">
        <f>1.225 * (1 - 0.00000687559 * B2321) ^ 4.2561</f>
        <v>0.77079726910167001</v>
      </c>
      <c r="D2321">
        <f>E2321*(SQRT($C$2/C2321))</f>
        <v>151.27919566519836</v>
      </c>
      <c r="E2321">
        <v>120</v>
      </c>
      <c r="F2321">
        <v>1150</v>
      </c>
      <c r="G2321">
        <v>2000</v>
      </c>
      <c r="H2321">
        <f>CONVERT(G2321,"HP","kW")</f>
        <v>1491.3997431645405</v>
      </c>
      <c r="I2321">
        <v>0.79459999999999997</v>
      </c>
      <c r="J2321">
        <v>1.0246999999999999</v>
      </c>
      <c r="K2321">
        <v>0.56969999999999998</v>
      </c>
      <c r="L2321">
        <v>0.28120000000000001</v>
      </c>
      <c r="M2321">
        <v>0.218</v>
      </c>
      <c r="N2321">
        <f>CONVERT(O2321,"lbf","N")</f>
        <v>15227.152233359742</v>
      </c>
      <c r="O2321">
        <v>3423.2</v>
      </c>
      <c r="P2321">
        <f t="shared" si="36"/>
        <v>0.77524893314366994</v>
      </c>
    </row>
    <row r="2322" spans="1:16" hidden="1" x14ac:dyDescent="0.25">
      <c r="A2322">
        <v>0</v>
      </c>
      <c r="B2322">
        <v>15000</v>
      </c>
      <c r="C2322">
        <f>1.225 * (1 - 0.00000687559 * B2322) ^ 4.2561</f>
        <v>0.77079726910167001</v>
      </c>
      <c r="D2322">
        <f>E2322*(SQRT($C$2/C2322))</f>
        <v>176.49239494273141</v>
      </c>
      <c r="E2322">
        <v>140</v>
      </c>
      <c r="F2322">
        <v>1150</v>
      </c>
      <c r="G2322">
        <v>2000</v>
      </c>
      <c r="H2322">
        <f>CONVERT(G2322,"HP","kW")</f>
        <v>1491.3997431645405</v>
      </c>
      <c r="I2322">
        <v>0.83199999999999996</v>
      </c>
      <c r="J2322">
        <v>1.1955</v>
      </c>
      <c r="K2322">
        <v>0.58850000000000002</v>
      </c>
      <c r="L2322">
        <v>0.28120000000000001</v>
      </c>
      <c r="M2322">
        <v>0.19570000000000001</v>
      </c>
      <c r="N2322">
        <f>CONVERT(O2322,"lbf","N")</f>
        <v>13666.271268564835</v>
      </c>
      <c r="O2322">
        <v>3072.3</v>
      </c>
      <c r="P2322">
        <f t="shared" si="36"/>
        <v>0.69594594594594594</v>
      </c>
    </row>
    <row r="2323" spans="1:16" hidden="1" x14ac:dyDescent="0.25">
      <c r="A2323">
        <v>0</v>
      </c>
      <c r="B2323">
        <v>15000</v>
      </c>
      <c r="C2323">
        <f>1.225 * (1 - 0.00000687559 * B2323) ^ 4.2561</f>
        <v>0.77079726910167001</v>
      </c>
      <c r="D2323">
        <f>E2323*(SQRT($C$2/C2323))</f>
        <v>201.70559422026446</v>
      </c>
      <c r="E2323">
        <v>160</v>
      </c>
      <c r="F2323">
        <v>1150</v>
      </c>
      <c r="G2323">
        <v>2000</v>
      </c>
      <c r="H2323">
        <f>CONVERT(G2323,"HP","kW")</f>
        <v>1491.3997431645405</v>
      </c>
      <c r="I2323">
        <v>0.85780000000000001</v>
      </c>
      <c r="J2323">
        <v>1.3663000000000001</v>
      </c>
      <c r="K2323">
        <v>0.60909999999999997</v>
      </c>
      <c r="L2323">
        <v>0.28120000000000001</v>
      </c>
      <c r="M2323">
        <v>0.17649999999999999</v>
      </c>
      <c r="N2323">
        <f>CONVERT(O2323,"lbf","N")</f>
        <v>12328.691028856001</v>
      </c>
      <c r="O2323">
        <v>2771.6</v>
      </c>
      <c r="P2323">
        <f t="shared" si="36"/>
        <v>0.6276671408250355</v>
      </c>
    </row>
    <row r="2324" spans="1:16" hidden="1" x14ac:dyDescent="0.25">
      <c r="A2324">
        <v>0</v>
      </c>
      <c r="B2324">
        <v>15000</v>
      </c>
      <c r="C2324">
        <f>1.225 * (1 - 0.00000687559 * B2324) ^ 4.2561</f>
        <v>0.77079726910167001</v>
      </c>
      <c r="D2324">
        <f>E2324*(SQRT($C$2/C2324))</f>
        <v>226.91879349779754</v>
      </c>
      <c r="E2324">
        <v>180</v>
      </c>
      <c r="F2324">
        <v>1150</v>
      </c>
      <c r="G2324">
        <v>2000</v>
      </c>
      <c r="H2324">
        <f>CONVERT(G2324,"HP","kW")</f>
        <v>1491.3997431645405</v>
      </c>
      <c r="I2324">
        <v>0.87539999999999996</v>
      </c>
      <c r="J2324">
        <v>1.5370999999999999</v>
      </c>
      <c r="K2324">
        <v>0.63149999999999995</v>
      </c>
      <c r="L2324">
        <v>0.28120000000000001</v>
      </c>
      <c r="M2324">
        <v>0.16020000000000001</v>
      </c>
      <c r="N2324">
        <f>CONVERT(O2324,"lbf","N")</f>
        <v>11183.718785087947</v>
      </c>
      <c r="O2324">
        <v>2514.1999999999998</v>
      </c>
      <c r="P2324">
        <f t="shared" si="36"/>
        <v>0.56970128022759603</v>
      </c>
    </row>
    <row r="2325" spans="1:16" hidden="1" x14ac:dyDescent="0.25">
      <c r="A2325">
        <v>0</v>
      </c>
      <c r="B2325">
        <v>15000</v>
      </c>
      <c r="C2325">
        <f>1.225 * (1 - 0.00000687559 * B2325) ^ 4.2561</f>
        <v>0.77079726910167001</v>
      </c>
      <c r="D2325">
        <f>E2325*(SQRT($C$2/C2325))</f>
        <v>25.213199277533057</v>
      </c>
      <c r="E2325">
        <v>20</v>
      </c>
      <c r="F2325">
        <v>1150</v>
      </c>
      <c r="G2325">
        <v>2000</v>
      </c>
      <c r="H2325">
        <f>CONVERT(G2325,"HP","kW")</f>
        <v>1491.3997431645405</v>
      </c>
      <c r="I2325">
        <v>0.1638</v>
      </c>
      <c r="J2325">
        <v>0.17080000000000001</v>
      </c>
      <c r="K2325">
        <v>0.50890000000000002</v>
      </c>
      <c r="L2325">
        <v>0.28129999999999999</v>
      </c>
      <c r="M2325">
        <v>0.26989999999999997</v>
      </c>
      <c r="N2325">
        <f>CONVERT(O2325,"lbf","N")</f>
        <v>18836.88407414364</v>
      </c>
      <c r="O2325">
        <v>4234.7</v>
      </c>
      <c r="P2325">
        <f t="shared" si="36"/>
        <v>0.95947387131176676</v>
      </c>
    </row>
    <row r="2326" spans="1:16" hidden="1" x14ac:dyDescent="0.25">
      <c r="A2326">
        <v>0</v>
      </c>
      <c r="B2326">
        <v>15000</v>
      </c>
      <c r="C2326">
        <f>1.225 * (1 - 0.00000687559 * B2326) ^ 4.2561</f>
        <v>0.77079726910167001</v>
      </c>
      <c r="D2326">
        <f>E2326*(SQRT($C$2/C2326))</f>
        <v>50.426398555066115</v>
      </c>
      <c r="E2326">
        <v>40</v>
      </c>
      <c r="F2326">
        <v>1150</v>
      </c>
      <c r="G2326">
        <v>2000</v>
      </c>
      <c r="H2326">
        <f>CONVERT(G2326,"HP","kW")</f>
        <v>1491.3997431645405</v>
      </c>
      <c r="I2326">
        <v>0.34429999999999999</v>
      </c>
      <c r="J2326">
        <v>0.34160000000000001</v>
      </c>
      <c r="K2326">
        <v>0.5161</v>
      </c>
      <c r="L2326">
        <v>0.28129999999999999</v>
      </c>
      <c r="M2326">
        <v>0.28360000000000002</v>
      </c>
      <c r="N2326">
        <f>CONVERT(O2326,"lbf","N")</f>
        <v>19796.365476555329</v>
      </c>
      <c r="O2326">
        <v>4450.3999999999996</v>
      </c>
      <c r="P2326">
        <f t="shared" si="36"/>
        <v>1.0081763242090296</v>
      </c>
    </row>
    <row r="2327" spans="1:16" hidden="1" x14ac:dyDescent="0.25">
      <c r="A2327">
        <v>0</v>
      </c>
      <c r="B2327">
        <v>15000</v>
      </c>
      <c r="C2327">
        <f>1.225 * (1 - 0.00000687559 * B2327) ^ 4.2561</f>
        <v>0.77079726910167001</v>
      </c>
      <c r="D2327">
        <f>E2327*(SQRT($C$2/C2327))</f>
        <v>75.639597832599179</v>
      </c>
      <c r="E2327">
        <v>60</v>
      </c>
      <c r="F2327">
        <v>1150</v>
      </c>
      <c r="G2327">
        <v>2000</v>
      </c>
      <c r="H2327">
        <f>CONVERT(G2327,"HP","kW")</f>
        <v>1491.3997431645405</v>
      </c>
      <c r="I2327">
        <v>0.52929999999999999</v>
      </c>
      <c r="J2327">
        <v>0.51239999999999997</v>
      </c>
      <c r="K2327">
        <v>0.52559999999999996</v>
      </c>
      <c r="L2327">
        <v>0.28129999999999999</v>
      </c>
      <c r="M2327">
        <v>0.29060000000000002</v>
      </c>
      <c r="N2327">
        <f>CONVERT(O2327,"lbf","N")</f>
        <v>20288.338787203142</v>
      </c>
      <c r="O2327">
        <v>4561</v>
      </c>
      <c r="P2327">
        <f t="shared" si="36"/>
        <v>1.0330607891930326</v>
      </c>
    </row>
    <row r="2328" spans="1:16" hidden="1" x14ac:dyDescent="0.25">
      <c r="A2328">
        <v>0</v>
      </c>
      <c r="B2328">
        <v>15000</v>
      </c>
      <c r="C2328">
        <f>1.225 * (1 - 0.00000687559 * B2328) ^ 4.2561</f>
        <v>0.77079726910167001</v>
      </c>
      <c r="D2328">
        <f>E2328*(SQRT($C$2/C2328))</f>
        <v>126.06599638766529</v>
      </c>
      <c r="E2328">
        <v>100</v>
      </c>
      <c r="F2328">
        <v>1150</v>
      </c>
      <c r="G2328">
        <v>2000</v>
      </c>
      <c r="H2328">
        <f>CONVERT(G2328,"HP","kW")</f>
        <v>1491.3997431645405</v>
      </c>
      <c r="I2328">
        <v>0.74070000000000003</v>
      </c>
      <c r="J2328">
        <v>0.85389999999999999</v>
      </c>
      <c r="K2328">
        <v>0.55289999999999995</v>
      </c>
      <c r="L2328">
        <v>0.28129999999999999</v>
      </c>
      <c r="M2328">
        <v>0.24399999999999999</v>
      </c>
      <c r="N2328">
        <f>CONVERT(O2328,"lbf","N")</f>
        <v>17034.01985347856</v>
      </c>
      <c r="O2328">
        <v>3829.4</v>
      </c>
      <c r="P2328">
        <f t="shared" si="36"/>
        <v>0.86740135087095627</v>
      </c>
    </row>
    <row r="2329" spans="1:16" hidden="1" x14ac:dyDescent="0.25">
      <c r="A2329" s="4">
        <v>0</v>
      </c>
      <c r="B2329" s="4">
        <v>15000</v>
      </c>
      <c r="C2329" s="4">
        <f>1.225 * (1 - 0.00000687559 * B2329) ^ 4.2561</f>
        <v>0.77079726910167001</v>
      </c>
      <c r="D2329" s="4">
        <f>E2329*(SQRT($C$2/C2329))</f>
        <v>252.13199277533059</v>
      </c>
      <c r="E2329" s="4">
        <v>200</v>
      </c>
      <c r="F2329" s="4">
        <v>1150</v>
      </c>
      <c r="G2329" s="4">
        <v>2000</v>
      </c>
      <c r="H2329" s="4">
        <f>CONVERT(G2329,"HP","kW")</f>
        <v>1491.3997431645405</v>
      </c>
      <c r="I2329" s="4">
        <v>0.88690000000000002</v>
      </c>
      <c r="J2329" s="4">
        <v>1.7079</v>
      </c>
      <c r="K2329" s="4">
        <v>0.65559999999999996</v>
      </c>
      <c r="L2329" s="4">
        <v>0.28129999999999999</v>
      </c>
      <c r="M2329" s="4">
        <v>0.14610000000000001</v>
      </c>
      <c r="N2329">
        <f>CONVERT(O2329,"lbf","N")</f>
        <v>10197.548052984697</v>
      </c>
      <c r="O2329" s="4">
        <v>2292.5</v>
      </c>
      <c r="P2329">
        <f t="shared" si="36"/>
        <v>0.51937433345183082</v>
      </c>
    </row>
    <row r="2330" spans="1:16" hidden="1" x14ac:dyDescent="0.25">
      <c r="A2330">
        <v>0</v>
      </c>
      <c r="B2330">
        <v>15000</v>
      </c>
      <c r="C2330">
        <f>1.225 * (1 - 0.00000687559 * B2330) ^ 4.2561</f>
        <v>0.77079726910167001</v>
      </c>
      <c r="D2330">
        <f>E2330*(SQRT($C$2/C2330))</f>
        <v>277.34519205286364</v>
      </c>
      <c r="E2330">
        <v>220</v>
      </c>
      <c r="F2330">
        <v>1150</v>
      </c>
      <c r="G2330">
        <v>2000</v>
      </c>
      <c r="H2330">
        <f>CONVERT(G2330,"HP","kW")</f>
        <v>1491.3997431645405</v>
      </c>
      <c r="I2330">
        <v>0.89359999999999995</v>
      </c>
      <c r="J2330">
        <v>1.8787</v>
      </c>
      <c r="K2330">
        <v>0.68120000000000003</v>
      </c>
      <c r="L2330">
        <v>0.28129999999999999</v>
      </c>
      <c r="M2330">
        <v>0.1338</v>
      </c>
      <c r="N2330">
        <f>CONVERT(O2330,"lbf","N")</f>
        <v>9340.8205698855254</v>
      </c>
      <c r="O2330">
        <v>2099.9</v>
      </c>
      <c r="P2330">
        <f t="shared" si="36"/>
        <v>0.47564877355136864</v>
      </c>
    </row>
    <row r="2331" spans="1:16" hidden="1" x14ac:dyDescent="0.25">
      <c r="A2331">
        <v>0</v>
      </c>
      <c r="B2331">
        <v>15000</v>
      </c>
      <c r="C2331">
        <f>1.225 * (1 - 0.00000687559 * B2331) ^ 4.2561</f>
        <v>0.77079726910167001</v>
      </c>
      <c r="D2331">
        <f>E2331*(SQRT($C$2/C2331))</f>
        <v>302.55839133039672</v>
      </c>
      <c r="E2331">
        <v>240</v>
      </c>
      <c r="F2331">
        <v>1150</v>
      </c>
      <c r="G2331">
        <v>2000</v>
      </c>
      <c r="H2331">
        <f>CONVERT(G2331,"HP","kW")</f>
        <v>1491.3997431645405</v>
      </c>
      <c r="I2331">
        <v>0.89429999999999998</v>
      </c>
      <c r="J2331">
        <v>2.0493999999999999</v>
      </c>
      <c r="K2331">
        <v>0.70809999999999995</v>
      </c>
      <c r="L2331">
        <v>0.28129999999999999</v>
      </c>
      <c r="M2331">
        <v>0.1227</v>
      </c>
      <c r="N2331">
        <f>CONVERT(O2331,"lbf","N")</f>
        <v>8569.0541196378272</v>
      </c>
      <c r="O2331">
        <v>1926.4</v>
      </c>
      <c r="P2331">
        <f t="shared" si="36"/>
        <v>0.43618912193387843</v>
      </c>
    </row>
    <row r="2332" spans="1:16" hidden="1" x14ac:dyDescent="0.25">
      <c r="A2332">
        <v>0</v>
      </c>
      <c r="B2332">
        <v>15000</v>
      </c>
      <c r="C2332">
        <f>1.225 * (1 - 0.00000687559 * B2332) ^ 4.2561</f>
        <v>0.77079726910167001</v>
      </c>
      <c r="D2332">
        <f>E2332*(SQRT($C$2/C2332))</f>
        <v>327.77159060792974</v>
      </c>
      <c r="E2332">
        <v>260</v>
      </c>
      <c r="F2332">
        <v>1150</v>
      </c>
      <c r="G2332">
        <v>2000</v>
      </c>
      <c r="H2332">
        <f>CONVERT(G2332,"HP","kW")</f>
        <v>1491.3997431645405</v>
      </c>
      <c r="I2332">
        <v>0.87690000000000001</v>
      </c>
      <c r="J2332">
        <v>2.2202000000000002</v>
      </c>
      <c r="K2332">
        <v>0.73619999999999997</v>
      </c>
      <c r="L2332">
        <v>0.28129999999999999</v>
      </c>
      <c r="M2332">
        <v>0.1111</v>
      </c>
      <c r="N2332">
        <f>CONVERT(O2332,"lbf","N")</f>
        <v>7755.9192083682074</v>
      </c>
      <c r="O2332">
        <v>1743.6</v>
      </c>
      <c r="P2332">
        <f t="shared" si="36"/>
        <v>0.39495200853181661</v>
      </c>
    </row>
    <row r="2333" spans="1:16" hidden="1" x14ac:dyDescent="0.25">
      <c r="A2333">
        <v>0</v>
      </c>
      <c r="B2333">
        <v>15000</v>
      </c>
      <c r="C2333">
        <f>1.225 * (1 - 0.00000687559 * B2333) ^ 4.2561</f>
        <v>0.77079726910167001</v>
      </c>
      <c r="D2333">
        <f>E2333*(SQRT($C$2/C2333))</f>
        <v>0</v>
      </c>
      <c r="E2333">
        <v>0</v>
      </c>
      <c r="F2333">
        <v>1150</v>
      </c>
      <c r="G2333">
        <v>2000</v>
      </c>
      <c r="H2333">
        <f>CONVERT(G2333,"HP","kW")</f>
        <v>1491.3997431645405</v>
      </c>
      <c r="I2333">
        <v>0</v>
      </c>
      <c r="J2333">
        <v>0</v>
      </c>
      <c r="K2333">
        <v>0.50349999999999995</v>
      </c>
      <c r="L2333">
        <v>0.28139999999999998</v>
      </c>
      <c r="M2333">
        <v>0.2596</v>
      </c>
      <c r="N2333">
        <f>CONVERT(O2333,"lbf","N")</f>
        <v>18119.830749763645</v>
      </c>
      <c r="O2333">
        <v>4073.5</v>
      </c>
      <c r="P2333">
        <f t="shared" si="36"/>
        <v>0.92253020611229575</v>
      </c>
    </row>
    <row r="2334" spans="1:16" hidden="1" x14ac:dyDescent="0.25">
      <c r="A2334">
        <v>0</v>
      </c>
      <c r="B2334">
        <v>20000</v>
      </c>
      <c r="C2334">
        <f>1.225 * (1 - 0.00000687559 * B2334) ^ 4.2561</f>
        <v>0.65267221054298263</v>
      </c>
      <c r="D2334">
        <f>E2334*(SQRT($C$2/C2334))</f>
        <v>27.399994721664136</v>
      </c>
      <c r="E2334">
        <v>20</v>
      </c>
      <c r="F2334">
        <v>1215</v>
      </c>
      <c r="G2334">
        <v>2000</v>
      </c>
      <c r="H2334">
        <f>CONVERT(G2334,"HP","kW")</f>
        <v>1491.3997431645405</v>
      </c>
      <c r="I2334">
        <v>0.16739999999999999</v>
      </c>
      <c r="J2334">
        <v>0.1757</v>
      </c>
      <c r="K2334">
        <v>0.54830000000000001</v>
      </c>
      <c r="L2334">
        <v>0.28139999999999998</v>
      </c>
      <c r="M2334">
        <v>0.26819999999999999</v>
      </c>
      <c r="N2334">
        <f>CONVERT(O2334,"lbf","N")</f>
        <v>17716.821871421045</v>
      </c>
      <c r="O2334">
        <v>3982.9</v>
      </c>
      <c r="P2334">
        <f t="shared" si="36"/>
        <v>0.95309168443496806</v>
      </c>
    </row>
    <row r="2335" spans="1:16" hidden="1" x14ac:dyDescent="0.25">
      <c r="A2335">
        <v>0</v>
      </c>
      <c r="B2335">
        <v>20000</v>
      </c>
      <c r="C2335">
        <f>1.225 * (1 - 0.00000687559 * B2335) ^ 4.2561</f>
        <v>0.65267221054298263</v>
      </c>
      <c r="D2335">
        <f>E2335*(SQRT($C$2/C2335))</f>
        <v>136.99997360832069</v>
      </c>
      <c r="E2335">
        <v>100</v>
      </c>
      <c r="F2335">
        <v>1215</v>
      </c>
      <c r="G2335">
        <v>2000</v>
      </c>
      <c r="H2335">
        <f>CONVERT(G2335,"HP","kW")</f>
        <v>1491.3997431645405</v>
      </c>
      <c r="I2335">
        <v>0.74819999999999998</v>
      </c>
      <c r="J2335">
        <v>0.87829999999999997</v>
      </c>
      <c r="K2335">
        <v>0.59819999999999995</v>
      </c>
      <c r="L2335">
        <v>0.28139999999999998</v>
      </c>
      <c r="M2335">
        <v>0.2397</v>
      </c>
      <c r="N2335">
        <f>CONVERT(O2335,"lbf","N")</f>
        <v>15833.000017358225</v>
      </c>
      <c r="O2335">
        <v>3559.4</v>
      </c>
      <c r="P2335">
        <f t="shared" si="36"/>
        <v>0.85181236673773986</v>
      </c>
    </row>
    <row r="2336" spans="1:16" hidden="1" x14ac:dyDescent="0.25">
      <c r="A2336">
        <v>0</v>
      </c>
      <c r="B2336">
        <v>20000</v>
      </c>
      <c r="C2336">
        <f>1.225 * (1 - 0.00000687559 * B2336) ^ 4.2561</f>
        <v>0.65267221054298263</v>
      </c>
      <c r="D2336">
        <f>E2336*(SQRT($C$2/C2336))</f>
        <v>246.59995249497723</v>
      </c>
      <c r="E2336">
        <v>180</v>
      </c>
      <c r="F2336">
        <v>1215</v>
      </c>
      <c r="G2336">
        <v>2000</v>
      </c>
      <c r="H2336">
        <f>CONVERT(G2336,"HP","kW")</f>
        <v>1491.3997431645405</v>
      </c>
      <c r="I2336">
        <v>0.87809999999999999</v>
      </c>
      <c r="J2336">
        <v>1.581</v>
      </c>
      <c r="K2336">
        <v>0.68689999999999996</v>
      </c>
      <c r="L2336">
        <v>0.28139999999999998</v>
      </c>
      <c r="M2336">
        <v>0.15629999999999999</v>
      </c>
      <c r="N2336">
        <f>CONVERT(O2336,"lbf","N")</f>
        <v>10322.987902535042</v>
      </c>
      <c r="O2336">
        <v>2320.6999999999998</v>
      </c>
      <c r="P2336">
        <f t="shared" si="36"/>
        <v>0.55543710021321968</v>
      </c>
    </row>
    <row r="2337" spans="1:16" hidden="1" x14ac:dyDescent="0.25">
      <c r="A2337">
        <v>0</v>
      </c>
      <c r="B2337">
        <v>20000</v>
      </c>
      <c r="C2337">
        <f>1.225 * (1 - 0.00000687559 * B2337) ^ 4.2561</f>
        <v>0.65267221054298263</v>
      </c>
      <c r="D2337">
        <f>E2337*(SQRT($C$2/C2337))</f>
        <v>219.19995777331309</v>
      </c>
      <c r="E2337">
        <v>160</v>
      </c>
      <c r="F2337">
        <v>1215</v>
      </c>
      <c r="G2337">
        <v>2000</v>
      </c>
      <c r="H2337">
        <f>CONVERT(G2337,"HP","kW")</f>
        <v>1491.3997431645405</v>
      </c>
      <c r="I2337">
        <v>0.86140000000000005</v>
      </c>
      <c r="J2337">
        <v>1.4054</v>
      </c>
      <c r="K2337">
        <v>0.66159999999999997</v>
      </c>
      <c r="L2337">
        <v>0.28149999999999997</v>
      </c>
      <c r="M2337">
        <v>0.17249999999999999</v>
      </c>
      <c r="N2337">
        <f>CONVERT(O2337,"lbf","N")</f>
        <v>11393.230023166721</v>
      </c>
      <c r="O2337">
        <v>2561.3000000000002</v>
      </c>
      <c r="P2337">
        <f t="shared" si="36"/>
        <v>0.61278863232682057</v>
      </c>
    </row>
    <row r="2338" spans="1:16" hidden="1" x14ac:dyDescent="0.25">
      <c r="A2338">
        <v>0</v>
      </c>
      <c r="B2338">
        <v>20000</v>
      </c>
      <c r="C2338">
        <f>1.225 * (1 - 0.00000687559 * B2338) ^ 4.2561</f>
        <v>0.65267221054298263</v>
      </c>
      <c r="D2338">
        <f>E2338*(SQRT($C$2/C2338))</f>
        <v>273.99994721664137</v>
      </c>
      <c r="E2338">
        <v>200</v>
      </c>
      <c r="F2338">
        <v>1215</v>
      </c>
      <c r="G2338">
        <v>2000</v>
      </c>
      <c r="H2338">
        <f>CONVERT(G2338,"HP","kW")</f>
        <v>1491.3997431645405</v>
      </c>
      <c r="I2338">
        <v>0.8831</v>
      </c>
      <c r="J2338">
        <v>1.7566999999999999</v>
      </c>
      <c r="K2338">
        <v>0.71409999999999996</v>
      </c>
      <c r="L2338">
        <v>0.28149999999999997</v>
      </c>
      <c r="M2338">
        <v>0.14149999999999999</v>
      </c>
      <c r="N2338">
        <f>CONVERT(O2338,"lbf","N")</f>
        <v>9344.3791471777313</v>
      </c>
      <c r="O2338">
        <v>2100.6999999999998</v>
      </c>
      <c r="P2338">
        <f t="shared" si="36"/>
        <v>0.50266429840142102</v>
      </c>
    </row>
    <row r="2339" spans="1:16" hidden="1" x14ac:dyDescent="0.25">
      <c r="A2339">
        <v>0</v>
      </c>
      <c r="B2339">
        <v>20000</v>
      </c>
      <c r="C2339">
        <f>1.225 * (1 - 0.00000687559 * B2339) ^ 4.2561</f>
        <v>0.65267221054298263</v>
      </c>
      <c r="D2339">
        <f>E2339*(SQRT($C$2/C2339))</f>
        <v>109.59997888665654</v>
      </c>
      <c r="E2339">
        <v>80</v>
      </c>
      <c r="F2339">
        <v>1215</v>
      </c>
      <c r="G2339">
        <v>2000</v>
      </c>
      <c r="H2339">
        <f>CONVERT(G2339,"HP","kW")</f>
        <v>1491.3997431645405</v>
      </c>
      <c r="I2339">
        <v>0.66849999999999998</v>
      </c>
      <c r="J2339">
        <v>0.70269999999999999</v>
      </c>
      <c r="K2339">
        <v>0.58150000000000002</v>
      </c>
      <c r="L2339">
        <v>0.28160000000000002</v>
      </c>
      <c r="M2339">
        <v>0.26790000000000003</v>
      </c>
      <c r="N2339">
        <f>CONVERT(O2339,"lbf","N")</f>
        <v>17683.015387145068</v>
      </c>
      <c r="O2339">
        <v>3975.3</v>
      </c>
      <c r="P2339">
        <f t="shared" si="36"/>
        <v>0.95134943181818188</v>
      </c>
    </row>
    <row r="2340" spans="1:16" hidden="1" x14ac:dyDescent="0.25">
      <c r="A2340">
        <v>0</v>
      </c>
      <c r="B2340">
        <v>20000</v>
      </c>
      <c r="C2340">
        <f>1.225 * (1 - 0.00000687559 * B2340) ^ 4.2561</f>
        <v>0.65267221054298263</v>
      </c>
      <c r="D2340">
        <f>E2340*(SQRT($C$2/C2340))</f>
        <v>164.3999683299848</v>
      </c>
      <c r="E2340">
        <v>120</v>
      </c>
      <c r="F2340">
        <v>1215</v>
      </c>
      <c r="G2340">
        <v>2000</v>
      </c>
      <c r="H2340">
        <f>CONVERT(G2340,"HP","kW")</f>
        <v>1491.3997431645405</v>
      </c>
      <c r="I2340">
        <v>0.80069999999999997</v>
      </c>
      <c r="J2340">
        <v>1.054</v>
      </c>
      <c r="K2340">
        <v>0.61709999999999998</v>
      </c>
      <c r="L2340">
        <v>0.28160000000000002</v>
      </c>
      <c r="M2340">
        <v>0.21390000000000001</v>
      </c>
      <c r="N2340">
        <f>CONVERT(O2340,"lbf","N")</f>
        <v>14119.545051159877</v>
      </c>
      <c r="O2340">
        <v>3174.2</v>
      </c>
      <c r="P2340">
        <f t="shared" si="36"/>
        <v>0.75958806818181812</v>
      </c>
    </row>
    <row r="2341" spans="1:16" hidden="1" x14ac:dyDescent="0.25">
      <c r="A2341">
        <v>0</v>
      </c>
      <c r="B2341">
        <v>20000</v>
      </c>
      <c r="C2341">
        <f>1.225 * (1 - 0.00000687559 * B2341) ^ 4.2561</f>
        <v>0.65267221054298263</v>
      </c>
      <c r="D2341">
        <f>E2341*(SQRT($C$2/C2341))</f>
        <v>191.79996305164894</v>
      </c>
      <c r="E2341">
        <v>140</v>
      </c>
      <c r="F2341">
        <v>1215</v>
      </c>
      <c r="G2341">
        <v>2000</v>
      </c>
      <c r="H2341">
        <f>CONVERT(G2341,"HP","kW")</f>
        <v>1491.3997431645405</v>
      </c>
      <c r="I2341">
        <v>0.83679999999999999</v>
      </c>
      <c r="J2341">
        <v>1.2297</v>
      </c>
      <c r="K2341">
        <v>0.63819999999999999</v>
      </c>
      <c r="L2341">
        <v>0.28160000000000002</v>
      </c>
      <c r="M2341">
        <v>0.19159999999999999</v>
      </c>
      <c r="N2341">
        <f>CONVERT(O2341,"lbf","N")</f>
        <v>12648.518162993234</v>
      </c>
      <c r="O2341">
        <v>2843.5</v>
      </c>
      <c r="P2341">
        <f t="shared" si="36"/>
        <v>0.68039772727272718</v>
      </c>
    </row>
    <row r="2342" spans="1:16" hidden="1" x14ac:dyDescent="0.25">
      <c r="A2342">
        <v>0</v>
      </c>
      <c r="B2342">
        <v>20000</v>
      </c>
      <c r="C2342">
        <f>1.225 * (1 - 0.00000687559 * B2342) ^ 4.2561</f>
        <v>0.65267221054298263</v>
      </c>
      <c r="D2342">
        <f>E2342*(SQRT($C$2/C2342))</f>
        <v>301.39994193830552</v>
      </c>
      <c r="E2342">
        <v>220</v>
      </c>
      <c r="F2342">
        <v>1215</v>
      </c>
      <c r="G2342">
        <v>2000</v>
      </c>
      <c r="H2342">
        <f>CONVERT(G2342,"HP","kW")</f>
        <v>1491.3997431645405</v>
      </c>
      <c r="I2342">
        <v>0.874</v>
      </c>
      <c r="J2342">
        <v>1.9323999999999999</v>
      </c>
      <c r="K2342">
        <v>0.7429</v>
      </c>
      <c r="L2342">
        <v>0.28160000000000002</v>
      </c>
      <c r="M2342">
        <v>0.12740000000000001</v>
      </c>
      <c r="N2342">
        <f>CONVERT(O2342,"lbf","N")</f>
        <v>8406.6940306808192</v>
      </c>
      <c r="O2342">
        <v>1889.9</v>
      </c>
      <c r="P2342">
        <f t="shared" si="36"/>
        <v>0.45241477272727276</v>
      </c>
    </row>
    <row r="2343" spans="1:16" hidden="1" x14ac:dyDescent="0.25">
      <c r="A2343">
        <v>0</v>
      </c>
      <c r="B2343">
        <v>20000</v>
      </c>
      <c r="C2343">
        <f>1.225 * (1 - 0.00000687559 * B2343) ^ 4.2561</f>
        <v>0.65267221054298263</v>
      </c>
      <c r="D2343">
        <f>E2343*(SQRT($C$2/C2343))</f>
        <v>328.7999366599696</v>
      </c>
      <c r="E2343">
        <v>240</v>
      </c>
      <c r="F2343">
        <v>1215</v>
      </c>
      <c r="G2343">
        <v>2000</v>
      </c>
      <c r="H2343">
        <f>CONVERT(G2343,"HP","kW")</f>
        <v>1491.3997431645405</v>
      </c>
      <c r="I2343">
        <v>0.85170000000000001</v>
      </c>
      <c r="J2343">
        <v>2.1080000000000001</v>
      </c>
      <c r="K2343">
        <v>0.77310000000000001</v>
      </c>
      <c r="L2343">
        <v>0.28160000000000002</v>
      </c>
      <c r="M2343">
        <v>0.1138</v>
      </c>
      <c r="N2343">
        <f>CONVERT(O2343,"lbf","N")</f>
        <v>7509.4877308827772</v>
      </c>
      <c r="O2343">
        <v>1688.2</v>
      </c>
      <c r="P2343">
        <f t="shared" si="36"/>
        <v>0.40411931818181818</v>
      </c>
    </row>
    <row r="2344" spans="1:16" hidden="1" x14ac:dyDescent="0.25">
      <c r="A2344">
        <v>0</v>
      </c>
      <c r="B2344">
        <v>20000</v>
      </c>
      <c r="C2344">
        <f>1.225 * (1 - 0.00000687559 * B2344) ^ 4.2561</f>
        <v>0.65267221054298263</v>
      </c>
      <c r="D2344">
        <f>E2344*(SQRT($C$2/C2344))</f>
        <v>356.19993138163375</v>
      </c>
      <c r="E2344">
        <v>260</v>
      </c>
      <c r="F2344">
        <v>1215</v>
      </c>
      <c r="G2344">
        <v>2000</v>
      </c>
      <c r="H2344">
        <f>CONVERT(G2344,"HP","kW")</f>
        <v>1491.3997431645405</v>
      </c>
      <c r="I2344">
        <v>0.79830000000000001</v>
      </c>
      <c r="J2344">
        <v>2.2837000000000001</v>
      </c>
      <c r="K2344">
        <v>0.80469999999999997</v>
      </c>
      <c r="L2344">
        <v>0.28160000000000002</v>
      </c>
      <c r="M2344">
        <v>9.8400000000000001E-2</v>
      </c>
      <c r="N2344">
        <f>CONVERT(O2344,"lbf","N")</f>
        <v>6497.5173134110128</v>
      </c>
      <c r="O2344">
        <v>1460.7</v>
      </c>
      <c r="P2344">
        <f t="shared" si="36"/>
        <v>0.34943181818181818</v>
      </c>
    </row>
    <row r="2345" spans="1:16" hidden="1" x14ac:dyDescent="0.25">
      <c r="A2345">
        <v>0</v>
      </c>
      <c r="B2345">
        <v>20000</v>
      </c>
      <c r="C2345">
        <f>1.225 * (1 - 0.00000687559 * B2345) ^ 4.2561</f>
        <v>0.65267221054298263</v>
      </c>
      <c r="D2345">
        <f>E2345*(SQRT($C$2/C2345))</f>
        <v>0</v>
      </c>
      <c r="E2345">
        <v>0</v>
      </c>
      <c r="F2345">
        <v>1215</v>
      </c>
      <c r="G2345">
        <v>2000</v>
      </c>
      <c r="H2345">
        <f>CONVERT(G2345,"HP","kW")</f>
        <v>1491.3997431645405</v>
      </c>
      <c r="I2345">
        <v>0</v>
      </c>
      <c r="J2345">
        <v>0</v>
      </c>
      <c r="K2345">
        <v>0.5423</v>
      </c>
      <c r="L2345">
        <v>0.28170000000000001</v>
      </c>
      <c r="M2345">
        <v>0.25800000000000001</v>
      </c>
      <c r="N2345">
        <f>CONVERT(O2345,"lbf","N")</f>
        <v>17020.67518863278</v>
      </c>
      <c r="O2345">
        <v>3826.4</v>
      </c>
      <c r="P2345">
        <f t="shared" si="36"/>
        <v>0.91586794462193821</v>
      </c>
    </row>
    <row r="2346" spans="1:16" hidden="1" x14ac:dyDescent="0.25">
      <c r="A2346">
        <v>0</v>
      </c>
      <c r="B2346">
        <v>20000</v>
      </c>
      <c r="C2346">
        <f>1.225 * (1 - 0.00000687559 * B2346) ^ 4.2561</f>
        <v>0.65267221054298263</v>
      </c>
      <c r="D2346">
        <f>E2346*(SQRT($C$2/C2346))</f>
        <v>54.799989443328272</v>
      </c>
      <c r="E2346">
        <v>40</v>
      </c>
      <c r="F2346">
        <v>1215</v>
      </c>
      <c r="G2346">
        <v>2000</v>
      </c>
      <c r="H2346">
        <f>CONVERT(G2346,"HP","kW")</f>
        <v>1491.3997431645405</v>
      </c>
      <c r="I2346">
        <v>0.35210000000000002</v>
      </c>
      <c r="J2346">
        <v>0.3513</v>
      </c>
      <c r="K2346">
        <v>0.55640000000000001</v>
      </c>
      <c r="L2346">
        <v>0.28170000000000001</v>
      </c>
      <c r="M2346">
        <v>0.2823</v>
      </c>
      <c r="N2346">
        <f>CONVERT(O2346,"lbf","N")</f>
        <v>18629.152124710974</v>
      </c>
      <c r="O2346">
        <v>4188</v>
      </c>
      <c r="P2346">
        <f t="shared" si="36"/>
        <v>1.002129925452609</v>
      </c>
    </row>
    <row r="2347" spans="1:16" hidden="1" x14ac:dyDescent="0.25">
      <c r="A2347">
        <v>0</v>
      </c>
      <c r="B2347">
        <v>20000</v>
      </c>
      <c r="C2347">
        <f>1.225 * (1 - 0.00000687559 * B2347) ^ 4.2561</f>
        <v>0.65267221054298263</v>
      </c>
      <c r="D2347">
        <f>E2347*(SQRT($C$2/C2347))</f>
        <v>82.199984164992401</v>
      </c>
      <c r="E2347">
        <v>60</v>
      </c>
      <c r="F2347">
        <v>1215</v>
      </c>
      <c r="G2347">
        <v>2000</v>
      </c>
      <c r="H2347">
        <f>CONVERT(G2347,"HP","kW")</f>
        <v>1491.3997431645405</v>
      </c>
      <c r="I2347">
        <v>0.53800000000000003</v>
      </c>
      <c r="J2347">
        <v>0.52700000000000002</v>
      </c>
      <c r="K2347">
        <v>0.56730000000000003</v>
      </c>
      <c r="L2347">
        <v>0.28170000000000001</v>
      </c>
      <c r="M2347">
        <v>0.28749999999999998</v>
      </c>
      <c r="N2347">
        <f>CONVERT(O2347,"lbf","N")</f>
        <v>18973.889299893664</v>
      </c>
      <c r="O2347">
        <v>4265.5</v>
      </c>
      <c r="P2347">
        <f t="shared" si="36"/>
        <v>1.0205892793752218</v>
      </c>
    </row>
    <row r="2348" spans="1:16" hidden="1" x14ac:dyDescent="0.25">
      <c r="A2348">
        <v>0</v>
      </c>
      <c r="B2348">
        <v>5000</v>
      </c>
      <c r="C2348">
        <f>1.225 * (1 - 0.00000687559 * B2348) ^ 4.2561</f>
        <v>1.0555380742846066</v>
      </c>
      <c r="D2348">
        <f>E2348*(SQRT($C$2/C2348))</f>
        <v>86.1828952243647</v>
      </c>
      <c r="E2348">
        <v>80</v>
      </c>
      <c r="F2348">
        <v>1150</v>
      </c>
      <c r="G2348">
        <v>2750</v>
      </c>
      <c r="H2348">
        <f>CONVERT(G2348,"HP","kW")</f>
        <v>2050.6746468512433</v>
      </c>
      <c r="I2348">
        <v>0.5927</v>
      </c>
      <c r="J2348">
        <v>0.58379999999999999</v>
      </c>
      <c r="K2348">
        <v>0.51129999999999998</v>
      </c>
      <c r="L2348">
        <v>0.28220000000000001</v>
      </c>
      <c r="M2348">
        <v>0.28660000000000002</v>
      </c>
      <c r="N2348">
        <f>CONVERT(O2348,"lbf","N")</f>
        <v>27413.944992688932</v>
      </c>
      <c r="O2348">
        <v>6162.9</v>
      </c>
      <c r="P2348">
        <f t="shared" si="36"/>
        <v>1.0155917788802269</v>
      </c>
    </row>
    <row r="2349" spans="1:16" hidden="1" x14ac:dyDescent="0.25">
      <c r="A2349">
        <v>0</v>
      </c>
      <c r="B2349">
        <v>5000</v>
      </c>
      <c r="C2349">
        <f>1.225 * (1 - 0.00000687559 * B2349) ^ 4.2561</f>
        <v>1.0555380742846066</v>
      </c>
      <c r="D2349">
        <f>E2349*(SQRT($C$2/C2349))</f>
        <v>150.82006664263821</v>
      </c>
      <c r="E2349">
        <v>140</v>
      </c>
      <c r="F2349">
        <v>1150</v>
      </c>
      <c r="G2349">
        <v>2750</v>
      </c>
      <c r="H2349">
        <f>CONVERT(G2349,"HP","kW")</f>
        <v>2050.6746468512433</v>
      </c>
      <c r="I2349">
        <v>0.79390000000000005</v>
      </c>
      <c r="J2349">
        <v>1.0216000000000001</v>
      </c>
      <c r="K2349">
        <v>0.54869999999999997</v>
      </c>
      <c r="L2349">
        <v>0.28239999999999998</v>
      </c>
      <c r="M2349">
        <v>0.2195</v>
      </c>
      <c r="N2349">
        <f>CONVERT(O2349,"lbf","N")</f>
        <v>20984.48546999141</v>
      </c>
      <c r="O2349">
        <v>4717.5</v>
      </c>
      <c r="P2349">
        <f t="shared" si="36"/>
        <v>0.77726628895184136</v>
      </c>
    </row>
    <row r="2350" spans="1:16" hidden="1" x14ac:dyDescent="0.25">
      <c r="A2350">
        <v>0</v>
      </c>
      <c r="B2350">
        <v>5000</v>
      </c>
      <c r="C2350">
        <f>1.225 * (1 - 0.00000687559 * B2350) ^ 4.2561</f>
        <v>1.0555380742846066</v>
      </c>
      <c r="D2350">
        <f>E2350*(SQRT($C$2/C2350))</f>
        <v>172.3657904487294</v>
      </c>
      <c r="E2350">
        <v>160</v>
      </c>
      <c r="F2350">
        <v>1150</v>
      </c>
      <c r="G2350">
        <v>2750</v>
      </c>
      <c r="H2350">
        <f>CONVERT(G2350,"HP","kW")</f>
        <v>2050.6746468512433</v>
      </c>
      <c r="I2350">
        <v>0.82699999999999996</v>
      </c>
      <c r="J2350">
        <v>1.1676</v>
      </c>
      <c r="K2350">
        <v>0.56399999999999995</v>
      </c>
      <c r="L2350">
        <v>0.28239999999999998</v>
      </c>
      <c r="M2350">
        <v>0.2</v>
      </c>
      <c r="N2350">
        <f>CONVERT(O2350,"lbf","N")</f>
        <v>19125.573656974047</v>
      </c>
      <c r="O2350">
        <v>4299.6000000000004</v>
      </c>
      <c r="P2350">
        <f t="shared" si="36"/>
        <v>0.708215297450425</v>
      </c>
    </row>
    <row r="2351" spans="1:16" hidden="1" x14ac:dyDescent="0.25">
      <c r="A2351">
        <v>0</v>
      </c>
      <c r="B2351">
        <v>5000</v>
      </c>
      <c r="C2351">
        <f>1.225 * (1 - 0.00000687559 * B2351) ^ 4.2561</f>
        <v>1.0555380742846066</v>
      </c>
      <c r="D2351">
        <f>E2351*(SQRT($C$2/C2351))</f>
        <v>193.91151425482059</v>
      </c>
      <c r="E2351">
        <v>180</v>
      </c>
      <c r="F2351">
        <v>1150</v>
      </c>
      <c r="G2351">
        <v>2750</v>
      </c>
      <c r="H2351">
        <f>CONVERT(G2351,"HP","kW")</f>
        <v>2050.6746468512433</v>
      </c>
      <c r="I2351">
        <v>0.85099999999999998</v>
      </c>
      <c r="J2351">
        <v>1.3134999999999999</v>
      </c>
      <c r="K2351">
        <v>0.58069999999999999</v>
      </c>
      <c r="L2351">
        <v>0.28239999999999998</v>
      </c>
      <c r="M2351">
        <v>0.183</v>
      </c>
      <c r="N2351">
        <f>CONVERT(O2351,"lbf","N")</f>
        <v>17494.410790658021</v>
      </c>
      <c r="O2351">
        <v>3932.9</v>
      </c>
      <c r="P2351">
        <f t="shared" si="36"/>
        <v>0.64801699716713879</v>
      </c>
    </row>
    <row r="2352" spans="1:16" hidden="1" x14ac:dyDescent="0.25">
      <c r="A2352">
        <v>0</v>
      </c>
      <c r="B2352">
        <v>5000</v>
      </c>
      <c r="C2352">
        <f>1.225 * (1 - 0.00000687559 * B2352) ^ 4.2561</f>
        <v>1.0555380742846066</v>
      </c>
      <c r="D2352">
        <f>E2352*(SQRT($C$2/C2352))</f>
        <v>215.45723806091175</v>
      </c>
      <c r="E2352">
        <v>200</v>
      </c>
      <c r="F2352">
        <v>1150</v>
      </c>
      <c r="G2352">
        <v>2750</v>
      </c>
      <c r="H2352">
        <f>CONVERT(G2352,"HP","kW")</f>
        <v>2050.6746468512433</v>
      </c>
      <c r="I2352">
        <v>0.86829999999999996</v>
      </c>
      <c r="J2352">
        <v>1.4595</v>
      </c>
      <c r="K2352">
        <v>0.59860000000000002</v>
      </c>
      <c r="L2352">
        <v>0.28239999999999998</v>
      </c>
      <c r="M2352">
        <v>0.16800000000000001</v>
      </c>
      <c r="N2352">
        <f>CONVERT(O2352,"lbf","N")</f>
        <v>16065.197185674822</v>
      </c>
      <c r="O2352">
        <v>3611.6</v>
      </c>
      <c r="P2352">
        <f t="shared" si="36"/>
        <v>0.59490084985835701</v>
      </c>
    </row>
    <row r="2353" spans="1:16" hidden="1" x14ac:dyDescent="0.25">
      <c r="A2353">
        <v>0</v>
      </c>
      <c r="B2353">
        <v>5000</v>
      </c>
      <c r="C2353">
        <f>1.225 * (1 - 0.00000687559 * B2353) ^ 4.2561</f>
        <v>1.0555380742846066</v>
      </c>
      <c r="D2353">
        <f>E2353*(SQRT($C$2/C2353))</f>
        <v>21.545723806091175</v>
      </c>
      <c r="E2353">
        <v>20</v>
      </c>
      <c r="F2353">
        <v>1150</v>
      </c>
      <c r="G2353">
        <v>2750</v>
      </c>
      <c r="H2353">
        <f>CONVERT(G2353,"HP","kW")</f>
        <v>2050.6746468512433</v>
      </c>
      <c r="I2353">
        <v>0.1389</v>
      </c>
      <c r="J2353">
        <v>0.1459</v>
      </c>
      <c r="K2353">
        <v>0.48959999999999998</v>
      </c>
      <c r="L2353">
        <v>0.28249999999999997</v>
      </c>
      <c r="M2353">
        <v>0.26889999999999997</v>
      </c>
      <c r="N2353">
        <f>CONVERT(O2353,"lbf","N")</f>
        <v>25705.383070267377</v>
      </c>
      <c r="O2353">
        <v>5778.8</v>
      </c>
      <c r="P2353">
        <f t="shared" si="36"/>
        <v>0.95185840707964597</v>
      </c>
    </row>
    <row r="2354" spans="1:16" hidden="1" x14ac:dyDescent="0.25">
      <c r="A2354">
        <v>0</v>
      </c>
      <c r="B2354">
        <v>5000</v>
      </c>
      <c r="C2354">
        <f>1.225 * (1 - 0.00000687559 * B2354) ^ 4.2561</f>
        <v>1.0555380742846066</v>
      </c>
      <c r="D2354">
        <f>E2354*(SQRT($C$2/C2354))</f>
        <v>43.09144761218235</v>
      </c>
      <c r="E2354">
        <v>40</v>
      </c>
      <c r="F2354">
        <v>1150</v>
      </c>
      <c r="G2354">
        <v>2750</v>
      </c>
      <c r="H2354">
        <f>CONVERT(G2354,"HP","kW")</f>
        <v>2050.6746468512433</v>
      </c>
      <c r="I2354">
        <v>0.28989999999999999</v>
      </c>
      <c r="J2354">
        <v>0.29189999999999999</v>
      </c>
      <c r="K2354">
        <v>0.49509999999999998</v>
      </c>
      <c r="L2354">
        <v>0.28249999999999997</v>
      </c>
      <c r="M2354">
        <v>0.28060000000000002</v>
      </c>
      <c r="N2354">
        <f>CONVERT(O2354,"lbf","N")</f>
        <v>26816.548829759453</v>
      </c>
      <c r="O2354">
        <v>6028.6</v>
      </c>
      <c r="P2354">
        <f t="shared" si="36"/>
        <v>0.99327433628318595</v>
      </c>
    </row>
    <row r="2355" spans="1:16" hidden="1" x14ac:dyDescent="0.25">
      <c r="A2355">
        <v>0</v>
      </c>
      <c r="B2355">
        <v>5000</v>
      </c>
      <c r="C2355">
        <f>1.225 * (1 - 0.00000687559 * B2355) ^ 4.2561</f>
        <v>1.0555380742846066</v>
      </c>
      <c r="D2355">
        <f>E2355*(SQRT($C$2/C2355))</f>
        <v>107.72861903045587</v>
      </c>
      <c r="E2355">
        <v>100</v>
      </c>
      <c r="F2355">
        <v>1150</v>
      </c>
      <c r="G2355">
        <v>2750</v>
      </c>
      <c r="H2355">
        <f>CONVERT(G2355,"HP","kW")</f>
        <v>2050.6746468512433</v>
      </c>
      <c r="I2355">
        <v>0.68730000000000002</v>
      </c>
      <c r="J2355">
        <v>0.72970000000000002</v>
      </c>
      <c r="K2355">
        <v>0.52229999999999999</v>
      </c>
      <c r="L2355">
        <v>0.28249999999999997</v>
      </c>
      <c r="M2355">
        <v>0.2661</v>
      </c>
      <c r="N2355">
        <f>CONVERT(O2355,"lbf","N")</f>
        <v>25433.151907413434</v>
      </c>
      <c r="O2355">
        <v>5717.6</v>
      </c>
      <c r="P2355">
        <f t="shared" si="36"/>
        <v>0.94194690265486736</v>
      </c>
    </row>
    <row r="2356" spans="1:16" hidden="1" x14ac:dyDescent="0.25">
      <c r="A2356">
        <v>0</v>
      </c>
      <c r="B2356">
        <v>5000</v>
      </c>
      <c r="C2356">
        <f>1.225 * (1 - 0.00000687559 * B2356) ^ 4.2561</f>
        <v>1.0555380742846066</v>
      </c>
      <c r="D2356">
        <f>E2356*(SQRT($C$2/C2356))</f>
        <v>129.27434283654705</v>
      </c>
      <c r="E2356">
        <v>120</v>
      </c>
      <c r="F2356">
        <v>1150</v>
      </c>
      <c r="G2356">
        <v>2750</v>
      </c>
      <c r="H2356">
        <f>CONVERT(G2356,"HP","kW")</f>
        <v>2050.6746468512433</v>
      </c>
      <c r="I2356">
        <v>0.74880000000000002</v>
      </c>
      <c r="J2356">
        <v>0.87570000000000003</v>
      </c>
      <c r="K2356">
        <v>0.53480000000000005</v>
      </c>
      <c r="L2356">
        <v>0.28249999999999997</v>
      </c>
      <c r="M2356">
        <v>0.24149999999999999</v>
      </c>
      <c r="N2356">
        <f>CONVERT(O2356,"lbf","N")</f>
        <v>23088.049471848099</v>
      </c>
      <c r="O2356">
        <v>5190.3999999999996</v>
      </c>
      <c r="P2356">
        <f t="shared" si="36"/>
        <v>0.85486725663716823</v>
      </c>
    </row>
    <row r="2357" spans="1:16" hidden="1" x14ac:dyDescent="0.25">
      <c r="A2357">
        <v>0</v>
      </c>
      <c r="B2357">
        <v>5000</v>
      </c>
      <c r="C2357">
        <f>1.225 * (1 - 0.00000687559 * B2357) ^ 4.2561</f>
        <v>1.0555380742846066</v>
      </c>
      <c r="D2357">
        <f>E2357*(SQRT($C$2/C2357))</f>
        <v>237.00296186700291</v>
      </c>
      <c r="E2357">
        <v>220</v>
      </c>
      <c r="F2357">
        <v>1150</v>
      </c>
      <c r="G2357">
        <v>2750</v>
      </c>
      <c r="H2357">
        <f>CONVERT(G2357,"HP","kW")</f>
        <v>2050.6746468512433</v>
      </c>
      <c r="I2357">
        <v>0.88060000000000005</v>
      </c>
      <c r="J2357">
        <v>1.6053999999999999</v>
      </c>
      <c r="K2357">
        <v>0.61780000000000002</v>
      </c>
      <c r="L2357">
        <v>0.28249999999999997</v>
      </c>
      <c r="M2357">
        <v>0.15490000000000001</v>
      </c>
      <c r="N2357">
        <f>CONVERT(O2357,"lbf","N")</f>
        <v>14810.798690171361</v>
      </c>
      <c r="O2357">
        <v>3329.6</v>
      </c>
      <c r="P2357">
        <f t="shared" si="36"/>
        <v>0.54831858407079659</v>
      </c>
    </row>
    <row r="2358" spans="1:16" hidden="1" x14ac:dyDescent="0.25">
      <c r="A2358">
        <v>0</v>
      </c>
      <c r="B2358">
        <v>5000</v>
      </c>
      <c r="C2358">
        <f>1.225 * (1 - 0.00000687559 * B2358) ^ 4.2561</f>
        <v>1.0555380742846066</v>
      </c>
      <c r="D2358">
        <f>E2358*(SQRT($C$2/C2358))</f>
        <v>258.5486856730941</v>
      </c>
      <c r="E2358">
        <v>240</v>
      </c>
      <c r="F2358">
        <v>1150</v>
      </c>
      <c r="G2358">
        <v>2750</v>
      </c>
      <c r="H2358">
        <f>CONVERT(G2358,"HP","kW")</f>
        <v>2050.6746468512433</v>
      </c>
      <c r="I2358">
        <v>0.88890000000000002</v>
      </c>
      <c r="J2358">
        <v>1.7513000000000001</v>
      </c>
      <c r="K2358">
        <v>0.63800000000000001</v>
      </c>
      <c r="L2358">
        <v>0.28249999999999997</v>
      </c>
      <c r="M2358">
        <v>0.1434</v>
      </c>
      <c r="N2358">
        <f>CONVERT(O2358,"lbf","N")</f>
        <v>13705.415618779127</v>
      </c>
      <c r="O2358">
        <v>3081.1</v>
      </c>
      <c r="P2358">
        <f t="shared" si="36"/>
        <v>0.50761061946902664</v>
      </c>
    </row>
    <row r="2359" spans="1:16" hidden="1" x14ac:dyDescent="0.25">
      <c r="A2359">
        <v>0</v>
      </c>
      <c r="B2359">
        <v>5000</v>
      </c>
      <c r="C2359">
        <f>1.225 * (1 - 0.00000687559 * B2359) ^ 4.2561</f>
        <v>1.0555380742846066</v>
      </c>
      <c r="D2359">
        <f>E2359*(SQRT($C$2/C2359))</f>
        <v>280.09440947918529</v>
      </c>
      <c r="E2359">
        <v>260</v>
      </c>
      <c r="F2359">
        <v>1150</v>
      </c>
      <c r="G2359">
        <v>2750</v>
      </c>
      <c r="H2359">
        <f>CONVERT(G2359,"HP","kW")</f>
        <v>2050.6746468512433</v>
      </c>
      <c r="I2359">
        <v>0.89400000000000002</v>
      </c>
      <c r="J2359">
        <v>1.8973</v>
      </c>
      <c r="K2359">
        <v>0.6593</v>
      </c>
      <c r="L2359">
        <v>0.28249999999999997</v>
      </c>
      <c r="M2359">
        <v>0.1331</v>
      </c>
      <c r="N2359">
        <f>CONVERT(O2359,"lbf","N")</f>
        <v>12723.248286129608</v>
      </c>
      <c r="O2359">
        <v>2860.3</v>
      </c>
      <c r="P2359">
        <f t="shared" si="36"/>
        <v>0.47115044247787613</v>
      </c>
    </row>
    <row r="2360" spans="1:16" hidden="1" x14ac:dyDescent="0.25">
      <c r="A2360">
        <v>0</v>
      </c>
      <c r="B2360">
        <v>5000</v>
      </c>
      <c r="C2360">
        <f>1.225 * (1 - 0.00000687559 * B2360) ^ 4.2561</f>
        <v>1.0555380742846066</v>
      </c>
      <c r="D2360">
        <f>E2360*(SQRT($C$2/C2360))</f>
        <v>0</v>
      </c>
      <c r="E2360">
        <v>0</v>
      </c>
      <c r="F2360">
        <v>1150</v>
      </c>
      <c r="G2360">
        <v>2750</v>
      </c>
      <c r="H2360">
        <f>CONVERT(G2360,"HP","kW")</f>
        <v>2050.6746468512433</v>
      </c>
      <c r="I2360">
        <v>0</v>
      </c>
      <c r="J2360">
        <v>0</v>
      </c>
      <c r="K2360">
        <v>0.48530000000000001</v>
      </c>
      <c r="L2360">
        <v>0.28260000000000002</v>
      </c>
      <c r="M2360">
        <v>0.25990000000000002</v>
      </c>
      <c r="N2360">
        <f>CONVERT(O2360,"lbf","N")</f>
        <v>24833.531633676321</v>
      </c>
      <c r="O2360">
        <v>5582.8</v>
      </c>
      <c r="P2360">
        <f t="shared" si="36"/>
        <v>0.91967445152158533</v>
      </c>
    </row>
    <row r="2361" spans="1:16" hidden="1" x14ac:dyDescent="0.25">
      <c r="A2361">
        <v>0</v>
      </c>
      <c r="B2361">
        <v>5000</v>
      </c>
      <c r="C2361">
        <f>1.225 * (1 - 0.00000687559 * B2361) ^ 4.2561</f>
        <v>1.0555380742846066</v>
      </c>
      <c r="D2361">
        <f>E2361*(SQRT($C$2/C2361))</f>
        <v>64.637171418273525</v>
      </c>
      <c r="E2361">
        <v>60</v>
      </c>
      <c r="F2361">
        <v>1150</v>
      </c>
      <c r="G2361">
        <v>2750</v>
      </c>
      <c r="H2361">
        <f>CONVERT(G2361,"HP","kW")</f>
        <v>2050.6746468512433</v>
      </c>
      <c r="I2361">
        <v>0.45129999999999998</v>
      </c>
      <c r="J2361">
        <v>0.43780000000000002</v>
      </c>
      <c r="K2361">
        <v>0.50219999999999998</v>
      </c>
      <c r="L2361">
        <v>0.2828</v>
      </c>
      <c r="M2361">
        <v>0.29149999999999998</v>
      </c>
      <c r="N2361">
        <f>CONVERT(O2361,"lbf","N")</f>
        <v>27834.301935331052</v>
      </c>
      <c r="O2361">
        <v>6257.4</v>
      </c>
      <c r="P2361">
        <f t="shared" si="36"/>
        <v>1.0307637906647806</v>
      </c>
    </row>
    <row r="2362" spans="1:16" hidden="1" x14ac:dyDescent="0.25">
      <c r="A2362">
        <v>0</v>
      </c>
      <c r="B2362">
        <v>5000</v>
      </c>
      <c r="C2362">
        <f>1.225 * (1 - 0.00000687559 * B2362) ^ 4.2561</f>
        <v>1.0555380742846066</v>
      </c>
      <c r="D2362">
        <f>E2362*(SQRT($C$2/C2362))</f>
        <v>107.72861903045587</v>
      </c>
      <c r="E2362">
        <v>100</v>
      </c>
      <c r="F2362">
        <v>987</v>
      </c>
      <c r="G2362">
        <v>1750</v>
      </c>
      <c r="H2362">
        <f>CONVERT(G2362,"HP","kW")</f>
        <v>1304.974775268973</v>
      </c>
      <c r="I2362">
        <v>0.73970000000000002</v>
      </c>
      <c r="J2362">
        <v>0.85019999999999996</v>
      </c>
      <c r="K2362">
        <v>0.45710000000000001</v>
      </c>
      <c r="L2362">
        <v>0.28410000000000002</v>
      </c>
      <c r="M2362">
        <v>0.2472</v>
      </c>
      <c r="N2362">
        <f>CONVERT(O2362,"lbf","N")</f>
        <v>17418.346201037068</v>
      </c>
      <c r="O2362">
        <v>3915.8</v>
      </c>
      <c r="P2362">
        <f t="shared" si="36"/>
        <v>0.87011615628299888</v>
      </c>
    </row>
    <row r="2363" spans="1:16" hidden="1" x14ac:dyDescent="0.25">
      <c r="A2363">
        <v>0</v>
      </c>
      <c r="B2363">
        <v>10000</v>
      </c>
      <c r="C2363">
        <f>1.225 * (1 - 0.00000687559 * B2363) ^ 4.2561</f>
        <v>0.90462252368600637</v>
      </c>
      <c r="D2363">
        <f>E2363*(SQRT($C$2/C2363))</f>
        <v>279.28369884784883</v>
      </c>
      <c r="E2363">
        <v>240</v>
      </c>
      <c r="F2363">
        <v>987</v>
      </c>
      <c r="G2363">
        <v>1500</v>
      </c>
      <c r="H2363">
        <f>CONVERT(G2363,"HP","kW")</f>
        <v>1118.5498073734054</v>
      </c>
      <c r="I2363">
        <v>0.89490000000000003</v>
      </c>
      <c r="J2363">
        <v>2.2042000000000002</v>
      </c>
      <c r="K2363">
        <v>0.61780000000000002</v>
      </c>
      <c r="L2363">
        <v>0.28410000000000002</v>
      </c>
      <c r="M2363">
        <v>0.1153</v>
      </c>
      <c r="N2363">
        <f>CONVERT(O2363,"lbf","N")</f>
        <v>6966.8046938209955</v>
      </c>
      <c r="O2363">
        <v>1566.2</v>
      </c>
      <c r="P2363">
        <f t="shared" si="36"/>
        <v>0.40584301302358322</v>
      </c>
    </row>
    <row r="2364" spans="1:16" hidden="1" x14ac:dyDescent="0.25">
      <c r="A2364">
        <v>0</v>
      </c>
      <c r="B2364">
        <v>5000</v>
      </c>
      <c r="C2364">
        <f>1.225 * (1 - 0.00000687559 * B2364) ^ 4.2561</f>
        <v>1.0555380742846066</v>
      </c>
      <c r="D2364">
        <f>E2364*(SQRT($C$2/C2364))</f>
        <v>280.09440947918529</v>
      </c>
      <c r="E2364">
        <v>260</v>
      </c>
      <c r="F2364">
        <v>987</v>
      </c>
      <c r="G2364">
        <v>1750</v>
      </c>
      <c r="H2364">
        <f>CONVERT(G2364,"HP","kW")</f>
        <v>1304.974775268973</v>
      </c>
      <c r="I2364">
        <v>0.89480000000000004</v>
      </c>
      <c r="J2364">
        <v>2.2105999999999999</v>
      </c>
      <c r="K2364">
        <v>0.60760000000000003</v>
      </c>
      <c r="L2364">
        <v>0.28420000000000001</v>
      </c>
      <c r="M2364">
        <v>0.115</v>
      </c>
      <c r="N2364">
        <f>CONVERT(O2364,"lbf","N")</f>
        <v>8103.3253165200531</v>
      </c>
      <c r="O2364">
        <v>1821.7</v>
      </c>
      <c r="P2364">
        <f t="shared" si="36"/>
        <v>0.40464461646727656</v>
      </c>
    </row>
    <row r="2365" spans="1:16" hidden="1" x14ac:dyDescent="0.25">
      <c r="A2365">
        <v>0</v>
      </c>
      <c r="B2365">
        <v>5000</v>
      </c>
      <c r="C2365">
        <f>1.225 * (1 - 0.00000687559 * B2365) ^ 4.2561</f>
        <v>1.0555380742846066</v>
      </c>
      <c r="D2365">
        <f>E2365*(SQRT($C$2/C2365))</f>
        <v>21.545723806091175</v>
      </c>
      <c r="E2365">
        <v>20</v>
      </c>
      <c r="F2365">
        <v>987</v>
      </c>
      <c r="G2365">
        <v>1750</v>
      </c>
      <c r="H2365">
        <f>CONVERT(G2365,"HP","kW")</f>
        <v>1304.974775268973</v>
      </c>
      <c r="I2365">
        <v>0.1608</v>
      </c>
      <c r="J2365">
        <v>0.17</v>
      </c>
      <c r="K2365">
        <v>0.4209</v>
      </c>
      <c r="L2365">
        <v>0.2843</v>
      </c>
      <c r="M2365">
        <v>0.26879999999999998</v>
      </c>
      <c r="N2365">
        <f>CONVERT(O2365,"lbf","N")</f>
        <v>18930.29672806411</v>
      </c>
      <c r="O2365">
        <v>4255.7</v>
      </c>
      <c r="P2365">
        <f t="shared" si="36"/>
        <v>0.94548012662680259</v>
      </c>
    </row>
    <row r="2366" spans="1:16" hidden="1" x14ac:dyDescent="0.25">
      <c r="A2366">
        <v>0</v>
      </c>
      <c r="B2366">
        <v>5000</v>
      </c>
      <c r="C2366">
        <f>1.225 * (1 - 0.00000687559 * B2366) ^ 4.2561</f>
        <v>1.0555380742846066</v>
      </c>
      <c r="D2366">
        <f>E2366*(SQRT($C$2/C2366))</f>
        <v>43.09144761218235</v>
      </c>
      <c r="E2366">
        <v>40</v>
      </c>
      <c r="F2366">
        <v>987</v>
      </c>
      <c r="G2366">
        <v>1750</v>
      </c>
      <c r="H2366">
        <f>CONVERT(G2366,"HP","kW")</f>
        <v>1304.974775268973</v>
      </c>
      <c r="I2366">
        <v>0.33929999999999999</v>
      </c>
      <c r="J2366">
        <v>0.34010000000000001</v>
      </c>
      <c r="K2366">
        <v>0.42680000000000001</v>
      </c>
      <c r="L2366">
        <v>0.2843</v>
      </c>
      <c r="M2366">
        <v>0.28370000000000001</v>
      </c>
      <c r="N2366">
        <f>CONVERT(O2366,"lbf","N")</f>
        <v>19975.628807650326</v>
      </c>
      <c r="O2366">
        <v>4490.7</v>
      </c>
      <c r="P2366">
        <f t="shared" si="36"/>
        <v>0.99788955328877949</v>
      </c>
    </row>
    <row r="2367" spans="1:16" hidden="1" x14ac:dyDescent="0.25">
      <c r="A2367">
        <v>0</v>
      </c>
      <c r="B2367">
        <v>5000</v>
      </c>
      <c r="C2367">
        <f>1.225 * (1 - 0.00000687559 * B2367) ^ 4.2561</f>
        <v>1.0555380742846066</v>
      </c>
      <c r="D2367">
        <f>E2367*(SQRT($C$2/C2367))</f>
        <v>64.637171418273525</v>
      </c>
      <c r="E2367">
        <v>60</v>
      </c>
      <c r="F2367">
        <v>987</v>
      </c>
      <c r="G2367">
        <v>1750</v>
      </c>
      <c r="H2367">
        <f>CONVERT(G2367,"HP","kW")</f>
        <v>1304.974775268973</v>
      </c>
      <c r="I2367">
        <v>0.52710000000000001</v>
      </c>
      <c r="J2367">
        <v>0.5101</v>
      </c>
      <c r="K2367">
        <v>0.43459999999999999</v>
      </c>
      <c r="L2367">
        <v>0.2843</v>
      </c>
      <c r="M2367">
        <v>0.29380000000000001</v>
      </c>
      <c r="N2367">
        <f>CONVERT(O2367,"lbf","N")</f>
        <v>20687.789088253532</v>
      </c>
      <c r="O2367">
        <v>4650.8</v>
      </c>
      <c r="P2367">
        <f t="shared" si="36"/>
        <v>1.0334154062609919</v>
      </c>
    </row>
    <row r="2368" spans="1:16" hidden="1" x14ac:dyDescent="0.25">
      <c r="A2368">
        <v>0</v>
      </c>
      <c r="B2368">
        <v>5000</v>
      </c>
      <c r="C2368">
        <f>1.225 * (1 - 0.00000687559 * B2368) ^ 4.2561</f>
        <v>1.0555380742846066</v>
      </c>
      <c r="D2368">
        <f>E2368*(SQRT($C$2/C2368))</f>
        <v>129.27434283654705</v>
      </c>
      <c r="E2368">
        <v>120</v>
      </c>
      <c r="F2368">
        <v>987</v>
      </c>
      <c r="G2368">
        <v>1750</v>
      </c>
      <c r="H2368">
        <f>CONVERT(G2368,"HP","kW")</f>
        <v>1304.974775268973</v>
      </c>
      <c r="I2368">
        <v>0.79390000000000005</v>
      </c>
      <c r="J2368">
        <v>1.0203</v>
      </c>
      <c r="K2368">
        <v>0.47089999999999999</v>
      </c>
      <c r="L2368">
        <v>0.2843</v>
      </c>
      <c r="M2368">
        <v>0.22120000000000001</v>
      </c>
      <c r="N2368">
        <f>CONVERT(O2368,"lbf","N")</f>
        <v>15578.561740965324</v>
      </c>
      <c r="O2368">
        <v>3502.2</v>
      </c>
      <c r="P2368">
        <f t="shared" si="36"/>
        <v>0.7780513542033064</v>
      </c>
    </row>
    <row r="2369" spans="1:16" hidden="1" x14ac:dyDescent="0.25">
      <c r="A2369">
        <v>0</v>
      </c>
      <c r="B2369">
        <v>5000</v>
      </c>
      <c r="C2369">
        <f>1.225 * (1 - 0.00000687559 * B2369) ^ 4.2561</f>
        <v>1.0555380742846066</v>
      </c>
      <c r="D2369">
        <f>E2369*(SQRT($C$2/C2369))</f>
        <v>150.82006664263821</v>
      </c>
      <c r="E2369">
        <v>140</v>
      </c>
      <c r="F2369">
        <v>987</v>
      </c>
      <c r="G2369">
        <v>1750</v>
      </c>
      <c r="H2369">
        <f>CONVERT(G2369,"HP","kW")</f>
        <v>1304.974775268973</v>
      </c>
      <c r="I2369">
        <v>0.83160000000000001</v>
      </c>
      <c r="J2369">
        <v>1.1902999999999999</v>
      </c>
      <c r="K2369">
        <v>0.48630000000000001</v>
      </c>
      <c r="L2369">
        <v>0.2843</v>
      </c>
      <c r="M2369">
        <v>0.1986</v>
      </c>
      <c r="N2369">
        <f>CONVERT(O2369,"lbf","N")</f>
        <v>13986.543224863592</v>
      </c>
      <c r="O2369">
        <v>3144.3</v>
      </c>
      <c r="P2369">
        <f t="shared" si="36"/>
        <v>0.69855786141399934</v>
      </c>
    </row>
    <row r="2370" spans="1:16" hidden="1" x14ac:dyDescent="0.25">
      <c r="A2370">
        <v>0</v>
      </c>
      <c r="B2370">
        <v>5000</v>
      </c>
      <c r="C2370">
        <f>1.225 * (1 - 0.00000687559 * B2370) ^ 4.2561</f>
        <v>1.0555380742846066</v>
      </c>
      <c r="D2370">
        <f>E2370*(SQRT($C$2/C2370))</f>
        <v>172.3657904487294</v>
      </c>
      <c r="E2370">
        <v>160</v>
      </c>
      <c r="F2370">
        <v>987</v>
      </c>
      <c r="G2370">
        <v>1750</v>
      </c>
      <c r="H2370">
        <f>CONVERT(G2370,"HP","kW")</f>
        <v>1304.974775268973</v>
      </c>
      <c r="I2370">
        <v>0.85740000000000005</v>
      </c>
      <c r="J2370">
        <v>1.3604000000000001</v>
      </c>
      <c r="K2370">
        <v>0.50319999999999998</v>
      </c>
      <c r="L2370">
        <v>0.2843</v>
      </c>
      <c r="M2370">
        <v>0.1792</v>
      </c>
      <c r="N2370">
        <f>CONVERT(O2370,"lbf","N")</f>
        <v>12618.715078170988</v>
      </c>
      <c r="O2370">
        <v>2836.8</v>
      </c>
      <c r="P2370">
        <f t="shared" si="36"/>
        <v>0.63032008441786846</v>
      </c>
    </row>
    <row r="2371" spans="1:16" hidden="1" x14ac:dyDescent="0.25">
      <c r="A2371">
        <v>0</v>
      </c>
      <c r="B2371">
        <v>5000</v>
      </c>
      <c r="C2371">
        <f>1.225 * (1 - 0.00000687559 * B2371) ^ 4.2561</f>
        <v>1.0555380742846066</v>
      </c>
      <c r="D2371">
        <f>E2371*(SQRT($C$2/C2371))</f>
        <v>193.91151425482059</v>
      </c>
      <c r="E2371">
        <v>180</v>
      </c>
      <c r="F2371">
        <v>987</v>
      </c>
      <c r="G2371">
        <v>1750</v>
      </c>
      <c r="H2371">
        <f>CONVERT(G2371,"HP","kW")</f>
        <v>1304.974775268973</v>
      </c>
      <c r="I2371">
        <v>0.875</v>
      </c>
      <c r="J2371">
        <v>1.5304</v>
      </c>
      <c r="K2371">
        <v>0.52170000000000005</v>
      </c>
      <c r="L2371">
        <v>0.2843</v>
      </c>
      <c r="M2371">
        <v>0.16250000000000001</v>
      </c>
      <c r="N2371">
        <f>CONVERT(O2371,"lbf","N")</f>
        <v>11446.163860388317</v>
      </c>
      <c r="O2371">
        <v>2573.1999999999998</v>
      </c>
      <c r="P2371">
        <f t="shared" ref="P2371:P2434" si="37">M2371/L2371</f>
        <v>0.57157931762223002</v>
      </c>
    </row>
    <row r="2372" spans="1:16" hidden="1" x14ac:dyDescent="0.25">
      <c r="A2372">
        <v>0</v>
      </c>
      <c r="B2372">
        <v>5000</v>
      </c>
      <c r="C2372">
        <f>1.225 * (1 - 0.00000687559 * B2372) ^ 4.2561</f>
        <v>1.0555380742846066</v>
      </c>
      <c r="D2372">
        <f>E2372*(SQRT($C$2/C2372))</f>
        <v>215.45723806091175</v>
      </c>
      <c r="E2372">
        <v>200</v>
      </c>
      <c r="F2372">
        <v>987</v>
      </c>
      <c r="G2372">
        <v>1750</v>
      </c>
      <c r="H2372">
        <f>CONVERT(G2372,"HP","kW")</f>
        <v>1304.974775268973</v>
      </c>
      <c r="I2372">
        <v>0.88639999999999997</v>
      </c>
      <c r="J2372">
        <v>1.7004999999999999</v>
      </c>
      <c r="K2372">
        <v>0.54139999999999999</v>
      </c>
      <c r="L2372">
        <v>0.2843</v>
      </c>
      <c r="M2372">
        <v>0.1482</v>
      </c>
      <c r="N2372">
        <f>CONVERT(O2372,"lbf","N")</f>
        <v>10435.527909401133</v>
      </c>
      <c r="O2372">
        <v>2346</v>
      </c>
      <c r="P2372">
        <f t="shared" si="37"/>
        <v>0.52128033767147375</v>
      </c>
    </row>
    <row r="2373" spans="1:16" hidden="1" x14ac:dyDescent="0.25">
      <c r="A2373">
        <v>0</v>
      </c>
      <c r="B2373">
        <v>5000</v>
      </c>
      <c r="C2373">
        <f>1.225 * (1 - 0.00000687559 * B2373) ^ 4.2561</f>
        <v>1.0555380742846066</v>
      </c>
      <c r="D2373">
        <f>E2373*(SQRT($C$2/C2373))</f>
        <v>237.00296186700291</v>
      </c>
      <c r="E2373">
        <v>220</v>
      </c>
      <c r="F2373">
        <v>987</v>
      </c>
      <c r="G2373">
        <v>1750</v>
      </c>
      <c r="H2373">
        <f>CONVERT(G2373,"HP","kW")</f>
        <v>1304.974775268973</v>
      </c>
      <c r="I2373">
        <v>0.89300000000000002</v>
      </c>
      <c r="J2373">
        <v>1.8705000000000001</v>
      </c>
      <c r="K2373">
        <v>0.56240000000000001</v>
      </c>
      <c r="L2373">
        <v>0.2843</v>
      </c>
      <c r="M2373">
        <v>0.13569999999999999</v>
      </c>
      <c r="N2373">
        <f>CONVERT(O2373,"lbf","N")</f>
        <v>9558.3386068717627</v>
      </c>
      <c r="O2373">
        <v>2148.8000000000002</v>
      </c>
      <c r="P2373">
        <f t="shared" si="37"/>
        <v>0.47731269785437913</v>
      </c>
    </row>
    <row r="2374" spans="1:16" hidden="1" x14ac:dyDescent="0.25">
      <c r="A2374">
        <v>0</v>
      </c>
      <c r="B2374">
        <v>5000</v>
      </c>
      <c r="C2374">
        <f>1.225 * (1 - 0.00000687559 * B2374) ^ 4.2561</f>
        <v>1.0555380742846066</v>
      </c>
      <c r="D2374">
        <f>E2374*(SQRT($C$2/C2374))</f>
        <v>258.5486856730941</v>
      </c>
      <c r="E2374">
        <v>240</v>
      </c>
      <c r="F2374">
        <v>987</v>
      </c>
      <c r="G2374">
        <v>1750</v>
      </c>
      <c r="H2374">
        <f>CONVERT(G2374,"HP","kW")</f>
        <v>1304.974775268973</v>
      </c>
      <c r="I2374">
        <v>0.89580000000000004</v>
      </c>
      <c r="J2374">
        <v>2.0406</v>
      </c>
      <c r="K2374">
        <v>0.58450000000000002</v>
      </c>
      <c r="L2374">
        <v>0.2843</v>
      </c>
      <c r="M2374">
        <v>0.12479999999999999</v>
      </c>
      <c r="N2374">
        <f>CONVERT(O2374,"lbf","N")</f>
        <v>8788.796267431695</v>
      </c>
      <c r="O2374">
        <v>1975.8</v>
      </c>
      <c r="P2374">
        <f t="shared" si="37"/>
        <v>0.43897291593387266</v>
      </c>
    </row>
    <row r="2375" spans="1:16" hidden="1" x14ac:dyDescent="0.25">
      <c r="A2375">
        <v>0</v>
      </c>
      <c r="B2375">
        <v>10000</v>
      </c>
      <c r="C2375">
        <f>1.225 * (1 - 0.00000687559 * B2375) ^ 4.2561</f>
        <v>0.90462252368600637</v>
      </c>
      <c r="D2375">
        <f>E2375*(SQRT($C$2/C2375))</f>
        <v>23.273641570654068</v>
      </c>
      <c r="E2375">
        <v>20</v>
      </c>
      <c r="F2375">
        <v>987</v>
      </c>
      <c r="G2375">
        <v>1500</v>
      </c>
      <c r="H2375">
        <f>CONVERT(G2375,"HP","kW")</f>
        <v>1118.5498073734054</v>
      </c>
      <c r="I2375">
        <v>0.1744</v>
      </c>
      <c r="J2375">
        <v>0.1837</v>
      </c>
      <c r="K2375">
        <v>0.42899999999999999</v>
      </c>
      <c r="L2375">
        <v>0.2843</v>
      </c>
      <c r="M2375">
        <v>0.27</v>
      </c>
      <c r="N2375">
        <f>CONVERT(O2375,"lbf","N")</f>
        <v>16295.615065345315</v>
      </c>
      <c r="O2375">
        <v>3663.4</v>
      </c>
      <c r="P2375">
        <f t="shared" si="37"/>
        <v>0.94970102004924384</v>
      </c>
    </row>
    <row r="2376" spans="1:16" hidden="1" x14ac:dyDescent="0.25">
      <c r="A2376">
        <v>0</v>
      </c>
      <c r="B2376">
        <v>10000</v>
      </c>
      <c r="C2376">
        <f>1.225 * (1 - 0.00000687559 * B2376) ^ 4.2561</f>
        <v>0.90462252368600637</v>
      </c>
      <c r="D2376">
        <f>E2376*(SQRT($C$2/C2376))</f>
        <v>69.820924711962206</v>
      </c>
      <c r="E2376">
        <v>60</v>
      </c>
      <c r="F2376">
        <v>987</v>
      </c>
      <c r="G2376">
        <v>1500</v>
      </c>
      <c r="H2376">
        <f>CONVERT(G2376,"HP","kW")</f>
        <v>1118.5498073734054</v>
      </c>
      <c r="I2376">
        <v>0.5655</v>
      </c>
      <c r="J2376">
        <v>0.55110000000000003</v>
      </c>
      <c r="K2376">
        <v>0.44490000000000002</v>
      </c>
      <c r="L2376">
        <v>0.2843</v>
      </c>
      <c r="M2376">
        <v>0.2918</v>
      </c>
      <c r="N2376">
        <f>CONVERT(O2376,"lbf","N")</f>
        <v>17609.174908331741</v>
      </c>
      <c r="O2376">
        <v>3958.7</v>
      </c>
      <c r="P2376">
        <f t="shared" si="37"/>
        <v>1.0263805838902569</v>
      </c>
    </row>
    <row r="2377" spans="1:16" hidden="1" x14ac:dyDescent="0.25">
      <c r="A2377">
        <v>0</v>
      </c>
      <c r="B2377">
        <v>10000</v>
      </c>
      <c r="C2377">
        <f>1.225 * (1 - 0.00000687559 * B2377) ^ 4.2561</f>
        <v>0.90462252368600637</v>
      </c>
      <c r="D2377">
        <f>E2377*(SQRT($C$2/C2377))</f>
        <v>46.547283141308135</v>
      </c>
      <c r="E2377">
        <v>40</v>
      </c>
      <c r="F2377">
        <v>987</v>
      </c>
      <c r="G2377">
        <v>1500</v>
      </c>
      <c r="H2377">
        <f>CONVERT(G2377,"HP","kW")</f>
        <v>1118.5498073734054</v>
      </c>
      <c r="I2377">
        <v>0.37</v>
      </c>
      <c r="J2377">
        <v>0.3674</v>
      </c>
      <c r="K2377">
        <v>0.43569999999999998</v>
      </c>
      <c r="L2377">
        <v>0.28439999999999999</v>
      </c>
      <c r="M2377">
        <v>0.28649999999999998</v>
      </c>
      <c r="N2377">
        <f>CONVERT(O2377,"lbf","N")</f>
        <v>17284.009908256201</v>
      </c>
      <c r="O2377">
        <v>3885.6</v>
      </c>
      <c r="P2377">
        <f t="shared" si="37"/>
        <v>1.0073839662447257</v>
      </c>
    </row>
    <row r="2378" spans="1:16" hidden="1" x14ac:dyDescent="0.25">
      <c r="A2378">
        <v>0</v>
      </c>
      <c r="B2378">
        <v>10000</v>
      </c>
      <c r="C2378">
        <f>1.225 * (1 - 0.00000687559 * B2378) ^ 4.2561</f>
        <v>0.90462252368600637</v>
      </c>
      <c r="D2378">
        <f>E2378*(SQRT($C$2/C2378))</f>
        <v>93.09456628261627</v>
      </c>
      <c r="E2378">
        <v>80</v>
      </c>
      <c r="F2378">
        <v>987</v>
      </c>
      <c r="G2378">
        <v>1500</v>
      </c>
      <c r="H2378">
        <f>CONVERT(G2378,"HP","kW")</f>
        <v>1118.5498073734054</v>
      </c>
      <c r="I2378">
        <v>0.68979999999999997</v>
      </c>
      <c r="J2378">
        <v>0.73470000000000002</v>
      </c>
      <c r="K2378">
        <v>0.45679999999999998</v>
      </c>
      <c r="L2378">
        <v>0.28439999999999999</v>
      </c>
      <c r="M2378">
        <v>0.26700000000000002</v>
      </c>
      <c r="N2378">
        <f>CONVERT(O2378,"lbf","N")</f>
        <v>16112.348334796583</v>
      </c>
      <c r="O2378">
        <v>3622.2</v>
      </c>
      <c r="P2378">
        <f t="shared" si="37"/>
        <v>0.93881856540084396</v>
      </c>
    </row>
    <row r="2379" spans="1:16" hidden="1" x14ac:dyDescent="0.25">
      <c r="A2379">
        <v>0</v>
      </c>
      <c r="B2379">
        <v>10000</v>
      </c>
      <c r="C2379">
        <f>1.225 * (1 - 0.00000687559 * B2379) ^ 4.2561</f>
        <v>0.90462252368600637</v>
      </c>
      <c r="D2379">
        <f>E2379*(SQRT($C$2/C2379))</f>
        <v>116.36820785327033</v>
      </c>
      <c r="E2379">
        <v>100</v>
      </c>
      <c r="F2379">
        <v>987</v>
      </c>
      <c r="G2379">
        <v>1500</v>
      </c>
      <c r="H2379">
        <f>CONVERT(G2379,"HP","kW")</f>
        <v>1118.5498073734054</v>
      </c>
      <c r="I2379">
        <v>0.76370000000000005</v>
      </c>
      <c r="J2379">
        <v>0.91839999999999999</v>
      </c>
      <c r="K2379">
        <v>0.47089999999999999</v>
      </c>
      <c r="L2379">
        <v>0.28439999999999999</v>
      </c>
      <c r="M2379">
        <v>0.23649999999999999</v>
      </c>
      <c r="N2379">
        <f>CONVERT(O2379,"lbf","N")</f>
        <v>14269.894941755683</v>
      </c>
      <c r="O2379">
        <v>3208</v>
      </c>
      <c r="P2379">
        <f t="shared" si="37"/>
        <v>0.83157524613220812</v>
      </c>
    </row>
    <row r="2380" spans="1:16" hidden="1" x14ac:dyDescent="0.25">
      <c r="A2380">
        <v>0</v>
      </c>
      <c r="B2380">
        <v>10000</v>
      </c>
      <c r="C2380">
        <f>1.225 * (1 - 0.00000687559 * B2380) ^ 4.2561</f>
        <v>0.90462252368600637</v>
      </c>
      <c r="D2380">
        <f>E2380*(SQRT($C$2/C2380))</f>
        <v>139.64184942392441</v>
      </c>
      <c r="E2380">
        <v>120</v>
      </c>
      <c r="F2380">
        <v>987</v>
      </c>
      <c r="G2380">
        <v>1500</v>
      </c>
      <c r="H2380">
        <f>CONVERT(G2380,"HP","kW")</f>
        <v>1118.5498073734054</v>
      </c>
      <c r="I2380">
        <v>0.81379999999999997</v>
      </c>
      <c r="J2380">
        <v>1.1021000000000001</v>
      </c>
      <c r="K2380">
        <v>0.48680000000000001</v>
      </c>
      <c r="L2380">
        <v>0.28439999999999999</v>
      </c>
      <c r="M2380">
        <v>0.21</v>
      </c>
      <c r="N2380">
        <f>CONVERT(O2380,"lbf","N")</f>
        <v>12670.759271069533</v>
      </c>
      <c r="O2380">
        <v>2848.5</v>
      </c>
      <c r="P2380">
        <f t="shared" si="37"/>
        <v>0.73839662447257381</v>
      </c>
    </row>
    <row r="2381" spans="1:16" hidden="1" x14ac:dyDescent="0.25">
      <c r="A2381">
        <v>0</v>
      </c>
      <c r="B2381">
        <v>10000</v>
      </c>
      <c r="C2381">
        <f>1.225 * (1 - 0.00000687559 * B2381) ^ 4.2561</f>
        <v>0.90462252368600637</v>
      </c>
      <c r="D2381">
        <f>E2381*(SQRT($C$2/C2381))</f>
        <v>162.91549099457848</v>
      </c>
      <c r="E2381">
        <v>140</v>
      </c>
      <c r="F2381">
        <v>987</v>
      </c>
      <c r="G2381">
        <v>1500</v>
      </c>
      <c r="H2381">
        <f>CONVERT(G2381,"HP","kW")</f>
        <v>1118.5498073734054</v>
      </c>
      <c r="I2381">
        <v>0.84730000000000005</v>
      </c>
      <c r="J2381">
        <v>1.2858000000000001</v>
      </c>
      <c r="K2381">
        <v>0.50470000000000004</v>
      </c>
      <c r="L2381">
        <v>0.28439999999999999</v>
      </c>
      <c r="M2381">
        <v>0.18740000000000001</v>
      </c>
      <c r="N2381">
        <f>CONVERT(O2381,"lbf","N")</f>
        <v>11308.268990315242</v>
      </c>
      <c r="O2381">
        <v>2542.1999999999998</v>
      </c>
      <c r="P2381">
        <f t="shared" si="37"/>
        <v>0.65893108298171599</v>
      </c>
    </row>
    <row r="2382" spans="1:16" hidden="1" x14ac:dyDescent="0.25">
      <c r="A2382">
        <v>0</v>
      </c>
      <c r="B2382">
        <v>10000</v>
      </c>
      <c r="C2382">
        <f>1.225 * (1 - 0.00000687559 * B2382) ^ 4.2561</f>
        <v>0.90462252368600637</v>
      </c>
      <c r="D2382">
        <f>E2382*(SQRT($C$2/C2382))</f>
        <v>186.18913256523254</v>
      </c>
      <c r="E2382">
        <v>160</v>
      </c>
      <c r="F2382">
        <v>987</v>
      </c>
      <c r="G2382">
        <v>1500</v>
      </c>
      <c r="H2382">
        <f>CONVERT(G2382,"HP","kW")</f>
        <v>1118.5498073734054</v>
      </c>
      <c r="I2382">
        <v>0.86950000000000005</v>
      </c>
      <c r="J2382">
        <v>1.4695</v>
      </c>
      <c r="K2382">
        <v>0.52429999999999999</v>
      </c>
      <c r="L2382">
        <v>0.28439999999999999</v>
      </c>
      <c r="M2382">
        <v>0.16819999999999999</v>
      </c>
      <c r="N2382">
        <f>CONVERT(O2382,"lbf","N")</f>
        <v>10153.955481155142</v>
      </c>
      <c r="O2382">
        <v>2282.6999999999998</v>
      </c>
      <c r="P2382">
        <f t="shared" si="37"/>
        <v>0.59142053445850917</v>
      </c>
    </row>
    <row r="2383" spans="1:16" hidden="1" x14ac:dyDescent="0.25">
      <c r="A2383">
        <v>0</v>
      </c>
      <c r="B2383">
        <v>10000</v>
      </c>
      <c r="C2383">
        <f>1.225 * (1 - 0.00000687559 * B2383) ^ 4.2561</f>
        <v>0.90462252368600637</v>
      </c>
      <c r="D2383">
        <f>E2383*(SQRT($C$2/C2383))</f>
        <v>209.4627741358866</v>
      </c>
      <c r="E2383">
        <v>180</v>
      </c>
      <c r="F2383">
        <v>987</v>
      </c>
      <c r="G2383">
        <v>1500</v>
      </c>
      <c r="H2383">
        <f>CONVERT(G2383,"HP","kW")</f>
        <v>1118.5498073734054</v>
      </c>
      <c r="I2383">
        <v>0.88370000000000004</v>
      </c>
      <c r="J2383">
        <v>1.6532</v>
      </c>
      <c r="K2383">
        <v>0.54559999999999997</v>
      </c>
      <c r="L2383">
        <v>0.28439999999999999</v>
      </c>
      <c r="M2383">
        <v>0.152</v>
      </c>
      <c r="N2383">
        <f>CONVERT(O2383,"lbf","N")</f>
        <v>9173.5674371517307</v>
      </c>
      <c r="O2383">
        <v>2062.3000000000002</v>
      </c>
      <c r="P2383">
        <f t="shared" si="37"/>
        <v>0.53445850914205351</v>
      </c>
    </row>
    <row r="2384" spans="1:16" hidden="1" x14ac:dyDescent="0.25">
      <c r="A2384">
        <v>0</v>
      </c>
      <c r="B2384">
        <v>10000</v>
      </c>
      <c r="C2384">
        <f>1.225 * (1 - 0.00000687559 * B2384) ^ 4.2561</f>
        <v>0.90462252368600637</v>
      </c>
      <c r="D2384">
        <f>E2384*(SQRT($C$2/C2384))</f>
        <v>232.73641570654067</v>
      </c>
      <c r="E2384">
        <v>200</v>
      </c>
      <c r="F2384">
        <v>987</v>
      </c>
      <c r="G2384">
        <v>1500</v>
      </c>
      <c r="H2384">
        <f>CONVERT(G2384,"HP","kW")</f>
        <v>1118.5498073734054</v>
      </c>
      <c r="I2384">
        <v>0.8921</v>
      </c>
      <c r="J2384">
        <v>1.8368</v>
      </c>
      <c r="K2384">
        <v>0.56840000000000002</v>
      </c>
      <c r="L2384">
        <v>0.28439999999999999</v>
      </c>
      <c r="M2384">
        <v>0.1381</v>
      </c>
      <c r="N2384">
        <f>CONVERT(O2384,"lbf","N")</f>
        <v>8334.1880183520716</v>
      </c>
      <c r="O2384">
        <v>1873.6</v>
      </c>
      <c r="P2384">
        <f t="shared" si="37"/>
        <v>0.48558368495077359</v>
      </c>
    </row>
    <row r="2385" spans="1:16" hidden="1" x14ac:dyDescent="0.25">
      <c r="A2385">
        <v>0</v>
      </c>
      <c r="B2385">
        <v>10000</v>
      </c>
      <c r="C2385">
        <f>1.225 * (1 - 0.00000687559 * B2385) ^ 4.2561</f>
        <v>0.90462252368600637</v>
      </c>
      <c r="D2385">
        <f>E2385*(SQRT($C$2/C2385))</f>
        <v>256.01005727719473</v>
      </c>
      <c r="E2385">
        <v>220</v>
      </c>
      <c r="F2385">
        <v>987</v>
      </c>
      <c r="G2385">
        <v>1500</v>
      </c>
      <c r="H2385">
        <f>CONVERT(G2385,"HP","kW")</f>
        <v>1118.5498073734054</v>
      </c>
      <c r="I2385">
        <v>0.89570000000000005</v>
      </c>
      <c r="J2385">
        <v>2.0205000000000002</v>
      </c>
      <c r="K2385">
        <v>0.59250000000000003</v>
      </c>
      <c r="L2385">
        <v>0.28439999999999999</v>
      </c>
      <c r="M2385">
        <v>0.12609999999999999</v>
      </c>
      <c r="N2385">
        <f>CONVERT(O2385,"lbf","N")</f>
        <v>7606.9037842569805</v>
      </c>
      <c r="O2385">
        <v>1710.1</v>
      </c>
      <c r="P2385">
        <f t="shared" si="37"/>
        <v>0.44338959212376933</v>
      </c>
    </row>
    <row r="2386" spans="1:16" hidden="1" x14ac:dyDescent="0.25">
      <c r="A2386">
        <v>0</v>
      </c>
      <c r="B2386">
        <v>10000</v>
      </c>
      <c r="C2386">
        <f>1.225 * (1 - 0.00000687559 * B2386) ^ 4.2561</f>
        <v>0.90462252368600637</v>
      </c>
      <c r="D2386">
        <f>E2386*(SQRT($C$2/C2386))</f>
        <v>302.55734041850286</v>
      </c>
      <c r="E2386">
        <v>260</v>
      </c>
      <c r="F2386">
        <v>987</v>
      </c>
      <c r="G2386">
        <v>1500</v>
      </c>
      <c r="H2386">
        <f>CONVERT(G2386,"HP","kW")</f>
        <v>1118.5498073734054</v>
      </c>
      <c r="I2386">
        <v>0.88790000000000002</v>
      </c>
      <c r="J2386">
        <v>2.3879000000000001</v>
      </c>
      <c r="K2386">
        <v>0.64419999999999999</v>
      </c>
      <c r="L2386">
        <v>0.28439999999999999</v>
      </c>
      <c r="M2386">
        <v>0.1057</v>
      </c>
      <c r="N2386">
        <f>CONVERT(O2386,"lbf","N")</f>
        <v>6380.5290849296616</v>
      </c>
      <c r="O2386">
        <v>1434.4</v>
      </c>
      <c r="P2386">
        <f t="shared" si="37"/>
        <v>0.3716596343178622</v>
      </c>
    </row>
    <row r="2387" spans="1:16" hidden="1" x14ac:dyDescent="0.25">
      <c r="A2387">
        <v>0</v>
      </c>
      <c r="B2387">
        <v>5000</v>
      </c>
      <c r="C2387">
        <f>1.225 * (1 - 0.00000687559 * B2387) ^ 4.2561</f>
        <v>1.0555380742846066</v>
      </c>
      <c r="D2387">
        <f>E2387*(SQRT($C$2/C2387))</f>
        <v>86.1828952243647</v>
      </c>
      <c r="E2387">
        <v>80</v>
      </c>
      <c r="F2387">
        <v>987</v>
      </c>
      <c r="G2387">
        <v>1750</v>
      </c>
      <c r="H2387">
        <f>CONVERT(G2387,"HP","kW")</f>
        <v>1304.974775268973</v>
      </c>
      <c r="I2387">
        <v>0.66100000000000003</v>
      </c>
      <c r="J2387">
        <v>0.68020000000000003</v>
      </c>
      <c r="K2387">
        <v>0.44490000000000002</v>
      </c>
      <c r="L2387">
        <v>0.28449999999999998</v>
      </c>
      <c r="M2387">
        <v>0.27650000000000002</v>
      </c>
      <c r="N2387">
        <f>CONVERT(O2387,"lbf","N")</f>
        <v>19456.966167310955</v>
      </c>
      <c r="O2387">
        <v>4374.1000000000004</v>
      </c>
      <c r="P2387">
        <f t="shared" si="37"/>
        <v>0.9718804920913886</v>
      </c>
    </row>
    <row r="2388" spans="1:16" hidden="1" x14ac:dyDescent="0.25">
      <c r="A2388">
        <v>0</v>
      </c>
      <c r="B2388">
        <v>5000</v>
      </c>
      <c r="C2388">
        <f>1.225 * (1 - 0.00000687559 * B2388) ^ 4.2561</f>
        <v>1.0555380742846066</v>
      </c>
      <c r="D2388">
        <f>E2388*(SQRT($C$2/C2388))</f>
        <v>0</v>
      </c>
      <c r="E2388">
        <v>0</v>
      </c>
      <c r="F2388">
        <v>987</v>
      </c>
      <c r="G2388">
        <v>1750</v>
      </c>
      <c r="H2388">
        <f>CONVERT(G2388,"HP","kW")</f>
        <v>1304.974775268973</v>
      </c>
      <c r="I2388">
        <v>0</v>
      </c>
      <c r="J2388">
        <v>0</v>
      </c>
      <c r="K2388">
        <v>0.41649999999999998</v>
      </c>
      <c r="L2388">
        <v>0.28460000000000002</v>
      </c>
      <c r="M2388">
        <v>0.2576</v>
      </c>
      <c r="N2388">
        <f>CONVERT(O2388,"lbf","N")</f>
        <v>18119.385927602121</v>
      </c>
      <c r="O2388">
        <v>4073.4</v>
      </c>
      <c r="P2388">
        <f t="shared" si="37"/>
        <v>0.90513000702740676</v>
      </c>
    </row>
    <row r="2389" spans="1:16" hidden="1" x14ac:dyDescent="0.25">
      <c r="A2389">
        <v>0</v>
      </c>
      <c r="B2389">
        <v>10000</v>
      </c>
      <c r="C2389">
        <f>1.225 * (1 - 0.00000687559 * B2389) ^ 4.2561</f>
        <v>0.90462252368600637</v>
      </c>
      <c r="D2389">
        <f>E2389*(SQRT($C$2/C2389))</f>
        <v>0</v>
      </c>
      <c r="E2389">
        <v>0</v>
      </c>
      <c r="F2389">
        <v>987</v>
      </c>
      <c r="G2389">
        <v>1500</v>
      </c>
      <c r="H2389">
        <f>CONVERT(G2389,"HP","kW")</f>
        <v>1118.5498073734054</v>
      </c>
      <c r="I2389">
        <v>0</v>
      </c>
      <c r="J2389">
        <v>0</v>
      </c>
      <c r="K2389">
        <v>0.42420000000000002</v>
      </c>
      <c r="L2389">
        <v>0.28460000000000002</v>
      </c>
      <c r="M2389">
        <v>0.25769999999999998</v>
      </c>
      <c r="N2389">
        <f>CONVERT(O2389,"lbf","N")</f>
        <v>15538.082924266453</v>
      </c>
      <c r="O2389">
        <v>3493.1</v>
      </c>
      <c r="P2389">
        <f t="shared" si="37"/>
        <v>0.90548137737174972</v>
      </c>
    </row>
    <row r="2390" spans="1:16" hidden="1" x14ac:dyDescent="0.25">
      <c r="A2390">
        <v>0</v>
      </c>
      <c r="B2390">
        <v>20000</v>
      </c>
      <c r="C2390">
        <f>1.225 * (1 - 0.00000687559 * B2390) ^ 4.2561</f>
        <v>0.65267221054298263</v>
      </c>
      <c r="D2390">
        <f>E2390*(SQRT($C$2/C2390))</f>
        <v>54.799989443328272</v>
      </c>
      <c r="E2390">
        <v>40</v>
      </c>
      <c r="F2390">
        <v>1150</v>
      </c>
      <c r="G2390">
        <v>1750</v>
      </c>
      <c r="H2390">
        <f>CONVERT(G2390,"HP","kW")</f>
        <v>1304.974775268973</v>
      </c>
      <c r="I2390">
        <v>0.36280000000000001</v>
      </c>
      <c r="J2390">
        <v>0.37119999999999997</v>
      </c>
      <c r="K2390">
        <v>0.52769999999999995</v>
      </c>
      <c r="L2390">
        <v>0.29039999999999999</v>
      </c>
      <c r="M2390">
        <v>0.28389999999999999</v>
      </c>
      <c r="N2390">
        <f>CONVERT(O2390,"lbf","N")</f>
        <v>16794.705530577543</v>
      </c>
      <c r="O2390">
        <v>3775.6</v>
      </c>
      <c r="P2390">
        <f t="shared" si="37"/>
        <v>0.97761707988980717</v>
      </c>
    </row>
    <row r="2391" spans="1:16" hidden="1" x14ac:dyDescent="0.25">
      <c r="A2391">
        <v>0</v>
      </c>
      <c r="B2391">
        <v>20000</v>
      </c>
      <c r="C2391">
        <f>1.225 * (1 - 0.00000687559 * B2391) ^ 4.2561</f>
        <v>0.65267221054298263</v>
      </c>
      <c r="D2391">
        <f>E2391*(SQRT($C$2/C2391))</f>
        <v>219.19995777331309</v>
      </c>
      <c r="E2391">
        <v>160</v>
      </c>
      <c r="F2391">
        <v>1150</v>
      </c>
      <c r="G2391">
        <v>1750</v>
      </c>
      <c r="H2391">
        <f>CONVERT(G2391,"HP","kW")</f>
        <v>1304.974775268973</v>
      </c>
      <c r="I2391">
        <v>0.86829999999999996</v>
      </c>
      <c r="J2391">
        <v>1.4847999999999999</v>
      </c>
      <c r="K2391">
        <v>0.63680000000000003</v>
      </c>
      <c r="L2391">
        <v>0.29049999999999998</v>
      </c>
      <c r="M2391">
        <v>0.1699</v>
      </c>
      <c r="N2391">
        <f>CONVERT(O2391,"lbf","N")</f>
        <v>10048.087806711945</v>
      </c>
      <c r="O2391">
        <v>2258.9</v>
      </c>
      <c r="P2391">
        <f t="shared" si="37"/>
        <v>0.5848537005163511</v>
      </c>
    </row>
    <row r="2392" spans="1:16" hidden="1" x14ac:dyDescent="0.25">
      <c r="A2392">
        <v>0</v>
      </c>
      <c r="B2392">
        <v>20000</v>
      </c>
      <c r="C2392">
        <f>1.225 * (1 - 0.00000687559 * B2392) ^ 4.2561</f>
        <v>0.65267221054298263</v>
      </c>
      <c r="D2392">
        <f>E2392*(SQRT($C$2/C2392))</f>
        <v>356.19993138163375</v>
      </c>
      <c r="E2392">
        <v>260</v>
      </c>
      <c r="F2392">
        <v>1150</v>
      </c>
      <c r="G2392">
        <v>1750</v>
      </c>
      <c r="H2392">
        <f>CONVERT(G2392,"HP","kW")</f>
        <v>1304.974775268973</v>
      </c>
      <c r="I2392">
        <v>0.81200000000000006</v>
      </c>
      <c r="J2392">
        <v>2.4127999999999998</v>
      </c>
      <c r="K2392">
        <v>0.7843</v>
      </c>
      <c r="L2392">
        <v>0.29049999999999998</v>
      </c>
      <c r="M2392">
        <v>9.7799999999999998E-2</v>
      </c>
      <c r="N2392">
        <f>CONVERT(O2392,"lbf","N")</f>
        <v>5782.6880998386505</v>
      </c>
      <c r="O2392">
        <v>1300</v>
      </c>
      <c r="P2392">
        <f t="shared" si="37"/>
        <v>0.33666092943201381</v>
      </c>
    </row>
    <row r="2393" spans="1:16" hidden="1" x14ac:dyDescent="0.25">
      <c r="A2393">
        <v>0</v>
      </c>
      <c r="B2393">
        <v>20000</v>
      </c>
      <c r="C2393">
        <f>1.225 * (1 - 0.00000687559 * B2393) ^ 4.2561</f>
        <v>0.65267221054298263</v>
      </c>
      <c r="D2393">
        <f>E2393*(SQRT($C$2/C2393))</f>
        <v>109.59997888665654</v>
      </c>
      <c r="E2393">
        <v>80</v>
      </c>
      <c r="F2393">
        <v>1150</v>
      </c>
      <c r="G2393">
        <v>1750</v>
      </c>
      <c r="H2393">
        <f>CONVERT(G2393,"HP","kW")</f>
        <v>1304.974775268973</v>
      </c>
      <c r="I2393">
        <v>0.68730000000000002</v>
      </c>
      <c r="J2393">
        <v>0.74239999999999995</v>
      </c>
      <c r="K2393">
        <v>0.55359999999999998</v>
      </c>
      <c r="L2393">
        <v>0.29060000000000002</v>
      </c>
      <c r="M2393">
        <v>0.26910000000000001</v>
      </c>
      <c r="N2393">
        <f>CONVERT(O2393,"lbf","N")</f>
        <v>15908.619784817653</v>
      </c>
      <c r="O2393">
        <v>3576.4</v>
      </c>
      <c r="P2393">
        <f t="shared" si="37"/>
        <v>0.92601514108740535</v>
      </c>
    </row>
    <row r="2394" spans="1:16" hidden="1" x14ac:dyDescent="0.25">
      <c r="A2394">
        <v>0</v>
      </c>
      <c r="B2394">
        <v>20000</v>
      </c>
      <c r="C2394">
        <f>1.225 * (1 - 0.00000687559 * B2394) ^ 4.2561</f>
        <v>0.65267221054298263</v>
      </c>
      <c r="D2394">
        <f>E2394*(SQRT($C$2/C2394))</f>
        <v>191.79996305164894</v>
      </c>
      <c r="E2394">
        <v>140</v>
      </c>
      <c r="F2394">
        <v>1150</v>
      </c>
      <c r="G2394">
        <v>1750</v>
      </c>
      <c r="H2394">
        <f>CONVERT(G2394,"HP","kW")</f>
        <v>1304.974775268973</v>
      </c>
      <c r="I2394">
        <v>0.84550000000000003</v>
      </c>
      <c r="J2394">
        <v>1.2991999999999999</v>
      </c>
      <c r="K2394">
        <v>0.61250000000000004</v>
      </c>
      <c r="L2394">
        <v>0.29060000000000002</v>
      </c>
      <c r="M2394">
        <v>0.18909999999999999</v>
      </c>
      <c r="N2394">
        <f>CONVERT(O2394,"lbf","N")</f>
        <v>11182.384318603372</v>
      </c>
      <c r="O2394">
        <v>2513.9</v>
      </c>
      <c r="P2394">
        <f t="shared" si="37"/>
        <v>0.65072264280798342</v>
      </c>
    </row>
    <row r="2395" spans="1:16" hidden="1" x14ac:dyDescent="0.25">
      <c r="A2395">
        <v>0</v>
      </c>
      <c r="B2395">
        <v>20000</v>
      </c>
      <c r="C2395">
        <f>1.225 * (1 - 0.00000687559 * B2395) ^ 4.2561</f>
        <v>0.65267221054298263</v>
      </c>
      <c r="D2395">
        <f>E2395*(SQRT($C$2/C2395))</f>
        <v>246.59995249497723</v>
      </c>
      <c r="E2395">
        <v>180</v>
      </c>
      <c r="F2395">
        <v>1150</v>
      </c>
      <c r="G2395">
        <v>1750</v>
      </c>
      <c r="H2395">
        <f>CONVERT(G2395,"HP","kW")</f>
        <v>1304.974775268973</v>
      </c>
      <c r="I2395">
        <v>0.88300000000000001</v>
      </c>
      <c r="J2395">
        <v>1.6704000000000001</v>
      </c>
      <c r="K2395">
        <v>0.66300000000000003</v>
      </c>
      <c r="L2395">
        <v>0.29060000000000002</v>
      </c>
      <c r="M2395">
        <v>0.15359999999999999</v>
      </c>
      <c r="N2395">
        <f>CONVERT(O2395,"lbf","N")</f>
        <v>9082.8237162004152</v>
      </c>
      <c r="O2395">
        <v>2041.9</v>
      </c>
      <c r="P2395">
        <f t="shared" si="37"/>
        <v>0.52856159669648994</v>
      </c>
    </row>
    <row r="2396" spans="1:16" hidden="1" x14ac:dyDescent="0.25">
      <c r="A2396">
        <v>0</v>
      </c>
      <c r="B2396">
        <v>20000</v>
      </c>
      <c r="C2396">
        <f>1.225 * (1 - 0.00000687559 * B2396) ^ 4.2561</f>
        <v>0.65267221054298263</v>
      </c>
      <c r="D2396">
        <f>E2396*(SQRT($C$2/C2396))</f>
        <v>301.39994193830552</v>
      </c>
      <c r="E2396">
        <v>220</v>
      </c>
      <c r="F2396">
        <v>1150</v>
      </c>
      <c r="G2396">
        <v>1750</v>
      </c>
      <c r="H2396">
        <f>CONVERT(G2396,"HP","kW")</f>
        <v>1304.974775268973</v>
      </c>
      <c r="I2396">
        <v>0.88949999999999996</v>
      </c>
      <c r="J2396">
        <v>2.0415999999999999</v>
      </c>
      <c r="K2396">
        <v>0.7208</v>
      </c>
      <c r="L2396">
        <v>0.29060000000000002</v>
      </c>
      <c r="M2396">
        <v>0.12659999999999999</v>
      </c>
      <c r="N2396">
        <f>CONVERT(O2396,"lbf","N")</f>
        <v>7486.3569784834217</v>
      </c>
      <c r="O2396">
        <v>1683</v>
      </c>
      <c r="P2396">
        <f t="shared" si="37"/>
        <v>0.43565037852718508</v>
      </c>
    </row>
    <row r="2397" spans="1:16" hidden="1" x14ac:dyDescent="0.25">
      <c r="A2397">
        <v>0</v>
      </c>
      <c r="B2397">
        <v>20000</v>
      </c>
      <c r="C2397">
        <f>1.225 * (1 - 0.00000687559 * B2397) ^ 4.2561</f>
        <v>0.65267221054298263</v>
      </c>
      <c r="D2397">
        <f>E2397*(SQRT($C$2/C2397))</f>
        <v>27.399994721664136</v>
      </c>
      <c r="E2397">
        <v>20</v>
      </c>
      <c r="F2397">
        <v>1150</v>
      </c>
      <c r="G2397">
        <v>1750</v>
      </c>
      <c r="H2397">
        <f>CONVERT(G2397,"HP","kW")</f>
        <v>1304.974775268973</v>
      </c>
      <c r="I2397">
        <v>0.1709</v>
      </c>
      <c r="J2397">
        <v>0.18559999999999999</v>
      </c>
      <c r="K2397">
        <v>0.51949999999999996</v>
      </c>
      <c r="L2397">
        <v>0.29070000000000001</v>
      </c>
      <c r="M2397">
        <v>0.26769999999999999</v>
      </c>
      <c r="N2397">
        <f>CONVERT(O2397,"lbf","N")</f>
        <v>15822.324285481598</v>
      </c>
      <c r="O2397">
        <v>3557</v>
      </c>
      <c r="P2397">
        <f t="shared" si="37"/>
        <v>0.92088063295493627</v>
      </c>
    </row>
    <row r="2398" spans="1:16" hidden="1" x14ac:dyDescent="0.25">
      <c r="A2398">
        <v>0</v>
      </c>
      <c r="B2398">
        <v>20000</v>
      </c>
      <c r="C2398">
        <f>1.225 * (1 - 0.00000687559 * B2398) ^ 4.2561</f>
        <v>0.65267221054298263</v>
      </c>
      <c r="D2398">
        <f>E2398*(SQRT($C$2/C2398))</f>
        <v>82.199984164992401</v>
      </c>
      <c r="E2398">
        <v>60</v>
      </c>
      <c r="F2398">
        <v>1150</v>
      </c>
      <c r="G2398">
        <v>1750</v>
      </c>
      <c r="H2398">
        <f>CONVERT(G2398,"HP","kW")</f>
        <v>1304.974775268973</v>
      </c>
      <c r="I2398">
        <v>0.55700000000000005</v>
      </c>
      <c r="J2398">
        <v>0.55679999999999996</v>
      </c>
      <c r="K2398">
        <v>0.53890000000000005</v>
      </c>
      <c r="L2398">
        <v>0.29070000000000001</v>
      </c>
      <c r="M2398">
        <v>0.2908</v>
      </c>
      <c r="N2398">
        <f>CONVERT(O2398,"lbf","N")</f>
        <v>17189.707610012676</v>
      </c>
      <c r="O2398">
        <v>3864.4</v>
      </c>
      <c r="P2398">
        <f t="shared" si="37"/>
        <v>1.0003439972480219</v>
      </c>
    </row>
    <row r="2399" spans="1:16" hidden="1" x14ac:dyDescent="0.25">
      <c r="A2399">
        <v>0</v>
      </c>
      <c r="B2399">
        <v>20000</v>
      </c>
      <c r="C2399">
        <f>1.225 * (1 - 0.00000687559 * B2399) ^ 4.2561</f>
        <v>0.65267221054298263</v>
      </c>
      <c r="D2399">
        <f>E2399*(SQRT($C$2/C2399))</f>
        <v>136.99997360832069</v>
      </c>
      <c r="E2399">
        <v>100</v>
      </c>
      <c r="F2399">
        <v>1150</v>
      </c>
      <c r="G2399">
        <v>1750</v>
      </c>
      <c r="H2399">
        <f>CONVERT(G2399,"HP","kW")</f>
        <v>1304.974775268973</v>
      </c>
      <c r="I2399">
        <v>0.76170000000000004</v>
      </c>
      <c r="J2399">
        <v>0.92800000000000005</v>
      </c>
      <c r="K2399">
        <v>0.57089999999999996</v>
      </c>
      <c r="L2399">
        <v>0.29070000000000001</v>
      </c>
      <c r="M2399">
        <v>0.23860000000000001</v>
      </c>
      <c r="N2399">
        <f>CONVERT(O2399,"lbf","N")</f>
        <v>14103.976275506468</v>
      </c>
      <c r="O2399">
        <v>3170.7</v>
      </c>
      <c r="P2399">
        <f t="shared" si="37"/>
        <v>0.8207774337805297</v>
      </c>
    </row>
    <row r="2400" spans="1:16" hidden="1" x14ac:dyDescent="0.25">
      <c r="A2400">
        <v>0</v>
      </c>
      <c r="B2400">
        <v>20000</v>
      </c>
      <c r="C2400">
        <f>1.225 * (1 - 0.00000687559 * B2400) ^ 4.2561</f>
        <v>0.65267221054298263</v>
      </c>
      <c r="D2400">
        <f>E2400*(SQRT($C$2/C2400))</f>
        <v>164.3999683299848</v>
      </c>
      <c r="E2400">
        <v>120</v>
      </c>
      <c r="F2400">
        <v>1150</v>
      </c>
      <c r="G2400">
        <v>1750</v>
      </c>
      <c r="H2400">
        <f>CONVERT(G2400,"HP","kW")</f>
        <v>1304.974775268973</v>
      </c>
      <c r="I2400">
        <v>0.81169999999999998</v>
      </c>
      <c r="J2400">
        <v>1.1135999999999999</v>
      </c>
      <c r="K2400">
        <v>0.59050000000000002</v>
      </c>
      <c r="L2400">
        <v>0.29070000000000001</v>
      </c>
      <c r="M2400">
        <v>0.21190000000000001</v>
      </c>
      <c r="N2400">
        <f>CONVERT(O2400,"lbf","N")</f>
        <v>12525.302424250516</v>
      </c>
      <c r="O2400">
        <v>2815.8</v>
      </c>
      <c r="P2400">
        <f t="shared" si="37"/>
        <v>0.72893016855865156</v>
      </c>
    </row>
    <row r="2401" spans="1:16" hidden="1" x14ac:dyDescent="0.25">
      <c r="A2401">
        <v>0</v>
      </c>
      <c r="B2401">
        <v>20000</v>
      </c>
      <c r="C2401">
        <f>1.225 * (1 - 0.00000687559 * B2401) ^ 4.2561</f>
        <v>0.65267221054298263</v>
      </c>
      <c r="D2401">
        <f>E2401*(SQRT($C$2/C2401))</f>
        <v>273.99994721664137</v>
      </c>
      <c r="E2401">
        <v>200</v>
      </c>
      <c r="F2401">
        <v>1150</v>
      </c>
      <c r="G2401">
        <v>1750</v>
      </c>
      <c r="H2401">
        <f>CONVERT(G2401,"HP","kW")</f>
        <v>1304.974775268973</v>
      </c>
      <c r="I2401">
        <v>0.89180000000000004</v>
      </c>
      <c r="J2401">
        <v>1.8560000000000001</v>
      </c>
      <c r="K2401">
        <v>0.69110000000000005</v>
      </c>
      <c r="L2401">
        <v>0.29070000000000001</v>
      </c>
      <c r="M2401">
        <v>0.13969999999999999</v>
      </c>
      <c r="N2401">
        <f>CONVERT(O2401,"lbf","N")</f>
        <v>8256.3441400850134</v>
      </c>
      <c r="O2401">
        <v>1856.1</v>
      </c>
      <c r="P2401">
        <f t="shared" si="37"/>
        <v>0.48056415548675607</v>
      </c>
    </row>
    <row r="2402" spans="1:16" hidden="1" x14ac:dyDescent="0.25">
      <c r="A2402">
        <v>0</v>
      </c>
      <c r="B2402">
        <v>20000</v>
      </c>
      <c r="C2402">
        <f>1.225 * (1 - 0.00000687559 * B2402) ^ 4.2561</f>
        <v>0.65267221054298263</v>
      </c>
      <c r="D2402">
        <f>E2402*(SQRT($C$2/C2402))</f>
        <v>328.7999366599696</v>
      </c>
      <c r="E2402">
        <v>240</v>
      </c>
      <c r="F2402">
        <v>1150</v>
      </c>
      <c r="G2402">
        <v>1750</v>
      </c>
      <c r="H2402">
        <f>CONVERT(G2402,"HP","kW")</f>
        <v>1304.974775268973</v>
      </c>
      <c r="I2402">
        <v>0.86629999999999996</v>
      </c>
      <c r="J2402">
        <v>2.2271999999999998</v>
      </c>
      <c r="K2402">
        <v>0.75190000000000001</v>
      </c>
      <c r="L2402">
        <v>0.29070000000000001</v>
      </c>
      <c r="M2402">
        <v>0.11310000000000001</v>
      </c>
      <c r="N2402">
        <f>CONVERT(O2402,"lbf","N")</f>
        <v>6683.8977990904268</v>
      </c>
      <c r="O2402">
        <v>1502.6</v>
      </c>
      <c r="P2402">
        <f t="shared" si="37"/>
        <v>0.38906088751289991</v>
      </c>
    </row>
    <row r="2403" spans="1:16" hidden="1" x14ac:dyDescent="0.25">
      <c r="A2403">
        <v>0</v>
      </c>
      <c r="B2403">
        <v>20000</v>
      </c>
      <c r="C2403">
        <f>1.225 * (1 - 0.00000687559 * B2403) ^ 4.2561</f>
        <v>0.65267221054298263</v>
      </c>
      <c r="D2403">
        <f>E2403*(SQRT($C$2/C2403))</f>
        <v>0</v>
      </c>
      <c r="E2403">
        <v>0</v>
      </c>
      <c r="F2403">
        <v>1150</v>
      </c>
      <c r="G2403">
        <v>1750</v>
      </c>
      <c r="H2403">
        <f>CONVERT(G2403,"HP","kW")</f>
        <v>1304.974775268973</v>
      </c>
      <c r="I2403">
        <v>0</v>
      </c>
      <c r="J2403">
        <v>0</v>
      </c>
      <c r="K2403">
        <v>0.51359999999999995</v>
      </c>
      <c r="L2403">
        <v>0.2908</v>
      </c>
      <c r="M2403">
        <v>0.25609999999999999</v>
      </c>
      <c r="N2403">
        <f>CONVERT(O2403,"lbf","N")</f>
        <v>15135.518868085377</v>
      </c>
      <c r="O2403">
        <v>3402.6</v>
      </c>
      <c r="P2403">
        <f t="shared" si="37"/>
        <v>0.88067400275103158</v>
      </c>
    </row>
    <row r="2404" spans="1:16" hidden="1" x14ac:dyDescent="0.25">
      <c r="A2404">
        <v>0</v>
      </c>
      <c r="B2404">
        <v>25000</v>
      </c>
      <c r="C2404">
        <f>1.225 * (1 - 0.00000687559 * B2404) ^ 4.2561</f>
        <v>0.54892259437885793</v>
      </c>
      <c r="D2404">
        <f>E2404*(SQRT($C$2/C2404))</f>
        <v>358.52853986184806</v>
      </c>
      <c r="E2404">
        <v>240</v>
      </c>
      <c r="F2404">
        <v>1215</v>
      </c>
      <c r="G2404">
        <v>1750</v>
      </c>
      <c r="H2404">
        <f>CONVERT(G2404,"HP","kW")</f>
        <v>1304.974775268973</v>
      </c>
      <c r="I2404">
        <v>0.7722</v>
      </c>
      <c r="J2404">
        <v>2.2986</v>
      </c>
      <c r="K2404">
        <v>0.82399999999999995</v>
      </c>
      <c r="L2404">
        <v>0.29270000000000002</v>
      </c>
      <c r="M2404">
        <v>9.8299999999999998E-2</v>
      </c>
      <c r="N2404">
        <f>CONVERT(O2404,"lbf","N")</f>
        <v>5463.305787862947</v>
      </c>
      <c r="O2404">
        <v>1228.2</v>
      </c>
      <c r="P2404">
        <f t="shared" si="37"/>
        <v>0.3358387427400068</v>
      </c>
    </row>
    <row r="2405" spans="1:16" hidden="1" x14ac:dyDescent="0.25">
      <c r="A2405">
        <v>0</v>
      </c>
      <c r="B2405">
        <v>25000</v>
      </c>
      <c r="C2405">
        <f>1.225 * (1 - 0.00000687559 * B2405) ^ 4.2561</f>
        <v>0.54892259437885793</v>
      </c>
      <c r="D2405">
        <f>E2405*(SQRT($C$2/C2405))</f>
        <v>149.38689160910337</v>
      </c>
      <c r="E2405">
        <v>100</v>
      </c>
      <c r="F2405">
        <v>1215</v>
      </c>
      <c r="G2405">
        <v>1750</v>
      </c>
      <c r="H2405">
        <f>CONVERT(G2405,"HP","kW")</f>
        <v>1304.974775268973</v>
      </c>
      <c r="I2405">
        <v>0.76880000000000004</v>
      </c>
      <c r="J2405">
        <v>0.95779999999999998</v>
      </c>
      <c r="K2405">
        <v>0.61870000000000003</v>
      </c>
      <c r="L2405">
        <v>0.2928</v>
      </c>
      <c r="M2405">
        <v>0.23499999999999999</v>
      </c>
      <c r="N2405">
        <f>CONVERT(O2405,"lbf","N")</f>
        <v>13055.085618628042</v>
      </c>
      <c r="O2405">
        <v>2934.9</v>
      </c>
      <c r="P2405">
        <f t="shared" si="37"/>
        <v>0.80259562841530052</v>
      </c>
    </row>
    <row r="2406" spans="1:16" hidden="1" x14ac:dyDescent="0.25">
      <c r="A2406">
        <v>0</v>
      </c>
      <c r="B2406">
        <v>25000</v>
      </c>
      <c r="C2406">
        <f>1.225 * (1 - 0.00000687559 * B2406) ^ 4.2561</f>
        <v>0.54892259437885793</v>
      </c>
      <c r="D2406">
        <f>E2406*(SQRT($C$2/C2406))</f>
        <v>298.77378321820675</v>
      </c>
      <c r="E2406">
        <v>200</v>
      </c>
      <c r="F2406">
        <v>1215</v>
      </c>
      <c r="G2406">
        <v>1750</v>
      </c>
      <c r="H2406">
        <f>CONVERT(G2406,"HP","kW")</f>
        <v>1304.974775268973</v>
      </c>
      <c r="I2406">
        <v>0.86760000000000004</v>
      </c>
      <c r="J2406">
        <v>1.9155</v>
      </c>
      <c r="K2406">
        <v>0.75519999999999998</v>
      </c>
      <c r="L2406">
        <v>0.2928</v>
      </c>
      <c r="M2406">
        <v>0.1326</v>
      </c>
      <c r="N2406">
        <f>CONVERT(O2406,"lbf","N")</f>
        <v>7366.6998170329143</v>
      </c>
      <c r="O2406">
        <v>1656.1</v>
      </c>
      <c r="P2406">
        <f t="shared" si="37"/>
        <v>0.45286885245901637</v>
      </c>
    </row>
    <row r="2407" spans="1:16" hidden="1" x14ac:dyDescent="0.25">
      <c r="A2407">
        <v>0</v>
      </c>
      <c r="B2407">
        <v>25000</v>
      </c>
      <c r="C2407">
        <f>1.225 * (1 - 0.00000687559 * B2407) ^ 4.2561</f>
        <v>0.54892259437885793</v>
      </c>
      <c r="D2407">
        <f>E2407*(SQRT($C$2/C2407))</f>
        <v>89.632134965462015</v>
      </c>
      <c r="E2407">
        <v>60</v>
      </c>
      <c r="F2407">
        <v>1215</v>
      </c>
      <c r="G2407">
        <v>1750</v>
      </c>
      <c r="H2407">
        <f>CONVERT(G2407,"HP","kW")</f>
        <v>1304.974775268973</v>
      </c>
      <c r="I2407">
        <v>0.5645</v>
      </c>
      <c r="J2407">
        <v>0.57469999999999999</v>
      </c>
      <c r="K2407">
        <v>0.58240000000000003</v>
      </c>
      <c r="L2407">
        <v>0.29299999999999998</v>
      </c>
      <c r="M2407">
        <v>0.2878</v>
      </c>
      <c r="N2407">
        <f>CONVERT(O2407,"lbf","N")</f>
        <v>15977.122397692667</v>
      </c>
      <c r="O2407">
        <v>3591.8</v>
      </c>
      <c r="P2407">
        <f t="shared" si="37"/>
        <v>0.98225255972696257</v>
      </c>
    </row>
    <row r="2408" spans="1:16" hidden="1" x14ac:dyDescent="0.25">
      <c r="A2408">
        <v>0</v>
      </c>
      <c r="B2408">
        <v>25000</v>
      </c>
      <c r="C2408">
        <f>1.225 * (1 - 0.00000687559 * B2408) ^ 4.2561</f>
        <v>0.54892259437885793</v>
      </c>
      <c r="D2408">
        <f>E2408*(SQRT($C$2/C2408))</f>
        <v>119.50951328728269</v>
      </c>
      <c r="E2408">
        <v>80</v>
      </c>
      <c r="F2408">
        <v>1215</v>
      </c>
      <c r="G2408">
        <v>1750</v>
      </c>
      <c r="H2408">
        <f>CONVERT(G2408,"HP","kW")</f>
        <v>1304.974775268973</v>
      </c>
      <c r="I2408">
        <v>0.69379999999999997</v>
      </c>
      <c r="J2408">
        <v>0.76619999999999999</v>
      </c>
      <c r="K2408">
        <v>0.59909999999999997</v>
      </c>
      <c r="L2408">
        <v>0.29299999999999998</v>
      </c>
      <c r="M2408">
        <v>0.26529999999999998</v>
      </c>
      <c r="N2408">
        <f>CONVERT(O2408,"lbf","N")</f>
        <v>14726.282479481411</v>
      </c>
      <c r="O2408">
        <v>3310.6</v>
      </c>
      <c r="P2408">
        <f t="shared" si="37"/>
        <v>0.90546075085324229</v>
      </c>
    </row>
    <row r="2409" spans="1:16" hidden="1" x14ac:dyDescent="0.25">
      <c r="A2409">
        <v>0</v>
      </c>
      <c r="B2409">
        <v>25000</v>
      </c>
      <c r="C2409">
        <f>1.225 * (1 - 0.00000687559 * B2409) ^ 4.2561</f>
        <v>0.54892259437885793</v>
      </c>
      <c r="D2409">
        <f>E2409*(SQRT($C$2/C2409))</f>
        <v>209.14164825274472</v>
      </c>
      <c r="E2409">
        <v>140</v>
      </c>
      <c r="F2409">
        <v>1215</v>
      </c>
      <c r="G2409">
        <v>1750</v>
      </c>
      <c r="H2409">
        <f>CONVERT(G2409,"HP","kW")</f>
        <v>1304.974775268973</v>
      </c>
      <c r="I2409">
        <v>0.8498</v>
      </c>
      <c r="J2409">
        <v>1.3409</v>
      </c>
      <c r="K2409">
        <v>0.66610000000000003</v>
      </c>
      <c r="L2409">
        <v>0.29299999999999998</v>
      </c>
      <c r="M2409">
        <v>0.1857</v>
      </c>
      <c r="N2409">
        <f>CONVERT(O2409,"lbf","N")</f>
        <v>10307.863949043158</v>
      </c>
      <c r="O2409">
        <v>2317.3000000000002</v>
      </c>
      <c r="P2409">
        <f t="shared" si="37"/>
        <v>0.63378839590443692</v>
      </c>
    </row>
    <row r="2410" spans="1:16" hidden="1" x14ac:dyDescent="0.25">
      <c r="A2410">
        <v>0</v>
      </c>
      <c r="B2410">
        <v>25000</v>
      </c>
      <c r="C2410">
        <f>1.225 * (1 - 0.00000687559 * B2410) ^ 4.2561</f>
        <v>0.54892259437885793</v>
      </c>
      <c r="D2410">
        <f>E2410*(SQRT($C$2/C2410))</f>
        <v>239.01902657456537</v>
      </c>
      <c r="E2410">
        <v>160</v>
      </c>
      <c r="F2410">
        <v>1215</v>
      </c>
      <c r="G2410">
        <v>1750</v>
      </c>
      <c r="H2410">
        <f>CONVERT(G2410,"HP","kW")</f>
        <v>1304.974775268973</v>
      </c>
      <c r="I2410">
        <v>0.87090000000000001</v>
      </c>
      <c r="J2410">
        <v>1.5324</v>
      </c>
      <c r="K2410">
        <v>0.69359999999999999</v>
      </c>
      <c r="L2410">
        <v>0.29299999999999998</v>
      </c>
      <c r="M2410">
        <v>0.16650000000000001</v>
      </c>
      <c r="N2410">
        <f>CONVERT(O2410,"lbf","N")</f>
        <v>9242.514872188267</v>
      </c>
      <c r="O2410">
        <v>2077.8000000000002</v>
      </c>
      <c r="P2410">
        <f t="shared" si="37"/>
        <v>0.56825938566552903</v>
      </c>
    </row>
    <row r="2411" spans="1:16" hidden="1" x14ac:dyDescent="0.25">
      <c r="A2411">
        <v>0</v>
      </c>
      <c r="B2411">
        <v>25000</v>
      </c>
      <c r="C2411">
        <f>1.225 * (1 - 0.00000687559 * B2411) ^ 4.2561</f>
        <v>0.54892259437885793</v>
      </c>
      <c r="D2411">
        <f>E2411*(SQRT($C$2/C2411))</f>
        <v>0</v>
      </c>
      <c r="E2411">
        <v>0</v>
      </c>
      <c r="F2411">
        <v>1215</v>
      </c>
      <c r="G2411">
        <v>1750</v>
      </c>
      <c r="H2411">
        <f>CONVERT(G2411,"HP","kW")</f>
        <v>1304.974775268973</v>
      </c>
      <c r="I2411">
        <v>0</v>
      </c>
      <c r="J2411">
        <v>0</v>
      </c>
      <c r="K2411">
        <v>0.55359999999999998</v>
      </c>
      <c r="L2411">
        <v>0.29310000000000003</v>
      </c>
      <c r="M2411">
        <v>0.25430000000000003</v>
      </c>
      <c r="N2411">
        <f>CONVERT(O2411,"lbf","N")</f>
        <v>14111.538252252412</v>
      </c>
      <c r="O2411">
        <v>3172.4</v>
      </c>
      <c r="P2411">
        <f t="shared" si="37"/>
        <v>0.86762197202320024</v>
      </c>
    </row>
    <row r="2412" spans="1:16" hidden="1" x14ac:dyDescent="0.25">
      <c r="A2412">
        <v>0</v>
      </c>
      <c r="B2412">
        <v>25000</v>
      </c>
      <c r="C2412">
        <f>1.225 * (1 - 0.00000687559 * B2412) ^ 4.2561</f>
        <v>0.54892259437885793</v>
      </c>
      <c r="D2412">
        <f>E2412*(SQRT($C$2/C2412))</f>
        <v>59.754756643641343</v>
      </c>
      <c r="E2412">
        <v>40</v>
      </c>
      <c r="F2412">
        <v>1215</v>
      </c>
      <c r="G2412">
        <v>1750</v>
      </c>
      <c r="H2412">
        <f>CONVERT(G2412,"HP","kW")</f>
        <v>1304.974775268973</v>
      </c>
      <c r="I2412">
        <v>0.36809999999999998</v>
      </c>
      <c r="J2412">
        <v>0.3831</v>
      </c>
      <c r="K2412">
        <v>0.5696</v>
      </c>
      <c r="L2412">
        <v>0.29310000000000003</v>
      </c>
      <c r="M2412">
        <v>0.28160000000000002</v>
      </c>
      <c r="N2412">
        <f>CONVERT(O2412,"lbf","N")</f>
        <v>15627.937000894715</v>
      </c>
      <c r="O2412">
        <v>3513.3</v>
      </c>
      <c r="P2412">
        <f t="shared" si="37"/>
        <v>0.96076424428522689</v>
      </c>
    </row>
    <row r="2413" spans="1:16" hidden="1" x14ac:dyDescent="0.25">
      <c r="A2413">
        <v>0</v>
      </c>
      <c r="B2413">
        <v>25000</v>
      </c>
      <c r="C2413">
        <f>1.225 * (1 - 0.00000687559 * B2413) ^ 4.2561</f>
        <v>0.54892259437885793</v>
      </c>
      <c r="D2413">
        <f>E2413*(SQRT($C$2/C2413))</f>
        <v>179.26426993092403</v>
      </c>
      <c r="E2413">
        <v>120</v>
      </c>
      <c r="F2413">
        <v>1215</v>
      </c>
      <c r="G2413">
        <v>1750</v>
      </c>
      <c r="H2413">
        <f>CONVERT(G2413,"HP","kW")</f>
        <v>1304.974775268973</v>
      </c>
      <c r="I2413">
        <v>0.81730000000000003</v>
      </c>
      <c r="J2413">
        <v>1.1493</v>
      </c>
      <c r="K2413">
        <v>0.6411</v>
      </c>
      <c r="L2413">
        <v>0.29310000000000003</v>
      </c>
      <c r="M2413">
        <v>0.2084</v>
      </c>
      <c r="N2413">
        <f>CONVERT(O2413,"lbf","N")</f>
        <v>11564.931377515773</v>
      </c>
      <c r="O2413">
        <v>2599.9</v>
      </c>
      <c r="P2413">
        <f t="shared" si="37"/>
        <v>0.71102012964858408</v>
      </c>
    </row>
    <row r="2414" spans="1:16" hidden="1" x14ac:dyDescent="0.25">
      <c r="A2414">
        <v>0</v>
      </c>
      <c r="B2414">
        <v>25000</v>
      </c>
      <c r="C2414">
        <f>1.225 * (1 - 0.00000687559 * B2414) ^ 4.2561</f>
        <v>0.54892259437885793</v>
      </c>
      <c r="D2414">
        <f>E2414*(SQRT($C$2/C2414))</f>
        <v>268.89640489638606</v>
      </c>
      <c r="E2414">
        <v>180</v>
      </c>
      <c r="F2414">
        <v>1215</v>
      </c>
      <c r="G2414">
        <v>1750</v>
      </c>
      <c r="H2414">
        <f>CONVERT(G2414,"HP","kW")</f>
        <v>1304.974775268973</v>
      </c>
      <c r="I2414">
        <v>0.87570000000000003</v>
      </c>
      <c r="J2414">
        <v>1.724</v>
      </c>
      <c r="K2414">
        <v>0.72340000000000004</v>
      </c>
      <c r="L2414">
        <v>0.29310000000000003</v>
      </c>
      <c r="M2414">
        <v>0.1489</v>
      </c>
      <c r="N2414">
        <f>CONVERT(O2414,"lbf","N")</f>
        <v>8261.2371838618001</v>
      </c>
      <c r="O2414">
        <v>1857.2</v>
      </c>
      <c r="P2414">
        <f t="shared" si="37"/>
        <v>0.50801774138519273</v>
      </c>
    </row>
    <row r="2415" spans="1:16" hidden="1" x14ac:dyDescent="0.25">
      <c r="A2415">
        <v>0</v>
      </c>
      <c r="B2415">
        <v>25000</v>
      </c>
      <c r="C2415">
        <f>1.225 * (1 - 0.00000687559 * B2415) ^ 4.2561</f>
        <v>0.54892259437885793</v>
      </c>
      <c r="D2415">
        <f>E2415*(SQRT($C$2/C2415))</f>
        <v>328.65116154002743</v>
      </c>
      <c r="E2415">
        <v>220</v>
      </c>
      <c r="F2415">
        <v>1215</v>
      </c>
      <c r="G2415">
        <v>1750</v>
      </c>
      <c r="H2415">
        <f>CONVERT(G2415,"HP","kW")</f>
        <v>1304.974775268973</v>
      </c>
      <c r="I2415">
        <v>0.83730000000000004</v>
      </c>
      <c r="J2415">
        <v>2.1071</v>
      </c>
      <c r="K2415">
        <v>0.78879999999999995</v>
      </c>
      <c r="L2415">
        <v>0.29310000000000003</v>
      </c>
      <c r="M2415">
        <v>0.11650000000000001</v>
      </c>
      <c r="N2415">
        <f>CONVERT(O2415,"lbf","N")</f>
        <v>6462.8211848119809</v>
      </c>
      <c r="O2415">
        <v>1452.9</v>
      </c>
      <c r="P2415">
        <f t="shared" si="37"/>
        <v>0.39747526441487546</v>
      </c>
    </row>
    <row r="2416" spans="1:16" hidden="1" x14ac:dyDescent="0.25">
      <c r="A2416">
        <v>0</v>
      </c>
      <c r="B2416">
        <v>25000</v>
      </c>
      <c r="C2416">
        <f>1.225 * (1 - 0.00000687559 * B2416) ^ 4.2561</f>
        <v>0.54892259437885793</v>
      </c>
      <c r="D2416">
        <f>E2416*(SQRT($C$2/C2416))</f>
        <v>29.877378321820672</v>
      </c>
      <c r="E2416">
        <v>20</v>
      </c>
      <c r="F2416">
        <v>1215</v>
      </c>
      <c r="G2416">
        <v>1750</v>
      </c>
      <c r="H2416">
        <f>CONVERT(G2416,"HP","kW")</f>
        <v>1304.974775268973</v>
      </c>
      <c r="I2416">
        <v>0.17349999999999999</v>
      </c>
      <c r="J2416">
        <v>0.19159999999999999</v>
      </c>
      <c r="K2416">
        <v>0.56030000000000002</v>
      </c>
      <c r="L2416">
        <v>0.29320000000000002</v>
      </c>
      <c r="M2416">
        <v>0.2656</v>
      </c>
      <c r="N2416">
        <f>CONVERT(O2416,"lbf","N")</f>
        <v>14732.954811904301</v>
      </c>
      <c r="O2416">
        <v>3312.1</v>
      </c>
      <c r="P2416">
        <f t="shared" si="37"/>
        <v>0.90586630286493852</v>
      </c>
    </row>
    <row r="2417" spans="1:16" hidden="1" x14ac:dyDescent="0.25">
      <c r="A2417">
        <v>0</v>
      </c>
      <c r="B2417">
        <v>25000</v>
      </c>
      <c r="C2417">
        <f>1.225 * (1 - 0.00000687559 * B2417) ^ 4.2561</f>
        <v>0.54892259437885793</v>
      </c>
      <c r="D2417">
        <f>E2417*(SQRT($C$2/C2417))</f>
        <v>388.40591818366875</v>
      </c>
      <c r="E2417">
        <v>260</v>
      </c>
      <c r="F2417">
        <v>1215</v>
      </c>
      <c r="G2417">
        <v>1750</v>
      </c>
      <c r="H2417">
        <f>CONVERT(G2417,"HP","kW")</f>
        <v>1304.974775268973</v>
      </c>
      <c r="I2417">
        <v>0.64259999999999995</v>
      </c>
      <c r="J2417">
        <v>2.4902000000000002</v>
      </c>
      <c r="K2417">
        <v>0.86060000000000003</v>
      </c>
      <c r="L2417">
        <v>0.29349999999999998</v>
      </c>
      <c r="M2417">
        <v>7.5700000000000003E-2</v>
      </c>
      <c r="N2417">
        <f>CONVERT(O2417,"lbf","N")</f>
        <v>4196.4522718367562</v>
      </c>
      <c r="O2417">
        <v>943.4</v>
      </c>
      <c r="P2417">
        <f t="shared" si="37"/>
        <v>0.25792163543441227</v>
      </c>
    </row>
    <row r="2418" spans="1:16" hidden="1" x14ac:dyDescent="0.25">
      <c r="A2418">
        <v>0</v>
      </c>
      <c r="B2418">
        <v>30000</v>
      </c>
      <c r="C2418">
        <f>1.225 * (1 - 0.00000687559 * B2418) ^ 4.2561</f>
        <v>0.45828836225470948</v>
      </c>
      <c r="D2418">
        <f>E2418*(SQRT($C$2/C2418))</f>
        <v>228.88991905154526</v>
      </c>
      <c r="E2418">
        <v>140</v>
      </c>
      <c r="F2418">
        <v>1150</v>
      </c>
      <c r="G2418">
        <v>1250</v>
      </c>
      <c r="H2418">
        <f>CONVERT(G2418,"HP","kW")</f>
        <v>932.12483947783778</v>
      </c>
      <c r="I2418">
        <v>0.87270000000000003</v>
      </c>
      <c r="J2418">
        <v>1.5504</v>
      </c>
      <c r="K2418">
        <v>0.67320000000000002</v>
      </c>
      <c r="L2418">
        <v>0.29549999999999998</v>
      </c>
      <c r="M2418">
        <v>0.1663</v>
      </c>
      <c r="N2418">
        <f>CONVERT(O2418,"lbf","N")</f>
        <v>6908.5329906610823</v>
      </c>
      <c r="O2418">
        <v>1553.1</v>
      </c>
      <c r="P2418">
        <f t="shared" si="37"/>
        <v>0.56277495769881558</v>
      </c>
    </row>
    <row r="2419" spans="1:16" hidden="1" x14ac:dyDescent="0.25">
      <c r="A2419">
        <v>0</v>
      </c>
      <c r="B2419">
        <v>30000</v>
      </c>
      <c r="C2419">
        <f>1.225 * (1 - 0.00000687559 * B2419) ^ 4.2561</f>
        <v>0.45828836225470948</v>
      </c>
      <c r="D2419">
        <f>E2419*(SQRT($C$2/C2419))</f>
        <v>261.58847891605171</v>
      </c>
      <c r="E2419">
        <v>160</v>
      </c>
      <c r="F2419">
        <v>1150</v>
      </c>
      <c r="G2419">
        <v>1250</v>
      </c>
      <c r="H2419">
        <f>CONVERT(G2419,"HP","kW")</f>
        <v>932.12483947783778</v>
      </c>
      <c r="I2419">
        <v>0.88549999999999995</v>
      </c>
      <c r="J2419">
        <v>1.7719</v>
      </c>
      <c r="K2419">
        <v>0.70689999999999997</v>
      </c>
      <c r="L2419">
        <v>0.29549999999999998</v>
      </c>
      <c r="M2419">
        <v>0.1477</v>
      </c>
      <c r="N2419">
        <f>CONVERT(O2419,"lbf","N")</f>
        <v>6134.0976074442287</v>
      </c>
      <c r="O2419">
        <v>1379</v>
      </c>
      <c r="P2419">
        <f t="shared" si="37"/>
        <v>0.49983079526226737</v>
      </c>
    </row>
    <row r="2420" spans="1:16" hidden="1" x14ac:dyDescent="0.25">
      <c r="A2420">
        <v>0</v>
      </c>
      <c r="B2420">
        <v>30000</v>
      </c>
      <c r="C2420">
        <f>1.225 * (1 - 0.00000687559 * B2420) ^ 4.2561</f>
        <v>0.45828836225470948</v>
      </c>
      <c r="D2420">
        <f>E2420*(SQRT($C$2/C2420))</f>
        <v>98.095679593519407</v>
      </c>
      <c r="E2420">
        <v>60</v>
      </c>
      <c r="F2420">
        <v>1150</v>
      </c>
      <c r="G2420">
        <v>1250</v>
      </c>
      <c r="H2420">
        <f>CONVERT(G2420,"HP","kW")</f>
        <v>932.12483947783778</v>
      </c>
      <c r="I2420">
        <v>0.63229999999999997</v>
      </c>
      <c r="J2420">
        <v>0.66449999999999998</v>
      </c>
      <c r="K2420">
        <v>0.57020000000000004</v>
      </c>
      <c r="L2420">
        <v>0.29559999999999997</v>
      </c>
      <c r="M2420">
        <v>0.28129999999999999</v>
      </c>
      <c r="N2420">
        <f>CONVERT(O2420,"lbf","N")</f>
        <v>11679.695495189495</v>
      </c>
      <c r="O2420">
        <v>2625.7</v>
      </c>
      <c r="P2420">
        <f t="shared" si="37"/>
        <v>0.95162381596752377</v>
      </c>
    </row>
    <row r="2421" spans="1:16" hidden="1" x14ac:dyDescent="0.25">
      <c r="A2421">
        <v>0</v>
      </c>
      <c r="B2421">
        <v>30000</v>
      </c>
      <c r="C2421">
        <f>1.225 * (1 - 0.00000687559 * B2421) ^ 4.2561</f>
        <v>0.45828836225470948</v>
      </c>
      <c r="D2421">
        <f>E2421*(SQRT($C$2/C2421))</f>
        <v>163.49279932253233</v>
      </c>
      <c r="E2421">
        <v>100</v>
      </c>
      <c r="F2421">
        <v>1150</v>
      </c>
      <c r="G2421">
        <v>1250</v>
      </c>
      <c r="H2421">
        <f>CONVERT(G2421,"HP","kW")</f>
        <v>932.12483947783778</v>
      </c>
      <c r="I2421">
        <v>0.80779999999999996</v>
      </c>
      <c r="J2421">
        <v>1.1073999999999999</v>
      </c>
      <c r="K2421">
        <v>0.61480000000000001</v>
      </c>
      <c r="L2421">
        <v>0.29559999999999997</v>
      </c>
      <c r="M2421">
        <v>0.21560000000000001</v>
      </c>
      <c r="N2421">
        <f>CONVERT(O2421,"lbf","N")</f>
        <v>8952.9356450348096</v>
      </c>
      <c r="O2421">
        <v>2012.7</v>
      </c>
      <c r="P2421">
        <f t="shared" si="37"/>
        <v>0.72936400541271995</v>
      </c>
    </row>
    <row r="2422" spans="1:16" hidden="1" x14ac:dyDescent="0.25">
      <c r="A2422">
        <v>0</v>
      </c>
      <c r="B2422">
        <v>30000</v>
      </c>
      <c r="C2422">
        <f>1.225 * (1 - 0.00000687559 * B2422) ^ 4.2561</f>
        <v>0.45828836225470948</v>
      </c>
      <c r="D2422">
        <f>E2422*(SQRT($C$2/C2422))</f>
        <v>196.19135918703881</v>
      </c>
      <c r="E2422">
        <v>120</v>
      </c>
      <c r="F2422">
        <v>1150</v>
      </c>
      <c r="G2422">
        <v>1250</v>
      </c>
      <c r="H2422">
        <f>CONVERT(G2422,"HP","kW")</f>
        <v>932.12483947783778</v>
      </c>
      <c r="I2422">
        <v>0.8478</v>
      </c>
      <c r="J2422">
        <v>1.3289</v>
      </c>
      <c r="K2422">
        <v>0.64239999999999997</v>
      </c>
      <c r="L2422">
        <v>0.29559999999999997</v>
      </c>
      <c r="M2422">
        <v>0.18859999999999999</v>
      </c>
      <c r="N2422">
        <f>CONVERT(O2422,"lbf","N")</f>
        <v>7830.2045093430579</v>
      </c>
      <c r="O2422">
        <v>1760.3</v>
      </c>
      <c r="P2422">
        <f t="shared" si="37"/>
        <v>0.6380243572395129</v>
      </c>
    </row>
    <row r="2423" spans="1:16" hidden="1" x14ac:dyDescent="0.25">
      <c r="A2423">
        <v>0</v>
      </c>
      <c r="B2423">
        <v>30000</v>
      </c>
      <c r="C2423">
        <f>1.225 * (1 - 0.00000687559 * B2423) ^ 4.2561</f>
        <v>0.45828836225470948</v>
      </c>
      <c r="D2423">
        <f>E2423*(SQRT($C$2/C2423))</f>
        <v>294.28703878055819</v>
      </c>
      <c r="E2423">
        <v>180</v>
      </c>
      <c r="F2423">
        <v>1150</v>
      </c>
      <c r="G2423">
        <v>1250</v>
      </c>
      <c r="H2423">
        <f>CONVERT(G2423,"HP","kW")</f>
        <v>932.12483947783778</v>
      </c>
      <c r="I2423">
        <v>0.87549999999999994</v>
      </c>
      <c r="J2423">
        <v>1.9934000000000001</v>
      </c>
      <c r="K2423">
        <v>0.74309999999999998</v>
      </c>
      <c r="L2423">
        <v>0.29559999999999997</v>
      </c>
      <c r="M2423">
        <v>0.1298</v>
      </c>
      <c r="N2423">
        <f>CONVERT(O2423,"lbf","N")</f>
        <v>5390.7997755342003</v>
      </c>
      <c r="O2423">
        <v>1211.9000000000001</v>
      </c>
      <c r="P2423">
        <f t="shared" si="37"/>
        <v>0.439106901217862</v>
      </c>
    </row>
    <row r="2424" spans="1:16" hidden="1" x14ac:dyDescent="0.25">
      <c r="A2424">
        <v>0</v>
      </c>
      <c r="B2424">
        <v>30000</v>
      </c>
      <c r="C2424">
        <f>1.225 * (1 - 0.00000687559 * B2424) ^ 4.2561</f>
        <v>0.45828836225470948</v>
      </c>
      <c r="D2424">
        <f>E2424*(SQRT($C$2/C2424))</f>
        <v>32.698559864506464</v>
      </c>
      <c r="E2424">
        <v>20</v>
      </c>
      <c r="F2424">
        <v>1150</v>
      </c>
      <c r="G2424">
        <v>1250</v>
      </c>
      <c r="H2424">
        <f>CONVERT(G2424,"HP","kW")</f>
        <v>932.12483947783778</v>
      </c>
      <c r="I2424">
        <v>0.20080000000000001</v>
      </c>
      <c r="J2424">
        <v>0.2215</v>
      </c>
      <c r="K2424">
        <v>0.54300000000000004</v>
      </c>
      <c r="L2424">
        <v>0.29570000000000002</v>
      </c>
      <c r="M2424">
        <v>0.2681</v>
      </c>
      <c r="N2424">
        <f>CONVERT(O2424,"lbf","N")</f>
        <v>11128.56083705872</v>
      </c>
      <c r="O2424">
        <v>2501.8000000000002</v>
      </c>
      <c r="P2424">
        <f t="shared" si="37"/>
        <v>0.90666215759215418</v>
      </c>
    </row>
    <row r="2425" spans="1:16" hidden="1" x14ac:dyDescent="0.25">
      <c r="A2425">
        <v>0</v>
      </c>
      <c r="B2425">
        <v>30000</v>
      </c>
      <c r="C2425">
        <f>1.225 * (1 - 0.00000687559 * B2425) ^ 4.2561</f>
        <v>0.45828836225470948</v>
      </c>
      <c r="D2425">
        <f>E2425*(SQRT($C$2/C2425))</f>
        <v>130.79423945802586</v>
      </c>
      <c r="E2425">
        <v>80</v>
      </c>
      <c r="F2425">
        <v>1150</v>
      </c>
      <c r="G2425">
        <v>1250</v>
      </c>
      <c r="H2425">
        <f>CONVERT(G2425,"HP","kW")</f>
        <v>932.12483947783778</v>
      </c>
      <c r="I2425">
        <v>0.74409999999999998</v>
      </c>
      <c r="J2425">
        <v>0.88590000000000002</v>
      </c>
      <c r="K2425">
        <v>0.5907</v>
      </c>
      <c r="L2425">
        <v>0.29570000000000002</v>
      </c>
      <c r="M2425">
        <v>0.24840000000000001</v>
      </c>
      <c r="N2425">
        <f>CONVERT(O2425,"lbf","N")</f>
        <v>10307.863949043158</v>
      </c>
      <c r="O2425">
        <v>2317.3000000000002</v>
      </c>
      <c r="P2425">
        <f t="shared" si="37"/>
        <v>0.84004058167061213</v>
      </c>
    </row>
    <row r="2426" spans="1:16" hidden="1" x14ac:dyDescent="0.25">
      <c r="A2426">
        <v>0</v>
      </c>
      <c r="B2426">
        <v>30000</v>
      </c>
      <c r="C2426">
        <f>1.225 * (1 - 0.00000687559 * B2426) ^ 4.2561</f>
        <v>0.45828836225470948</v>
      </c>
      <c r="D2426">
        <f>E2426*(SQRT($C$2/C2426))</f>
        <v>326.98559864506467</v>
      </c>
      <c r="E2426">
        <v>200</v>
      </c>
      <c r="F2426">
        <v>1150</v>
      </c>
      <c r="G2426">
        <v>1250</v>
      </c>
      <c r="H2426">
        <f>CONVERT(G2426,"HP","kW")</f>
        <v>932.12483947783778</v>
      </c>
      <c r="I2426">
        <v>0.84030000000000005</v>
      </c>
      <c r="J2426">
        <v>2.2149000000000001</v>
      </c>
      <c r="K2426">
        <v>0.78159999999999996</v>
      </c>
      <c r="L2426">
        <v>0.29570000000000002</v>
      </c>
      <c r="M2426">
        <v>0.11219999999999999</v>
      </c>
      <c r="N2426">
        <f>CONVERT(O2426,"lbf","N")</f>
        <v>4656.3983868546911</v>
      </c>
      <c r="O2426">
        <v>1046.8</v>
      </c>
      <c r="P2426">
        <f t="shared" si="37"/>
        <v>0.37943862022319913</v>
      </c>
    </row>
    <row r="2427" spans="1:16" hidden="1" x14ac:dyDescent="0.25">
      <c r="A2427">
        <v>0</v>
      </c>
      <c r="B2427">
        <v>30000</v>
      </c>
      <c r="C2427">
        <f>1.225 * (1 - 0.00000687559 * B2427) ^ 4.2561</f>
        <v>0.45828836225470948</v>
      </c>
      <c r="D2427">
        <f>E2427*(SQRT($C$2/C2427))</f>
        <v>359.68415850957115</v>
      </c>
      <c r="E2427">
        <v>220</v>
      </c>
      <c r="F2427">
        <v>1150</v>
      </c>
      <c r="G2427">
        <v>1250</v>
      </c>
      <c r="H2427">
        <f>CONVERT(G2427,"HP","kW")</f>
        <v>932.12483947783778</v>
      </c>
      <c r="I2427">
        <v>0.749</v>
      </c>
      <c r="J2427">
        <v>2.4363999999999999</v>
      </c>
      <c r="K2427">
        <v>0.82199999999999995</v>
      </c>
      <c r="L2427">
        <v>0.29570000000000002</v>
      </c>
      <c r="M2427">
        <v>9.0899999999999995E-2</v>
      </c>
      <c r="N2427">
        <f>CONVERT(O2427,"lbf","N")</f>
        <v>3772.981574063956</v>
      </c>
      <c r="O2427">
        <v>848.2</v>
      </c>
      <c r="P2427">
        <f t="shared" si="37"/>
        <v>0.30740615488670947</v>
      </c>
    </row>
    <row r="2428" spans="1:16" hidden="1" x14ac:dyDescent="0.25">
      <c r="A2428">
        <v>0</v>
      </c>
      <c r="B2428">
        <v>30000</v>
      </c>
      <c r="C2428">
        <f>1.225 * (1 - 0.00000687559 * B2428) ^ 4.2561</f>
        <v>0.45828836225470948</v>
      </c>
      <c r="D2428">
        <f>E2428*(SQRT($C$2/C2428))</f>
        <v>65.397119729012928</v>
      </c>
      <c r="E2428">
        <v>40</v>
      </c>
      <c r="F2428">
        <v>1150</v>
      </c>
      <c r="G2428">
        <v>1250</v>
      </c>
      <c r="H2428">
        <f>CONVERT(G2428,"HP","kW")</f>
        <v>932.12483947783778</v>
      </c>
      <c r="I2428">
        <v>0.43169999999999997</v>
      </c>
      <c r="J2428">
        <v>0.443</v>
      </c>
      <c r="K2428">
        <v>0.55420000000000003</v>
      </c>
      <c r="L2428">
        <v>0.29580000000000001</v>
      </c>
      <c r="M2428">
        <v>0.2883</v>
      </c>
      <c r="N2428">
        <f>CONVERT(O2428,"lbf","N")</f>
        <v>11960.378279112434</v>
      </c>
      <c r="O2428">
        <v>2688.8</v>
      </c>
      <c r="P2428">
        <f t="shared" si="37"/>
        <v>0.97464503042596351</v>
      </c>
    </row>
    <row r="2429" spans="1:16" hidden="1" x14ac:dyDescent="0.25">
      <c r="A2429">
        <v>0</v>
      </c>
      <c r="B2429">
        <v>30000</v>
      </c>
      <c r="C2429">
        <f>1.225 * (1 - 0.00000687559 * B2429) ^ 4.2561</f>
        <v>0.45828836225470948</v>
      </c>
      <c r="D2429">
        <f>E2429*(SQRT($C$2/C2429))</f>
        <v>425.08127823858405</v>
      </c>
      <c r="E2429">
        <v>260</v>
      </c>
      <c r="F2429">
        <v>1150</v>
      </c>
      <c r="G2429">
        <v>1250</v>
      </c>
      <c r="H2429">
        <f>CONVERT(G2429,"HP","kW")</f>
        <v>932.12483947783778</v>
      </c>
      <c r="I2429">
        <v>0.25119999999999998</v>
      </c>
      <c r="J2429">
        <v>2.8793000000000002</v>
      </c>
      <c r="K2429">
        <v>0.90749999999999997</v>
      </c>
      <c r="L2429">
        <v>0.29580000000000001</v>
      </c>
      <c r="M2429">
        <v>2.58E-2</v>
      </c>
      <c r="N2429">
        <f>CONVERT(O2429,"lbf","N")</f>
        <v>1070.6869427932024</v>
      </c>
      <c r="O2429">
        <v>240.7</v>
      </c>
      <c r="P2429">
        <f t="shared" si="37"/>
        <v>8.7221095334685597E-2</v>
      </c>
    </row>
    <row r="2430" spans="1:16" hidden="1" x14ac:dyDescent="0.25">
      <c r="A2430">
        <v>0</v>
      </c>
      <c r="B2430">
        <v>30000</v>
      </c>
      <c r="C2430">
        <f>1.225 * (1 - 0.00000687559 * B2430) ^ 4.2561</f>
        <v>0.45828836225470948</v>
      </c>
      <c r="D2430">
        <f>E2430*(SQRT($C$2/C2430))</f>
        <v>0</v>
      </c>
      <c r="E2430">
        <v>0</v>
      </c>
      <c r="F2430">
        <v>1150</v>
      </c>
      <c r="G2430">
        <v>1250</v>
      </c>
      <c r="H2430">
        <f>CONVERT(G2430,"HP","kW")</f>
        <v>932.12483947783778</v>
      </c>
      <c r="I2430">
        <v>0</v>
      </c>
      <c r="J2430">
        <v>0</v>
      </c>
      <c r="K2430">
        <v>0.5353</v>
      </c>
      <c r="L2430">
        <v>0.2959</v>
      </c>
      <c r="M2430">
        <v>0.25409999999999999</v>
      </c>
      <c r="N2430">
        <f>CONVERT(O2430,"lbf","N")</f>
        <v>10538.726650875176</v>
      </c>
      <c r="O2430">
        <v>2369.1999999999998</v>
      </c>
      <c r="P2430">
        <f t="shared" si="37"/>
        <v>0.85873605947955389</v>
      </c>
    </row>
    <row r="2431" spans="1:16" hidden="1" x14ac:dyDescent="0.25">
      <c r="A2431">
        <v>0</v>
      </c>
      <c r="B2431">
        <v>30000</v>
      </c>
      <c r="C2431">
        <f>1.225 * (1 - 0.00000687559 * B2431) ^ 4.2561</f>
        <v>0.45828836225470948</v>
      </c>
      <c r="D2431">
        <f>E2431*(SQRT($C$2/C2431))</f>
        <v>392.38271837407763</v>
      </c>
      <c r="E2431">
        <v>240</v>
      </c>
      <c r="F2431">
        <v>1150</v>
      </c>
      <c r="G2431">
        <v>1250</v>
      </c>
      <c r="H2431">
        <f>CONVERT(G2431,"HP","kW")</f>
        <v>932.12483947783778</v>
      </c>
      <c r="I2431">
        <v>0.55730000000000002</v>
      </c>
      <c r="J2431">
        <v>2.6577999999999999</v>
      </c>
      <c r="K2431">
        <v>0.86399999999999999</v>
      </c>
      <c r="L2431">
        <v>0.29599999999999999</v>
      </c>
      <c r="M2431">
        <v>6.2100000000000002E-2</v>
      </c>
      <c r="N2431">
        <f>CONVERT(O2431,"lbf","N")</f>
        <v>2573.2962044281994</v>
      </c>
      <c r="O2431">
        <v>578.5</v>
      </c>
      <c r="P2431">
        <f t="shared" si="37"/>
        <v>0.20979729729729732</v>
      </c>
    </row>
    <row r="2432" spans="1:16" hidden="1" x14ac:dyDescent="0.25">
      <c r="A2432">
        <v>0</v>
      </c>
      <c r="B2432">
        <v>25000</v>
      </c>
      <c r="C2432">
        <f>1.225 * (1 - 0.00000687559 * B2432) ^ 4.2561</f>
        <v>0.54892259437885793</v>
      </c>
      <c r="D2432">
        <f>E2432*(SQRT($C$2/C2432))</f>
        <v>59.754756643641343</v>
      </c>
      <c r="E2432">
        <v>40</v>
      </c>
      <c r="F2432">
        <v>1150</v>
      </c>
      <c r="G2432">
        <v>1500</v>
      </c>
      <c r="H2432">
        <f>CONVERT(G2432,"HP","kW")</f>
        <v>1118.5498073734054</v>
      </c>
      <c r="I2432">
        <v>0.39</v>
      </c>
      <c r="J2432">
        <v>0.40479999999999999</v>
      </c>
      <c r="K2432">
        <v>0.54039999999999999</v>
      </c>
      <c r="L2432">
        <v>0.29609999999999997</v>
      </c>
      <c r="M2432">
        <v>0.2853</v>
      </c>
      <c r="N2432">
        <f>CONVERT(O2432,"lbf","N")</f>
        <v>14191.161419165575</v>
      </c>
      <c r="O2432">
        <v>3190.3</v>
      </c>
      <c r="P2432">
        <f t="shared" si="37"/>
        <v>0.9635258358662615</v>
      </c>
    </row>
    <row r="2433" spans="1:16" hidden="1" x14ac:dyDescent="0.25">
      <c r="A2433">
        <v>0</v>
      </c>
      <c r="B2433">
        <v>25000</v>
      </c>
      <c r="C2433">
        <f>1.225 * (1 - 0.00000687559 * B2433) ^ 4.2561</f>
        <v>0.54892259437885793</v>
      </c>
      <c r="D2433">
        <f>E2433*(SQRT($C$2/C2433))</f>
        <v>209.14164825274472</v>
      </c>
      <c r="E2433">
        <v>140</v>
      </c>
      <c r="F2433">
        <v>1150</v>
      </c>
      <c r="G2433">
        <v>1500</v>
      </c>
      <c r="H2433">
        <f>CONVERT(G2433,"HP","kW")</f>
        <v>1118.5498073734054</v>
      </c>
      <c r="I2433">
        <v>0.85929999999999995</v>
      </c>
      <c r="J2433">
        <v>1.4166000000000001</v>
      </c>
      <c r="K2433">
        <v>0.64049999999999996</v>
      </c>
      <c r="L2433">
        <v>0.29609999999999997</v>
      </c>
      <c r="M2433">
        <v>0.17960000000000001</v>
      </c>
      <c r="N2433">
        <f>CONVERT(O2433,"lbf","N")</f>
        <v>8933.3634699276627</v>
      </c>
      <c r="O2433">
        <v>2008.3</v>
      </c>
      <c r="P2433">
        <f t="shared" si="37"/>
        <v>0.60655184059439382</v>
      </c>
    </row>
    <row r="2434" spans="1:16" hidden="1" x14ac:dyDescent="0.25">
      <c r="A2434">
        <v>0</v>
      </c>
      <c r="B2434">
        <v>25000</v>
      </c>
      <c r="C2434">
        <f>1.225 * (1 - 0.00000687559 * B2434) ^ 4.2561</f>
        <v>0.54892259437885793</v>
      </c>
      <c r="D2434">
        <f>E2434*(SQRT($C$2/C2434))</f>
        <v>239.01902657456537</v>
      </c>
      <c r="E2434">
        <v>160</v>
      </c>
      <c r="F2434">
        <v>1150</v>
      </c>
      <c r="G2434">
        <v>1500</v>
      </c>
      <c r="H2434">
        <f>CONVERT(G2434,"HP","kW")</f>
        <v>1118.5498073734054</v>
      </c>
      <c r="I2434">
        <v>0.87819999999999998</v>
      </c>
      <c r="J2434">
        <v>1.619</v>
      </c>
      <c r="K2434">
        <v>0.66900000000000004</v>
      </c>
      <c r="L2434">
        <v>0.29609999999999997</v>
      </c>
      <c r="M2434">
        <v>0.16059999999999999</v>
      </c>
      <c r="N2434">
        <f>CONVERT(O2434,"lbf","N")</f>
        <v>7989.0060210078582</v>
      </c>
      <c r="O2434">
        <v>1796</v>
      </c>
      <c r="P2434">
        <f t="shared" si="37"/>
        <v>0.54238432961837224</v>
      </c>
    </row>
    <row r="2435" spans="1:16" hidden="1" x14ac:dyDescent="0.25">
      <c r="A2435">
        <v>0</v>
      </c>
      <c r="B2435">
        <v>25000</v>
      </c>
      <c r="C2435">
        <f>1.225 * (1 - 0.00000687559 * B2435) ^ 4.2561</f>
        <v>0.54892259437885793</v>
      </c>
      <c r="D2435">
        <f>E2435*(SQRT($C$2/C2435))</f>
        <v>268.89640489638606</v>
      </c>
      <c r="E2435">
        <v>180</v>
      </c>
      <c r="F2435">
        <v>1150</v>
      </c>
      <c r="G2435">
        <v>1500</v>
      </c>
      <c r="H2435">
        <f>CONVERT(G2435,"HP","kW")</f>
        <v>1118.5498073734054</v>
      </c>
      <c r="I2435">
        <v>0.8891</v>
      </c>
      <c r="J2435">
        <v>1.8213999999999999</v>
      </c>
      <c r="K2435">
        <v>0.69979999999999998</v>
      </c>
      <c r="L2435">
        <v>0.29609999999999997</v>
      </c>
      <c r="M2435">
        <v>0.14460000000000001</v>
      </c>
      <c r="N2435">
        <f>CONVERT(O2435,"lbf","N")</f>
        <v>7189.6605967455462</v>
      </c>
      <c r="O2435">
        <v>1616.3</v>
      </c>
      <c r="P2435">
        <f t="shared" ref="P2435:P2498" si="38">M2435/L2435</f>
        <v>0.48834853090172248</v>
      </c>
    </row>
    <row r="2436" spans="1:16" hidden="1" x14ac:dyDescent="0.25">
      <c r="A2436">
        <v>0</v>
      </c>
      <c r="B2436">
        <v>25000</v>
      </c>
      <c r="C2436">
        <f>1.225 * (1 - 0.00000687559 * B2436) ^ 4.2561</f>
        <v>0.54892259437885793</v>
      </c>
      <c r="D2436">
        <f>E2436*(SQRT($C$2/C2436))</f>
        <v>89.632134965462015</v>
      </c>
      <c r="E2436">
        <v>60</v>
      </c>
      <c r="F2436">
        <v>1150</v>
      </c>
      <c r="G2436">
        <v>1500</v>
      </c>
      <c r="H2436">
        <f>CONVERT(G2436,"HP","kW")</f>
        <v>1118.5498073734054</v>
      </c>
      <c r="I2436">
        <v>0.5917</v>
      </c>
      <c r="J2436">
        <v>0.60709999999999997</v>
      </c>
      <c r="K2436">
        <v>0.55369999999999997</v>
      </c>
      <c r="L2436">
        <v>0.29620000000000002</v>
      </c>
      <c r="M2436">
        <v>0.28870000000000001</v>
      </c>
      <c r="N2436">
        <f>CONVERT(O2436,"lbf","N")</f>
        <v>14353.076685961056</v>
      </c>
      <c r="O2436">
        <v>3226.7</v>
      </c>
      <c r="P2436">
        <f t="shared" si="38"/>
        <v>0.97467927076299798</v>
      </c>
    </row>
    <row r="2437" spans="1:16" hidden="1" x14ac:dyDescent="0.25">
      <c r="A2437">
        <v>0</v>
      </c>
      <c r="B2437">
        <v>25000</v>
      </c>
      <c r="C2437">
        <f>1.225 * (1 - 0.00000687559 * B2437) ^ 4.2561</f>
        <v>0.54892259437885793</v>
      </c>
      <c r="D2437">
        <f>E2437*(SQRT($C$2/C2437))</f>
        <v>179.26426993092403</v>
      </c>
      <c r="E2437">
        <v>120</v>
      </c>
      <c r="F2437">
        <v>1150</v>
      </c>
      <c r="G2437">
        <v>1500</v>
      </c>
      <c r="H2437">
        <f>CONVERT(G2437,"HP","kW")</f>
        <v>1118.5498073734054</v>
      </c>
      <c r="I2437">
        <v>0.8296</v>
      </c>
      <c r="J2437">
        <v>1.2142999999999999</v>
      </c>
      <c r="K2437">
        <v>0.61450000000000005</v>
      </c>
      <c r="L2437">
        <v>0.29620000000000002</v>
      </c>
      <c r="M2437">
        <v>0.2024</v>
      </c>
      <c r="N2437">
        <f>CONVERT(O2437,"lbf","N")</f>
        <v>10061.877293719252</v>
      </c>
      <c r="O2437">
        <v>2262</v>
      </c>
      <c r="P2437">
        <f t="shared" si="38"/>
        <v>0.68332207967589464</v>
      </c>
    </row>
    <row r="2438" spans="1:16" hidden="1" x14ac:dyDescent="0.25">
      <c r="A2438">
        <v>0</v>
      </c>
      <c r="B2438">
        <v>25000</v>
      </c>
      <c r="C2438">
        <f>1.225 * (1 - 0.00000687559 * B2438) ^ 4.2561</f>
        <v>0.54892259437885793</v>
      </c>
      <c r="D2438">
        <f>E2438*(SQRT($C$2/C2438))</f>
        <v>298.77378321820675</v>
      </c>
      <c r="E2438">
        <v>200</v>
      </c>
      <c r="F2438">
        <v>1150</v>
      </c>
      <c r="G2438">
        <v>1500</v>
      </c>
      <c r="H2438">
        <f>CONVERT(G2438,"HP","kW")</f>
        <v>1118.5498073734054</v>
      </c>
      <c r="I2438">
        <v>0.88280000000000003</v>
      </c>
      <c r="J2438">
        <v>2.0238</v>
      </c>
      <c r="K2438">
        <v>0.73260000000000003</v>
      </c>
      <c r="L2438">
        <v>0.29620000000000002</v>
      </c>
      <c r="M2438">
        <v>0.12920000000000001</v>
      </c>
      <c r="N2438">
        <f>CONVERT(O2438,"lbf","N")</f>
        <v>6424.5664789207403</v>
      </c>
      <c r="O2438">
        <v>1444.3</v>
      </c>
      <c r="P2438">
        <f t="shared" si="38"/>
        <v>0.43619176232275492</v>
      </c>
    </row>
    <row r="2439" spans="1:16" hidden="1" x14ac:dyDescent="0.25">
      <c r="A2439">
        <v>0</v>
      </c>
      <c r="B2439">
        <v>25000</v>
      </c>
      <c r="C2439">
        <f>1.225 * (1 - 0.00000687559 * B2439) ^ 4.2561</f>
        <v>0.54892259437885793</v>
      </c>
      <c r="D2439">
        <f>E2439*(SQRT($C$2/C2439))</f>
        <v>29.877378321820672</v>
      </c>
      <c r="E2439">
        <v>20</v>
      </c>
      <c r="F2439">
        <v>1150</v>
      </c>
      <c r="G2439">
        <v>1500</v>
      </c>
      <c r="H2439">
        <f>CONVERT(G2439,"HP","kW")</f>
        <v>1118.5498073734054</v>
      </c>
      <c r="I2439">
        <v>0.18229999999999999</v>
      </c>
      <c r="J2439">
        <v>0.2024</v>
      </c>
      <c r="K2439">
        <v>0.53080000000000005</v>
      </c>
      <c r="L2439">
        <v>0.29630000000000001</v>
      </c>
      <c r="M2439">
        <v>0.26690000000000003</v>
      </c>
      <c r="N2439">
        <f>CONVERT(O2439,"lbf","N")</f>
        <v>13269.934722645123</v>
      </c>
      <c r="O2439">
        <v>2983.2</v>
      </c>
      <c r="P2439">
        <f t="shared" si="38"/>
        <v>0.90077624029699632</v>
      </c>
    </row>
    <row r="2440" spans="1:16" hidden="1" x14ac:dyDescent="0.25">
      <c r="A2440">
        <v>0</v>
      </c>
      <c r="B2440">
        <v>25000</v>
      </c>
      <c r="C2440">
        <f>1.225 * (1 - 0.00000687559 * B2440) ^ 4.2561</f>
        <v>0.54892259437885793</v>
      </c>
      <c r="D2440">
        <f>E2440*(SQRT($C$2/C2440))</f>
        <v>119.50951328728269</v>
      </c>
      <c r="E2440">
        <v>80</v>
      </c>
      <c r="F2440">
        <v>1150</v>
      </c>
      <c r="G2440">
        <v>1500</v>
      </c>
      <c r="H2440">
        <f>CONVERT(G2440,"HP","kW")</f>
        <v>1118.5498073734054</v>
      </c>
      <c r="I2440">
        <v>0.71440000000000003</v>
      </c>
      <c r="J2440">
        <v>0.8095</v>
      </c>
      <c r="K2440">
        <v>0.57099999999999995</v>
      </c>
      <c r="L2440">
        <v>0.29630000000000001</v>
      </c>
      <c r="M2440">
        <v>0.26150000000000001</v>
      </c>
      <c r="N2440">
        <f>CONVERT(O2440,"lbf","N")</f>
        <v>12997.703559791182</v>
      </c>
      <c r="O2440">
        <v>2922</v>
      </c>
      <c r="P2440">
        <f t="shared" si="38"/>
        <v>0.88255146810664864</v>
      </c>
    </row>
    <row r="2441" spans="1:16" hidden="1" x14ac:dyDescent="0.25">
      <c r="A2441">
        <v>0</v>
      </c>
      <c r="B2441">
        <v>25000</v>
      </c>
      <c r="C2441">
        <f>1.225 * (1 - 0.00000687559 * B2441) ^ 4.2561</f>
        <v>0.54892259437885793</v>
      </c>
      <c r="D2441">
        <f>E2441*(SQRT($C$2/C2441))</f>
        <v>149.38689160910337</v>
      </c>
      <c r="E2441">
        <v>100</v>
      </c>
      <c r="F2441">
        <v>1150</v>
      </c>
      <c r="G2441">
        <v>1500</v>
      </c>
      <c r="H2441">
        <f>CONVERT(G2441,"HP","kW")</f>
        <v>1118.5498073734054</v>
      </c>
      <c r="I2441">
        <v>0.78400000000000003</v>
      </c>
      <c r="J2441">
        <v>1.0119</v>
      </c>
      <c r="K2441">
        <v>0.59130000000000005</v>
      </c>
      <c r="L2441">
        <v>0.29630000000000001</v>
      </c>
      <c r="M2441">
        <v>0.22950000000000001</v>
      </c>
      <c r="N2441">
        <f>CONVERT(O2441,"lbf","N")</f>
        <v>11411.022909627762</v>
      </c>
      <c r="O2441">
        <v>2565.3000000000002</v>
      </c>
      <c r="P2441">
        <f t="shared" si="38"/>
        <v>0.77455281808977394</v>
      </c>
    </row>
    <row r="2442" spans="1:16" hidden="1" x14ac:dyDescent="0.25">
      <c r="A2442">
        <v>0</v>
      </c>
      <c r="B2442">
        <v>25000</v>
      </c>
      <c r="C2442">
        <f>1.225 * (1 - 0.00000687559 * B2442) ^ 4.2561</f>
        <v>0.54892259437885793</v>
      </c>
      <c r="D2442">
        <f>E2442*(SQRT($C$2/C2442))</f>
        <v>328.65116154002743</v>
      </c>
      <c r="E2442">
        <v>220</v>
      </c>
      <c r="F2442">
        <v>1150</v>
      </c>
      <c r="G2442">
        <v>1500</v>
      </c>
      <c r="H2442">
        <f>CONVERT(G2442,"HP","kW")</f>
        <v>1118.5498073734054</v>
      </c>
      <c r="I2442">
        <v>0.85560000000000003</v>
      </c>
      <c r="J2442">
        <v>2.2262</v>
      </c>
      <c r="K2442">
        <v>0.76719999999999999</v>
      </c>
      <c r="L2442">
        <v>0.29630000000000001</v>
      </c>
      <c r="M2442">
        <v>0.1139</v>
      </c>
      <c r="N2442">
        <f>CONVERT(O2442,"lbf","N")</f>
        <v>5660.8068275805117</v>
      </c>
      <c r="O2442">
        <v>1272.5999999999999</v>
      </c>
      <c r="P2442">
        <f t="shared" si="38"/>
        <v>0.38440769490381371</v>
      </c>
    </row>
    <row r="2443" spans="1:16" hidden="1" x14ac:dyDescent="0.25">
      <c r="A2443">
        <v>0</v>
      </c>
      <c r="B2443">
        <v>25000</v>
      </c>
      <c r="C2443">
        <f>1.225 * (1 - 0.00000687559 * B2443) ^ 4.2561</f>
        <v>0.54892259437885793</v>
      </c>
      <c r="D2443">
        <f>E2443*(SQRT($C$2/C2443))</f>
        <v>388.40591818366875</v>
      </c>
      <c r="E2443">
        <v>260</v>
      </c>
      <c r="F2443">
        <v>1150</v>
      </c>
      <c r="G2443">
        <v>1500</v>
      </c>
      <c r="H2443">
        <f>CONVERT(G2443,"HP","kW")</f>
        <v>1118.5498073734054</v>
      </c>
      <c r="I2443">
        <v>0.64559999999999995</v>
      </c>
      <c r="J2443">
        <v>2.6309</v>
      </c>
      <c r="K2443">
        <v>0.84079999999999999</v>
      </c>
      <c r="L2443">
        <v>0.2964</v>
      </c>
      <c r="M2443">
        <v>7.2700000000000001E-2</v>
      </c>
      <c r="N2443">
        <f>CONVERT(O2443,"lbf","N")</f>
        <v>3614.1800623991562</v>
      </c>
      <c r="O2443">
        <v>812.5</v>
      </c>
      <c r="P2443">
        <f t="shared" si="38"/>
        <v>0.24527665317139002</v>
      </c>
    </row>
    <row r="2444" spans="1:16" hidden="1" x14ac:dyDescent="0.25">
      <c r="A2444">
        <v>0</v>
      </c>
      <c r="B2444">
        <v>25000</v>
      </c>
      <c r="C2444">
        <f>1.225 * (1 - 0.00000687559 * B2444) ^ 4.2561</f>
        <v>0.54892259437885793</v>
      </c>
      <c r="D2444">
        <f>E2444*(SQRT($C$2/C2444))</f>
        <v>0</v>
      </c>
      <c r="E2444">
        <v>0</v>
      </c>
      <c r="F2444">
        <v>1150</v>
      </c>
      <c r="G2444">
        <v>1500</v>
      </c>
      <c r="H2444">
        <f>CONVERT(G2444,"HP","kW")</f>
        <v>1118.5498073734054</v>
      </c>
      <c r="I2444">
        <v>0</v>
      </c>
      <c r="J2444">
        <v>0</v>
      </c>
      <c r="K2444">
        <v>0.52410000000000001</v>
      </c>
      <c r="L2444">
        <v>0.29649999999999999</v>
      </c>
      <c r="M2444">
        <v>0.254</v>
      </c>
      <c r="N2444">
        <f>CONVERT(O2444,"lbf","N")</f>
        <v>12614.711678717253</v>
      </c>
      <c r="O2444">
        <v>2835.9</v>
      </c>
      <c r="P2444">
        <f t="shared" si="38"/>
        <v>0.85666104553119737</v>
      </c>
    </row>
    <row r="2445" spans="1:16" hidden="1" x14ac:dyDescent="0.25">
      <c r="A2445">
        <v>0</v>
      </c>
      <c r="B2445">
        <v>25000</v>
      </c>
      <c r="C2445">
        <f>1.225 * (1 - 0.00000687559 * B2445) ^ 4.2561</f>
        <v>0.54892259437885793</v>
      </c>
      <c r="D2445">
        <f>E2445*(SQRT($C$2/C2445))</f>
        <v>358.52853986184806</v>
      </c>
      <c r="E2445">
        <v>240</v>
      </c>
      <c r="F2445">
        <v>1150</v>
      </c>
      <c r="G2445">
        <v>1500</v>
      </c>
      <c r="H2445">
        <f>CONVERT(G2445,"HP","kW")</f>
        <v>1118.5498073734054</v>
      </c>
      <c r="I2445">
        <v>0.78249999999999997</v>
      </c>
      <c r="J2445">
        <v>2.4285000000000001</v>
      </c>
      <c r="K2445">
        <v>0.80330000000000001</v>
      </c>
      <c r="L2445">
        <v>0.29649999999999999</v>
      </c>
      <c r="M2445">
        <v>9.5500000000000002E-2</v>
      </c>
      <c r="N2445">
        <f>CONVERT(O2445,"lbf","N")</f>
        <v>4745.3628191599009</v>
      </c>
      <c r="O2445">
        <v>1066.8</v>
      </c>
      <c r="P2445">
        <f t="shared" si="38"/>
        <v>0.32209106239460372</v>
      </c>
    </row>
    <row r="2446" spans="1:16" hidden="1" x14ac:dyDescent="0.25">
      <c r="A2446">
        <v>0</v>
      </c>
      <c r="B2446">
        <v>15000</v>
      </c>
      <c r="C2446">
        <f>1.225 * (1 - 0.00000687559 * B2446) ^ 4.2561</f>
        <v>0.77079726910167001</v>
      </c>
      <c r="D2446">
        <f>E2446*(SQRT($C$2/C2446))</f>
        <v>252.13199277533059</v>
      </c>
      <c r="E2446">
        <v>200</v>
      </c>
      <c r="F2446">
        <v>1215</v>
      </c>
      <c r="G2446">
        <v>2500</v>
      </c>
      <c r="H2446">
        <f>CONVERT(G2446,"HP","kW")</f>
        <v>1864.2496789556756</v>
      </c>
      <c r="I2446">
        <v>0.87760000000000005</v>
      </c>
      <c r="J2446">
        <v>1.6165</v>
      </c>
      <c r="K2446">
        <v>0.67879999999999996</v>
      </c>
      <c r="L2446">
        <v>0.2979</v>
      </c>
      <c r="M2446">
        <v>0.16170000000000001</v>
      </c>
      <c r="N2446">
        <f>CONVERT(O2446,"lbf","N")</f>
        <v>12613.822034394199</v>
      </c>
      <c r="O2446">
        <v>2835.7</v>
      </c>
      <c r="P2446">
        <f t="shared" si="38"/>
        <v>0.54279959718026183</v>
      </c>
    </row>
    <row r="2447" spans="1:16" hidden="1" x14ac:dyDescent="0.25">
      <c r="A2447">
        <v>0</v>
      </c>
      <c r="B2447">
        <v>15000</v>
      </c>
      <c r="C2447">
        <f>1.225 * (1 - 0.00000687559 * B2447) ^ 4.2561</f>
        <v>0.77079726910167001</v>
      </c>
      <c r="D2447">
        <f>E2447*(SQRT($C$2/C2447))</f>
        <v>201.70559422026446</v>
      </c>
      <c r="E2447">
        <v>160</v>
      </c>
      <c r="F2447">
        <v>1215</v>
      </c>
      <c r="G2447">
        <v>2500</v>
      </c>
      <c r="H2447">
        <f>CONVERT(G2447,"HP","kW")</f>
        <v>1864.2496789556756</v>
      </c>
      <c r="I2447">
        <v>0.84189999999999998</v>
      </c>
      <c r="J2447">
        <v>1.2931999999999999</v>
      </c>
      <c r="K2447">
        <v>0.63380000000000003</v>
      </c>
      <c r="L2447">
        <v>0.29799999999999999</v>
      </c>
      <c r="M2447">
        <v>0.19400000000000001</v>
      </c>
      <c r="N2447">
        <f>CONVERT(O2447,"lbf","N")</f>
        <v>15125.732780531804</v>
      </c>
      <c r="O2447">
        <v>3400.4</v>
      </c>
      <c r="P2447">
        <f t="shared" si="38"/>
        <v>0.65100671140939603</v>
      </c>
    </row>
    <row r="2448" spans="1:16" hidden="1" x14ac:dyDescent="0.25">
      <c r="A2448">
        <v>0</v>
      </c>
      <c r="B2448">
        <v>15000</v>
      </c>
      <c r="C2448">
        <f>1.225 * (1 - 0.00000687559 * B2448) ^ 4.2561</f>
        <v>0.77079726910167001</v>
      </c>
      <c r="D2448">
        <f>E2448*(SQRT($C$2/C2448))</f>
        <v>226.91879349779754</v>
      </c>
      <c r="E2448">
        <v>180</v>
      </c>
      <c r="F2448">
        <v>1215</v>
      </c>
      <c r="G2448">
        <v>2500</v>
      </c>
      <c r="H2448">
        <f>CONVERT(G2448,"HP","kW")</f>
        <v>1864.2496789556756</v>
      </c>
      <c r="I2448">
        <v>0.86280000000000001</v>
      </c>
      <c r="J2448">
        <v>1.4548000000000001</v>
      </c>
      <c r="K2448">
        <v>0.65549999999999997</v>
      </c>
      <c r="L2448">
        <v>0.29799999999999999</v>
      </c>
      <c r="M2448">
        <v>0.1767</v>
      </c>
      <c r="N2448">
        <f>CONVERT(O2448,"lbf","N")</f>
        <v>13779.256097592452</v>
      </c>
      <c r="O2448">
        <v>3097.7</v>
      </c>
      <c r="P2448">
        <f t="shared" si="38"/>
        <v>0.59295302013422824</v>
      </c>
    </row>
    <row r="2449" spans="1:16" hidden="1" x14ac:dyDescent="0.25">
      <c r="A2449">
        <v>0</v>
      </c>
      <c r="B2449">
        <v>15000</v>
      </c>
      <c r="C2449">
        <f>1.225 * (1 - 0.00000687559 * B2449) ^ 4.2561</f>
        <v>0.77079726910167001</v>
      </c>
      <c r="D2449">
        <f>E2449*(SQRT($C$2/C2449))</f>
        <v>277.34519205286364</v>
      </c>
      <c r="E2449">
        <v>220</v>
      </c>
      <c r="F2449">
        <v>1215</v>
      </c>
      <c r="G2449">
        <v>2500</v>
      </c>
      <c r="H2449">
        <f>CONVERT(G2449,"HP","kW")</f>
        <v>1864.2496789556756</v>
      </c>
      <c r="I2449">
        <v>0.88629999999999998</v>
      </c>
      <c r="J2449">
        <v>1.7781</v>
      </c>
      <c r="K2449">
        <v>0.7036</v>
      </c>
      <c r="L2449">
        <v>0.29799999999999999</v>
      </c>
      <c r="M2449">
        <v>0.14849999999999999</v>
      </c>
      <c r="N2449">
        <f>CONVERT(O2449,"lbf","N")</f>
        <v>11580.944975330713</v>
      </c>
      <c r="O2449">
        <v>2603.5</v>
      </c>
      <c r="P2449">
        <f t="shared" si="38"/>
        <v>0.49832214765100669</v>
      </c>
    </row>
    <row r="2450" spans="1:16" hidden="1" x14ac:dyDescent="0.25">
      <c r="A2450">
        <v>0</v>
      </c>
      <c r="B2450">
        <v>15000</v>
      </c>
      <c r="C2450">
        <f>1.225 * (1 - 0.00000687559 * B2450) ^ 4.2561</f>
        <v>0.77079726910167001</v>
      </c>
      <c r="D2450">
        <f>E2450*(SQRT($C$2/C2450))</f>
        <v>302.55839133039672</v>
      </c>
      <c r="E2450">
        <v>240</v>
      </c>
      <c r="F2450">
        <v>1215</v>
      </c>
      <c r="G2450">
        <v>2500</v>
      </c>
      <c r="H2450">
        <f>CONVERT(G2450,"HP","kW")</f>
        <v>1864.2496789556756</v>
      </c>
      <c r="I2450">
        <v>0.88249999999999995</v>
      </c>
      <c r="J2450">
        <v>1.9398</v>
      </c>
      <c r="K2450">
        <v>0.72970000000000002</v>
      </c>
      <c r="L2450">
        <v>0.29799999999999999</v>
      </c>
      <c r="M2450">
        <v>0.1356</v>
      </c>
      <c r="N2450">
        <f>CONVERT(O2450,"lbf","N")</f>
        <v>10570.753846505053</v>
      </c>
      <c r="O2450">
        <v>2376.4</v>
      </c>
      <c r="P2450">
        <f t="shared" si="38"/>
        <v>0.4550335570469799</v>
      </c>
    </row>
    <row r="2451" spans="1:16" hidden="1" x14ac:dyDescent="0.25">
      <c r="A2451">
        <v>0</v>
      </c>
      <c r="B2451">
        <v>15000</v>
      </c>
      <c r="C2451">
        <f>1.225 * (1 - 0.00000687559 * B2451) ^ 4.2561</f>
        <v>0.77079726910167001</v>
      </c>
      <c r="D2451">
        <f>E2451*(SQRT($C$2/C2451))</f>
        <v>100.85279711013223</v>
      </c>
      <c r="E2451">
        <v>80</v>
      </c>
      <c r="F2451">
        <v>1215</v>
      </c>
      <c r="G2451">
        <v>2500</v>
      </c>
      <c r="H2451">
        <f>CONVERT(G2451,"HP","kW")</f>
        <v>1864.2496789556756</v>
      </c>
      <c r="I2451">
        <v>0.61799999999999999</v>
      </c>
      <c r="J2451">
        <v>0.64659999999999995</v>
      </c>
      <c r="K2451">
        <v>0.56520000000000004</v>
      </c>
      <c r="L2451">
        <v>0.29809999999999998</v>
      </c>
      <c r="M2451">
        <v>0.28489999999999999</v>
      </c>
      <c r="N2451">
        <f>CONVERT(O2451,"lbf","N")</f>
        <v>22205.522303380418</v>
      </c>
      <c r="O2451">
        <v>4992</v>
      </c>
      <c r="P2451">
        <f t="shared" si="38"/>
        <v>0.955719557195572</v>
      </c>
    </row>
    <row r="2452" spans="1:16" hidden="1" x14ac:dyDescent="0.25">
      <c r="A2452">
        <v>0</v>
      </c>
      <c r="B2452">
        <v>15000</v>
      </c>
      <c r="C2452">
        <f>1.225 * (1 - 0.00000687559 * B2452) ^ 4.2561</f>
        <v>0.77079726910167001</v>
      </c>
      <c r="D2452">
        <f>E2452*(SQRT($C$2/C2452))</f>
        <v>176.49239494273141</v>
      </c>
      <c r="E2452">
        <v>140</v>
      </c>
      <c r="F2452">
        <v>1215</v>
      </c>
      <c r="G2452">
        <v>2500</v>
      </c>
      <c r="H2452">
        <f>CONVERT(G2452,"HP","kW")</f>
        <v>1864.2496789556756</v>
      </c>
      <c r="I2452">
        <v>0.81230000000000002</v>
      </c>
      <c r="J2452">
        <v>1.1315</v>
      </c>
      <c r="K2452">
        <v>0.6139</v>
      </c>
      <c r="L2452">
        <v>0.29809999999999998</v>
      </c>
      <c r="M2452">
        <v>0.214</v>
      </c>
      <c r="N2452">
        <f>CONVERT(O2452,"lbf","N")</f>
        <v>16678.606946419248</v>
      </c>
      <c r="O2452">
        <v>3749.5</v>
      </c>
      <c r="P2452">
        <f t="shared" si="38"/>
        <v>0.71787990607178809</v>
      </c>
    </row>
    <row r="2453" spans="1:16" hidden="1" x14ac:dyDescent="0.25">
      <c r="A2453">
        <v>0</v>
      </c>
      <c r="B2453">
        <v>15000</v>
      </c>
      <c r="C2453">
        <f>1.225 * (1 - 0.00000687559 * B2453) ^ 4.2561</f>
        <v>0.77079726910167001</v>
      </c>
      <c r="D2453">
        <f>E2453*(SQRT($C$2/C2453))</f>
        <v>0</v>
      </c>
      <c r="E2453">
        <v>0</v>
      </c>
      <c r="F2453">
        <v>1215</v>
      </c>
      <c r="G2453">
        <v>2500</v>
      </c>
      <c r="H2453">
        <f>CONVERT(G2453,"HP","kW")</f>
        <v>1864.2496789556756</v>
      </c>
      <c r="I2453">
        <v>0</v>
      </c>
      <c r="J2453">
        <v>0</v>
      </c>
      <c r="K2453">
        <v>0.53210000000000002</v>
      </c>
      <c r="L2453">
        <v>0.29820000000000002</v>
      </c>
      <c r="M2453">
        <v>0.25340000000000001</v>
      </c>
      <c r="N2453">
        <f>CONVERT(O2453,"lbf","N")</f>
        <v>19742.986817172205</v>
      </c>
      <c r="O2453">
        <v>4438.3999999999996</v>
      </c>
      <c r="P2453">
        <f t="shared" si="38"/>
        <v>0.84976525821596238</v>
      </c>
    </row>
    <row r="2454" spans="1:16" hidden="1" x14ac:dyDescent="0.25">
      <c r="A2454">
        <v>0</v>
      </c>
      <c r="B2454">
        <v>15000</v>
      </c>
      <c r="C2454">
        <f>1.225 * (1 - 0.00000687559 * B2454) ^ 4.2561</f>
        <v>0.77079726910167001</v>
      </c>
      <c r="D2454">
        <f>E2454*(SQRT($C$2/C2454))</f>
        <v>25.213199277533057</v>
      </c>
      <c r="E2454">
        <v>20</v>
      </c>
      <c r="F2454">
        <v>1215</v>
      </c>
      <c r="G2454">
        <v>2500</v>
      </c>
      <c r="H2454">
        <f>CONVERT(G2454,"HP","kW")</f>
        <v>1864.2496789556756</v>
      </c>
      <c r="I2454">
        <v>0.14269999999999999</v>
      </c>
      <c r="J2454">
        <v>0.16159999999999999</v>
      </c>
      <c r="K2454">
        <v>0.5373</v>
      </c>
      <c r="L2454">
        <v>0.29820000000000002</v>
      </c>
      <c r="M2454">
        <v>0.26319999999999999</v>
      </c>
      <c r="N2454">
        <f>CONVERT(O2454,"lbf","N")</f>
        <v>20508.970579320063</v>
      </c>
      <c r="O2454">
        <v>4610.6000000000004</v>
      </c>
      <c r="P2454">
        <f t="shared" si="38"/>
        <v>0.88262910798122052</v>
      </c>
    </row>
    <row r="2455" spans="1:16" hidden="1" x14ac:dyDescent="0.25">
      <c r="A2455">
        <v>0</v>
      </c>
      <c r="B2455">
        <v>15000</v>
      </c>
      <c r="C2455">
        <f>1.225 * (1 - 0.00000687559 * B2455) ^ 4.2561</f>
        <v>0.77079726910167001</v>
      </c>
      <c r="D2455">
        <f>E2455*(SQRT($C$2/C2455))</f>
        <v>75.639597832599179</v>
      </c>
      <c r="E2455">
        <v>60</v>
      </c>
      <c r="F2455">
        <v>1215</v>
      </c>
      <c r="G2455">
        <v>2500</v>
      </c>
      <c r="H2455">
        <f>CONVERT(G2455,"HP","kW")</f>
        <v>1864.2496789556756</v>
      </c>
      <c r="I2455">
        <v>0.47449999999999998</v>
      </c>
      <c r="J2455">
        <v>0.4849</v>
      </c>
      <c r="K2455">
        <v>0.5534</v>
      </c>
      <c r="L2455">
        <v>0.29820000000000002</v>
      </c>
      <c r="M2455">
        <v>0.29170000000000001</v>
      </c>
      <c r="N2455">
        <f>CONVERT(O2455,"lbf","N")</f>
        <v>22731.302098304204</v>
      </c>
      <c r="O2455">
        <v>5110.2</v>
      </c>
      <c r="P2455">
        <f t="shared" si="38"/>
        <v>0.97820254862508382</v>
      </c>
    </row>
    <row r="2456" spans="1:16" hidden="1" x14ac:dyDescent="0.25">
      <c r="A2456">
        <v>0</v>
      </c>
      <c r="B2456">
        <v>15000</v>
      </c>
      <c r="C2456">
        <f>1.225 * (1 - 0.00000687559 * B2456) ^ 4.2561</f>
        <v>0.77079726910167001</v>
      </c>
      <c r="D2456">
        <f>E2456*(SQRT($C$2/C2456))</f>
        <v>126.06599638766529</v>
      </c>
      <c r="E2456">
        <v>100</v>
      </c>
      <c r="F2456">
        <v>1215</v>
      </c>
      <c r="G2456">
        <v>2500</v>
      </c>
      <c r="H2456">
        <f>CONVERT(G2456,"HP","kW")</f>
        <v>1864.2496789556756</v>
      </c>
      <c r="I2456">
        <v>0.71209999999999996</v>
      </c>
      <c r="J2456">
        <v>0.80820000000000003</v>
      </c>
      <c r="K2456">
        <v>0.57950000000000002</v>
      </c>
      <c r="L2456">
        <v>0.29820000000000002</v>
      </c>
      <c r="M2456">
        <v>0.26269999999999999</v>
      </c>
      <c r="N2456">
        <f>CONVERT(O2456,"lbf","N")</f>
        <v>20469.826229105769</v>
      </c>
      <c r="O2456">
        <v>4601.8</v>
      </c>
      <c r="P2456">
        <f t="shared" si="38"/>
        <v>0.88095238095238082</v>
      </c>
    </row>
    <row r="2457" spans="1:16" hidden="1" x14ac:dyDescent="0.25">
      <c r="A2457">
        <v>0</v>
      </c>
      <c r="B2457">
        <v>15000</v>
      </c>
      <c r="C2457">
        <f>1.225 * (1 - 0.00000687559 * B2457) ^ 4.2561</f>
        <v>0.77079726910167001</v>
      </c>
      <c r="D2457">
        <f>E2457*(SQRT($C$2/C2457))</f>
        <v>151.27919566519836</v>
      </c>
      <c r="E2457">
        <v>120</v>
      </c>
      <c r="F2457">
        <v>1215</v>
      </c>
      <c r="G2457">
        <v>2500</v>
      </c>
      <c r="H2457">
        <f>CONVERT(G2457,"HP","kW")</f>
        <v>1864.2496789556756</v>
      </c>
      <c r="I2457">
        <v>0.77070000000000005</v>
      </c>
      <c r="J2457">
        <v>0.96989999999999998</v>
      </c>
      <c r="K2457">
        <v>0.5958</v>
      </c>
      <c r="L2457">
        <v>0.29820000000000002</v>
      </c>
      <c r="M2457">
        <v>0.2369</v>
      </c>
      <c r="N2457">
        <f>CONVERT(O2457,"lbf","N")</f>
        <v>18462.343814138705</v>
      </c>
      <c r="O2457">
        <v>4150.5</v>
      </c>
      <c r="P2457">
        <f t="shared" si="38"/>
        <v>0.79443326626425215</v>
      </c>
    </row>
    <row r="2458" spans="1:16" hidden="1" x14ac:dyDescent="0.25">
      <c r="A2458">
        <v>0</v>
      </c>
      <c r="B2458">
        <v>15000</v>
      </c>
      <c r="C2458">
        <f>1.225 * (1 - 0.00000687559 * B2458) ^ 4.2561</f>
        <v>0.77079726910167001</v>
      </c>
      <c r="D2458">
        <f>E2458*(SQRT($C$2/C2458))</f>
        <v>327.77159060792974</v>
      </c>
      <c r="E2458">
        <v>260</v>
      </c>
      <c r="F2458">
        <v>1215</v>
      </c>
      <c r="G2458">
        <v>2500</v>
      </c>
      <c r="H2458">
        <f>CONVERT(G2458,"HP","kW")</f>
        <v>1864.2496789556756</v>
      </c>
      <c r="I2458">
        <v>0.86799999999999999</v>
      </c>
      <c r="J2458">
        <v>2.1013999999999999</v>
      </c>
      <c r="K2458">
        <v>0.75700000000000001</v>
      </c>
      <c r="L2458">
        <v>0.29820000000000002</v>
      </c>
      <c r="M2458">
        <v>0.1232</v>
      </c>
      <c r="N2458">
        <f>CONVERT(O2458,"lbf","N")</f>
        <v>9596.1484906014775</v>
      </c>
      <c r="O2458">
        <v>2157.3000000000002</v>
      </c>
      <c r="P2458">
        <f t="shared" si="38"/>
        <v>0.41314553990610325</v>
      </c>
    </row>
    <row r="2459" spans="1:16" hidden="1" x14ac:dyDescent="0.25">
      <c r="A2459">
        <v>0</v>
      </c>
      <c r="B2459">
        <v>15000</v>
      </c>
      <c r="C2459">
        <f>1.225 * (1 - 0.00000687559 * B2459) ^ 4.2561</f>
        <v>0.77079726910167001</v>
      </c>
      <c r="D2459">
        <f>E2459*(SQRT($C$2/C2459))</f>
        <v>50.426398555066115</v>
      </c>
      <c r="E2459">
        <v>40</v>
      </c>
      <c r="F2459">
        <v>1215</v>
      </c>
      <c r="G2459">
        <v>2500</v>
      </c>
      <c r="H2459">
        <f>CONVERT(G2459,"HP","kW")</f>
        <v>1864.2496789556756</v>
      </c>
      <c r="I2459">
        <v>0.2994</v>
      </c>
      <c r="J2459">
        <v>0.32329999999999998</v>
      </c>
      <c r="K2459">
        <v>0.54430000000000001</v>
      </c>
      <c r="L2459">
        <v>0.29830000000000001</v>
      </c>
      <c r="M2459">
        <v>0.2762</v>
      </c>
      <c r="N2459">
        <f>CONVERT(O2459,"lbf","N")</f>
        <v>21517.827241661143</v>
      </c>
      <c r="O2459">
        <v>4837.3999999999996</v>
      </c>
      <c r="P2459">
        <f t="shared" si="38"/>
        <v>0.92591350988937304</v>
      </c>
    </row>
    <row r="2460" spans="1:16" hidden="1" x14ac:dyDescent="0.25">
      <c r="A2460">
        <v>0</v>
      </c>
      <c r="B2460">
        <v>10000</v>
      </c>
      <c r="C2460">
        <f>1.225 * (1 - 0.00000687559 * B2460) ^ 4.2561</f>
        <v>0.90462252368600637</v>
      </c>
      <c r="D2460">
        <f>E2460*(SQRT($C$2/C2460))</f>
        <v>93.09456628261627</v>
      </c>
      <c r="E2460">
        <v>80</v>
      </c>
      <c r="F2460">
        <v>1150</v>
      </c>
      <c r="G2460">
        <v>2500</v>
      </c>
      <c r="H2460">
        <f>CONVERT(G2460,"HP","kW")</f>
        <v>1864.2496789556756</v>
      </c>
      <c r="I2460">
        <v>0.60970000000000002</v>
      </c>
      <c r="J2460">
        <v>0.63060000000000005</v>
      </c>
      <c r="K2460">
        <v>0.52380000000000004</v>
      </c>
      <c r="L2460">
        <v>0.2994</v>
      </c>
      <c r="M2460">
        <v>0.28949999999999998</v>
      </c>
      <c r="N2460">
        <f>CONVERT(O2460,"lbf","N")</f>
        <v>23733.931250383925</v>
      </c>
      <c r="O2460">
        <v>5335.6</v>
      </c>
      <c r="P2460">
        <f t="shared" si="38"/>
        <v>0.96693386773547085</v>
      </c>
    </row>
    <row r="2461" spans="1:16" hidden="1" x14ac:dyDescent="0.25">
      <c r="A2461">
        <v>0</v>
      </c>
      <c r="B2461">
        <v>10000</v>
      </c>
      <c r="C2461">
        <f>1.225 * (1 - 0.00000687559 * B2461) ^ 4.2561</f>
        <v>0.90462252368600637</v>
      </c>
      <c r="D2461">
        <f>E2461*(SQRT($C$2/C2461))</f>
        <v>0</v>
      </c>
      <c r="E2461">
        <v>0</v>
      </c>
      <c r="F2461">
        <v>1150</v>
      </c>
      <c r="G2461">
        <v>2500</v>
      </c>
      <c r="H2461">
        <f>CONVERT(G2461,"HP","kW")</f>
        <v>1864.2496789556756</v>
      </c>
      <c r="I2461">
        <v>0</v>
      </c>
      <c r="J2461">
        <v>0</v>
      </c>
      <c r="K2461">
        <v>0.49440000000000001</v>
      </c>
      <c r="L2461">
        <v>0.29949999999999999</v>
      </c>
      <c r="M2461">
        <v>0.25430000000000003</v>
      </c>
      <c r="N2461">
        <f>CONVERT(O2461,"lbf","N")</f>
        <v>20841.697556141546</v>
      </c>
      <c r="O2461">
        <v>4685.3999999999996</v>
      </c>
      <c r="P2461">
        <f t="shared" si="38"/>
        <v>0.84908180300500846</v>
      </c>
    </row>
    <row r="2462" spans="1:16" hidden="1" x14ac:dyDescent="0.25">
      <c r="A2462">
        <v>0</v>
      </c>
      <c r="B2462">
        <v>10000</v>
      </c>
      <c r="C2462">
        <f>1.225 * (1 - 0.00000687559 * B2462) ^ 4.2561</f>
        <v>0.90462252368600637</v>
      </c>
      <c r="D2462">
        <f>E2462*(SQRT($C$2/C2462))</f>
        <v>162.91549099457848</v>
      </c>
      <c r="E2462">
        <v>140</v>
      </c>
      <c r="F2462">
        <v>1150</v>
      </c>
      <c r="G2462">
        <v>2500</v>
      </c>
      <c r="H2462">
        <f>CONVERT(G2462,"HP","kW")</f>
        <v>1864.2496789556756</v>
      </c>
      <c r="I2462">
        <v>0.80669999999999997</v>
      </c>
      <c r="J2462">
        <v>1.1034999999999999</v>
      </c>
      <c r="K2462">
        <v>0.56720000000000004</v>
      </c>
      <c r="L2462">
        <v>0.29949999999999999</v>
      </c>
      <c r="M2462">
        <v>0.219</v>
      </c>
      <c r="N2462">
        <f>CONVERT(O2462,"lbf","N")</f>
        <v>17944.125995960858</v>
      </c>
      <c r="O2462">
        <v>4034</v>
      </c>
      <c r="P2462">
        <f t="shared" si="38"/>
        <v>0.73121869782971627</v>
      </c>
    </row>
    <row r="2463" spans="1:16" hidden="1" x14ac:dyDescent="0.25">
      <c r="A2463">
        <v>0</v>
      </c>
      <c r="B2463">
        <v>10000</v>
      </c>
      <c r="C2463">
        <f>1.225 * (1 - 0.00000687559 * B2463) ^ 4.2561</f>
        <v>0.90462252368600637</v>
      </c>
      <c r="D2463">
        <f>E2463*(SQRT($C$2/C2463))</f>
        <v>186.18913256523254</v>
      </c>
      <c r="E2463">
        <v>160</v>
      </c>
      <c r="F2463">
        <v>1150</v>
      </c>
      <c r="G2463">
        <v>2500</v>
      </c>
      <c r="H2463">
        <f>CONVERT(G2463,"HP","kW")</f>
        <v>1864.2496789556756</v>
      </c>
      <c r="I2463">
        <v>0.83730000000000004</v>
      </c>
      <c r="J2463">
        <v>1.2612000000000001</v>
      </c>
      <c r="K2463">
        <v>0.58489999999999998</v>
      </c>
      <c r="L2463">
        <v>0.29949999999999999</v>
      </c>
      <c r="M2463">
        <v>0.19889999999999999</v>
      </c>
      <c r="N2463">
        <f>CONVERT(O2463,"lbf","N")</f>
        <v>16297.39435399142</v>
      </c>
      <c r="O2463">
        <v>3663.8</v>
      </c>
      <c r="P2463">
        <f t="shared" si="38"/>
        <v>0.66410684474123538</v>
      </c>
    </row>
    <row r="2464" spans="1:16" hidden="1" x14ac:dyDescent="0.25">
      <c r="A2464">
        <v>0</v>
      </c>
      <c r="B2464">
        <v>10000</v>
      </c>
      <c r="C2464">
        <f>1.225 * (1 - 0.00000687559 * B2464) ^ 4.2561</f>
        <v>0.90462252368600637</v>
      </c>
      <c r="D2464">
        <f>E2464*(SQRT($C$2/C2464))</f>
        <v>209.4627741358866</v>
      </c>
      <c r="E2464">
        <v>180</v>
      </c>
      <c r="F2464">
        <v>1150</v>
      </c>
      <c r="G2464">
        <v>2500</v>
      </c>
      <c r="H2464">
        <f>CONVERT(G2464,"HP","kW")</f>
        <v>1864.2496789556756</v>
      </c>
      <c r="I2464">
        <v>0.85919999999999996</v>
      </c>
      <c r="J2464">
        <v>1.4188000000000001</v>
      </c>
      <c r="K2464">
        <v>0.60429999999999995</v>
      </c>
      <c r="L2464">
        <v>0.29949999999999999</v>
      </c>
      <c r="M2464">
        <v>0.18140000000000001</v>
      </c>
      <c r="N2464">
        <f>CONVERT(O2464,"lbf","N")</f>
        <v>14865.511816039067</v>
      </c>
      <c r="O2464">
        <v>3341.9</v>
      </c>
      <c r="P2464">
        <f t="shared" si="38"/>
        <v>0.60567612687813022</v>
      </c>
    </row>
    <row r="2465" spans="1:16" hidden="1" x14ac:dyDescent="0.25">
      <c r="A2465">
        <v>0</v>
      </c>
      <c r="B2465">
        <v>10000</v>
      </c>
      <c r="C2465">
        <f>1.225 * (1 - 0.00000687559 * B2465) ^ 4.2561</f>
        <v>0.90462252368600637</v>
      </c>
      <c r="D2465">
        <f>E2465*(SQRT($C$2/C2465))</f>
        <v>46.547283141308135</v>
      </c>
      <c r="E2465">
        <v>40</v>
      </c>
      <c r="F2465">
        <v>1150</v>
      </c>
      <c r="G2465">
        <v>2500</v>
      </c>
      <c r="H2465">
        <f>CONVERT(G2465,"HP","kW")</f>
        <v>1864.2496789556756</v>
      </c>
      <c r="I2465">
        <v>0.29220000000000002</v>
      </c>
      <c r="J2465">
        <v>0.31530000000000002</v>
      </c>
      <c r="K2465">
        <v>0.50529999999999997</v>
      </c>
      <c r="L2465">
        <v>0.29959999999999998</v>
      </c>
      <c r="M2465">
        <v>0.27760000000000001</v>
      </c>
      <c r="N2465">
        <f>CONVERT(O2465,"lbf","N")</f>
        <v>22745.981229634566</v>
      </c>
      <c r="O2465">
        <v>5113.5</v>
      </c>
      <c r="P2465">
        <f t="shared" si="38"/>
        <v>0.9265687583444594</v>
      </c>
    </row>
    <row r="2466" spans="1:16" hidden="1" x14ac:dyDescent="0.25">
      <c r="A2466">
        <v>0</v>
      </c>
      <c r="B2466">
        <v>10000</v>
      </c>
      <c r="C2466">
        <f>1.225 * (1 - 0.00000687559 * B2466) ^ 4.2561</f>
        <v>0.90462252368600637</v>
      </c>
      <c r="D2466">
        <f>E2466*(SQRT($C$2/C2466))</f>
        <v>116.36820785327033</v>
      </c>
      <c r="E2466">
        <v>100</v>
      </c>
      <c r="F2466">
        <v>1150</v>
      </c>
      <c r="G2466">
        <v>2500</v>
      </c>
      <c r="H2466">
        <f>CONVERT(G2466,"HP","kW")</f>
        <v>1864.2496789556756</v>
      </c>
      <c r="I2466">
        <v>0.70499999999999996</v>
      </c>
      <c r="J2466">
        <v>0.78820000000000001</v>
      </c>
      <c r="K2466">
        <v>0.53649999999999998</v>
      </c>
      <c r="L2466">
        <v>0.29959999999999998</v>
      </c>
      <c r="M2466">
        <v>0.26800000000000002</v>
      </c>
      <c r="N2466">
        <f>CONVERT(O2466,"lbf","N")</f>
        <v>21954.197782118197</v>
      </c>
      <c r="O2466">
        <v>4935.5</v>
      </c>
      <c r="P2466">
        <f t="shared" si="38"/>
        <v>0.89452603471295067</v>
      </c>
    </row>
    <row r="2467" spans="1:16" hidden="1" x14ac:dyDescent="0.25">
      <c r="A2467">
        <v>0</v>
      </c>
      <c r="B2467">
        <v>10000</v>
      </c>
      <c r="C2467">
        <f>1.225 * (1 - 0.00000687559 * B2467) ^ 4.2561</f>
        <v>0.90462252368600637</v>
      </c>
      <c r="D2467">
        <f>E2467*(SQRT($C$2/C2467))</f>
        <v>139.64184942392441</v>
      </c>
      <c r="E2467">
        <v>120</v>
      </c>
      <c r="F2467">
        <v>1150</v>
      </c>
      <c r="G2467">
        <v>2500</v>
      </c>
      <c r="H2467">
        <f>CONVERT(G2467,"HP","kW")</f>
        <v>1864.2496789556756</v>
      </c>
      <c r="I2467">
        <v>0.76400000000000001</v>
      </c>
      <c r="J2467">
        <v>0.94589999999999996</v>
      </c>
      <c r="K2467">
        <v>0.55100000000000005</v>
      </c>
      <c r="L2467">
        <v>0.29959999999999998</v>
      </c>
      <c r="M2467">
        <v>0.24199999999999999</v>
      </c>
      <c r="N2467">
        <f>CONVERT(O2467,"lbf","N")</f>
        <v>19827.058205700629</v>
      </c>
      <c r="O2467">
        <v>4457.3</v>
      </c>
      <c r="P2467">
        <f t="shared" si="38"/>
        <v>0.80774365821094796</v>
      </c>
    </row>
    <row r="2468" spans="1:16" hidden="1" x14ac:dyDescent="0.25">
      <c r="A2468">
        <v>0</v>
      </c>
      <c r="B2468">
        <v>10000</v>
      </c>
      <c r="C2468">
        <f>1.225 * (1 - 0.00000687559 * B2468) ^ 4.2561</f>
        <v>0.90462252368600637</v>
      </c>
      <c r="D2468">
        <f>E2468*(SQRT($C$2/C2468))</f>
        <v>232.73641570654067</v>
      </c>
      <c r="E2468">
        <v>200</v>
      </c>
      <c r="F2468">
        <v>1150</v>
      </c>
      <c r="G2468">
        <v>2500</v>
      </c>
      <c r="H2468">
        <f>CONVERT(G2468,"HP","kW")</f>
        <v>1864.2496789556756</v>
      </c>
      <c r="I2468">
        <v>0.87480000000000002</v>
      </c>
      <c r="J2468">
        <v>1.5765</v>
      </c>
      <c r="K2468">
        <v>0.625</v>
      </c>
      <c r="L2468">
        <v>0.29959999999999998</v>
      </c>
      <c r="M2468">
        <v>0.16619999999999999</v>
      </c>
      <c r="N2468">
        <f>CONVERT(O2468,"lbf","N")</f>
        <v>13620.899408089177</v>
      </c>
      <c r="O2468">
        <v>3062.1</v>
      </c>
      <c r="P2468">
        <f t="shared" si="38"/>
        <v>0.55473965287049398</v>
      </c>
    </row>
    <row r="2469" spans="1:16" hidden="1" x14ac:dyDescent="0.25">
      <c r="A2469">
        <v>0</v>
      </c>
      <c r="B2469">
        <v>10000</v>
      </c>
      <c r="C2469">
        <f>1.225 * (1 - 0.00000687559 * B2469) ^ 4.2561</f>
        <v>0.90462252368600637</v>
      </c>
      <c r="D2469">
        <f>E2469*(SQRT($C$2/C2469))</f>
        <v>256.01005727719473</v>
      </c>
      <c r="E2469">
        <v>220</v>
      </c>
      <c r="F2469">
        <v>1150</v>
      </c>
      <c r="G2469">
        <v>2500</v>
      </c>
      <c r="H2469">
        <f>CONVERT(G2469,"HP","kW")</f>
        <v>1864.2496789556756</v>
      </c>
      <c r="I2469">
        <v>0.88539999999999996</v>
      </c>
      <c r="J2469">
        <v>1.7341</v>
      </c>
      <c r="K2469">
        <v>0.64710000000000001</v>
      </c>
      <c r="L2469">
        <v>0.29959999999999998</v>
      </c>
      <c r="M2469">
        <v>0.153</v>
      </c>
      <c r="N2469">
        <f>CONVERT(O2469,"lbf","N")</f>
        <v>12532.864400996459</v>
      </c>
      <c r="O2469">
        <v>2817.5</v>
      </c>
      <c r="P2469">
        <f t="shared" si="38"/>
        <v>0.51068090787716958</v>
      </c>
    </row>
    <row r="2470" spans="1:16" hidden="1" x14ac:dyDescent="0.25">
      <c r="A2470">
        <v>0</v>
      </c>
      <c r="B2470">
        <v>10000</v>
      </c>
      <c r="C2470">
        <f>1.225 * (1 - 0.00000687559 * B2470) ^ 4.2561</f>
        <v>0.90462252368600637</v>
      </c>
      <c r="D2470">
        <f>E2470*(SQRT($C$2/C2470))</f>
        <v>279.28369884784883</v>
      </c>
      <c r="E2470">
        <v>240</v>
      </c>
      <c r="F2470">
        <v>1150</v>
      </c>
      <c r="G2470">
        <v>2500</v>
      </c>
      <c r="H2470">
        <f>CONVERT(G2470,"HP","kW")</f>
        <v>1864.2496789556756</v>
      </c>
      <c r="I2470">
        <v>0.89200000000000002</v>
      </c>
      <c r="J2470">
        <v>1.8917999999999999</v>
      </c>
      <c r="K2470">
        <v>0.6704</v>
      </c>
      <c r="L2470">
        <v>0.29959999999999998</v>
      </c>
      <c r="M2470">
        <v>0.14130000000000001</v>
      </c>
      <c r="N2470">
        <f>CONVERT(O2470,"lbf","N")</f>
        <v>11574.272642907823</v>
      </c>
      <c r="O2470">
        <v>2602</v>
      </c>
      <c r="P2470">
        <f t="shared" si="38"/>
        <v>0.47162883845126841</v>
      </c>
    </row>
    <row r="2471" spans="1:16" hidden="1" x14ac:dyDescent="0.25">
      <c r="A2471">
        <v>0</v>
      </c>
      <c r="B2471">
        <v>10000</v>
      </c>
      <c r="C2471">
        <f>1.225 * (1 - 0.00000687559 * B2471) ^ 4.2561</f>
        <v>0.90462252368600637</v>
      </c>
      <c r="D2471">
        <f>E2471*(SQRT($C$2/C2471))</f>
        <v>302.55734041850286</v>
      </c>
      <c r="E2471">
        <v>260</v>
      </c>
      <c r="F2471">
        <v>1150</v>
      </c>
      <c r="G2471">
        <v>2500</v>
      </c>
      <c r="H2471">
        <f>CONVERT(G2471,"HP","kW")</f>
        <v>1864.2496789556756</v>
      </c>
      <c r="I2471">
        <v>0.89510000000000001</v>
      </c>
      <c r="J2471">
        <v>2.0493999999999999</v>
      </c>
      <c r="K2471">
        <v>0.69489999999999996</v>
      </c>
      <c r="L2471">
        <v>0.29959999999999998</v>
      </c>
      <c r="M2471">
        <v>0.13089999999999999</v>
      </c>
      <c r="N2471">
        <f>CONVERT(O2471,"lbf","N")</f>
        <v>10721.103737100857</v>
      </c>
      <c r="O2471">
        <v>2410.1999999999998</v>
      </c>
      <c r="P2471">
        <f t="shared" si="38"/>
        <v>0.43691588785046731</v>
      </c>
    </row>
    <row r="2472" spans="1:16" hidden="1" x14ac:dyDescent="0.25">
      <c r="A2472">
        <v>0</v>
      </c>
      <c r="B2472">
        <v>10000</v>
      </c>
      <c r="C2472">
        <f>1.225 * (1 - 0.00000687559 * B2472) ^ 4.2561</f>
        <v>0.90462252368600637</v>
      </c>
      <c r="D2472">
        <f>E2472*(SQRT($C$2/C2472))</f>
        <v>23.273641570654068</v>
      </c>
      <c r="E2472">
        <v>20</v>
      </c>
      <c r="F2472">
        <v>1150</v>
      </c>
      <c r="G2472">
        <v>2500</v>
      </c>
      <c r="H2472">
        <f>CONVERT(G2472,"HP","kW")</f>
        <v>1864.2496789556756</v>
      </c>
      <c r="I2472">
        <v>0.13919999999999999</v>
      </c>
      <c r="J2472">
        <v>0.15759999999999999</v>
      </c>
      <c r="K2472">
        <v>0.49909999999999999</v>
      </c>
      <c r="L2472">
        <v>0.29970000000000002</v>
      </c>
      <c r="M2472">
        <v>0.26450000000000001</v>
      </c>
      <c r="N2472">
        <f>CONVERT(O2472,"lbf","N")</f>
        <v>21669.066776579999</v>
      </c>
      <c r="O2472">
        <v>4871.3999999999996</v>
      </c>
      <c r="P2472">
        <f t="shared" si="38"/>
        <v>0.8825492158825492</v>
      </c>
    </row>
    <row r="2473" spans="1:16" hidden="1" x14ac:dyDescent="0.25">
      <c r="A2473">
        <v>0</v>
      </c>
      <c r="B2473">
        <v>10000</v>
      </c>
      <c r="C2473">
        <f>1.225 * (1 - 0.00000687559 * B2473) ^ 4.2561</f>
        <v>0.90462252368600637</v>
      </c>
      <c r="D2473">
        <f>E2473*(SQRT($C$2/C2473))</f>
        <v>69.820924711962206</v>
      </c>
      <c r="E2473">
        <v>60</v>
      </c>
      <c r="F2473">
        <v>1150</v>
      </c>
      <c r="G2473">
        <v>2500</v>
      </c>
      <c r="H2473">
        <f>CONVERT(G2473,"HP","kW")</f>
        <v>1864.2496789556756</v>
      </c>
      <c r="I2473">
        <v>0.46050000000000002</v>
      </c>
      <c r="J2473">
        <v>0.47289999999999999</v>
      </c>
      <c r="K2473">
        <v>0.51339999999999997</v>
      </c>
      <c r="L2473">
        <v>0.29980000000000001</v>
      </c>
      <c r="M2473">
        <v>0.29199999999999998</v>
      </c>
      <c r="N2473">
        <f>CONVERT(O2473,"lbf","N")</f>
        <v>23903.408493925348</v>
      </c>
      <c r="O2473">
        <v>5373.7</v>
      </c>
      <c r="P2473">
        <f t="shared" si="38"/>
        <v>0.97398265510340221</v>
      </c>
    </row>
    <row r="2474" spans="1:16" hidden="1" x14ac:dyDescent="0.25">
      <c r="A2474">
        <v>0</v>
      </c>
      <c r="B2474">
        <v>30000</v>
      </c>
      <c r="C2474">
        <f>1.225 * (1 - 0.00000687559 * B2474) ^ 4.2561</f>
        <v>0.45828836225470948</v>
      </c>
      <c r="D2474">
        <f>E2474*(SQRT($C$2/C2474))</f>
        <v>261.58847891605171</v>
      </c>
      <c r="E2474">
        <v>160</v>
      </c>
      <c r="F2474">
        <v>1215</v>
      </c>
      <c r="G2474">
        <v>1500</v>
      </c>
      <c r="H2474">
        <f>CONVERT(G2474,"HP","kW")</f>
        <v>1118.5498073734054</v>
      </c>
      <c r="I2474">
        <v>0.86760000000000004</v>
      </c>
      <c r="J2474">
        <v>1.6771</v>
      </c>
      <c r="K2474">
        <v>0.73119999999999996</v>
      </c>
      <c r="L2474">
        <v>0.30059999999999998</v>
      </c>
      <c r="M2474">
        <v>0.1555</v>
      </c>
      <c r="N2474">
        <f>CONVERT(O2474,"lbf","N")</f>
        <v>7211.4568826603236</v>
      </c>
      <c r="O2474">
        <v>1621.2</v>
      </c>
      <c r="P2474">
        <f t="shared" si="38"/>
        <v>0.51729873586161013</v>
      </c>
    </row>
    <row r="2475" spans="1:16" hidden="1" x14ac:dyDescent="0.25">
      <c r="A2475">
        <v>0</v>
      </c>
      <c r="B2475">
        <v>30000</v>
      </c>
      <c r="C2475">
        <f>1.225 * (1 - 0.00000687559 * B2475) ^ 4.2561</f>
        <v>0.45828836225470948</v>
      </c>
      <c r="D2475">
        <f>E2475*(SQRT($C$2/C2475))</f>
        <v>98.095679593519407</v>
      </c>
      <c r="E2475">
        <v>60</v>
      </c>
      <c r="F2475">
        <v>1215</v>
      </c>
      <c r="G2475">
        <v>1500</v>
      </c>
      <c r="H2475">
        <f>CONVERT(G2475,"HP","kW")</f>
        <v>1118.5498073734054</v>
      </c>
      <c r="I2475">
        <v>0.59830000000000005</v>
      </c>
      <c r="J2475">
        <v>0.62890000000000001</v>
      </c>
      <c r="K2475">
        <v>0.59919999999999995</v>
      </c>
      <c r="L2475">
        <v>0.30070000000000002</v>
      </c>
      <c r="M2475">
        <v>0.28610000000000002</v>
      </c>
      <c r="N2475">
        <f>CONVERT(O2475,"lbf","N")</f>
        <v>13261.927923737654</v>
      </c>
      <c r="O2475">
        <v>2981.4</v>
      </c>
      <c r="P2475">
        <f t="shared" si="38"/>
        <v>0.95144662454273365</v>
      </c>
    </row>
    <row r="2476" spans="1:16" hidden="1" x14ac:dyDescent="0.25">
      <c r="A2476">
        <v>0</v>
      </c>
      <c r="B2476">
        <v>30000</v>
      </c>
      <c r="C2476">
        <f>1.225 * (1 - 0.00000687559 * B2476) ^ 4.2561</f>
        <v>0.45828836225470948</v>
      </c>
      <c r="D2476">
        <f>E2476*(SQRT($C$2/C2476))</f>
        <v>294.28703878055819</v>
      </c>
      <c r="E2476">
        <v>180</v>
      </c>
      <c r="F2476">
        <v>1215</v>
      </c>
      <c r="G2476">
        <v>1500</v>
      </c>
      <c r="H2476">
        <f>CONVERT(G2476,"HP","kW")</f>
        <v>1118.5498073734054</v>
      </c>
      <c r="I2476">
        <v>0.85970000000000002</v>
      </c>
      <c r="J2476">
        <v>1.8867</v>
      </c>
      <c r="K2476">
        <v>0.76629999999999998</v>
      </c>
      <c r="L2476">
        <v>0.30070000000000002</v>
      </c>
      <c r="M2476">
        <v>0.13700000000000001</v>
      </c>
      <c r="N2476">
        <f>CONVERT(O2476,"lbf","N")</f>
        <v>6352.5052887535203</v>
      </c>
      <c r="O2476">
        <v>1428.1</v>
      </c>
      <c r="P2476">
        <f t="shared" si="38"/>
        <v>0.45560359161955438</v>
      </c>
    </row>
    <row r="2477" spans="1:16" hidden="1" x14ac:dyDescent="0.25">
      <c r="A2477">
        <v>0</v>
      </c>
      <c r="B2477">
        <v>30000</v>
      </c>
      <c r="C2477">
        <f>1.225 * (1 - 0.00000687559 * B2477) ^ 4.2561</f>
        <v>0.45828836225470948</v>
      </c>
      <c r="D2477">
        <f>E2477*(SQRT($C$2/C2477))</f>
        <v>425.08127823858405</v>
      </c>
      <c r="E2477">
        <v>260</v>
      </c>
      <c r="F2477">
        <v>1215</v>
      </c>
      <c r="G2477">
        <v>1500</v>
      </c>
      <c r="H2477">
        <f>CONVERT(G2477,"HP","kW")</f>
        <v>1118.5498073734054</v>
      </c>
      <c r="I2477">
        <v>0.31640000000000001</v>
      </c>
      <c r="J2477">
        <v>2.7252999999999998</v>
      </c>
      <c r="K2477">
        <v>0.92669999999999997</v>
      </c>
      <c r="L2477">
        <v>0.30070000000000002</v>
      </c>
      <c r="M2477">
        <v>3.49E-2</v>
      </c>
      <c r="N2477">
        <f>CONVERT(O2477,"lbf","N")</f>
        <v>1618.26302363177</v>
      </c>
      <c r="O2477">
        <v>363.8</v>
      </c>
      <c r="P2477">
        <f t="shared" si="38"/>
        <v>0.11606252078483538</v>
      </c>
    </row>
    <row r="2478" spans="1:16" hidden="1" x14ac:dyDescent="0.25">
      <c r="A2478">
        <v>0</v>
      </c>
      <c r="B2478">
        <v>30000</v>
      </c>
      <c r="C2478">
        <f>1.225 * (1 - 0.00000687559 * B2478) ^ 4.2561</f>
        <v>0.45828836225470948</v>
      </c>
      <c r="D2478">
        <f>E2478*(SQRT($C$2/C2478))</f>
        <v>0</v>
      </c>
      <c r="E2478">
        <v>0</v>
      </c>
      <c r="F2478">
        <v>1215</v>
      </c>
      <c r="G2478">
        <v>1500</v>
      </c>
      <c r="H2478">
        <f>CONVERT(G2478,"HP","kW")</f>
        <v>1118.5498073734054</v>
      </c>
      <c r="I2478">
        <v>0</v>
      </c>
      <c r="J2478">
        <v>0</v>
      </c>
      <c r="K2478">
        <v>0.5655</v>
      </c>
      <c r="L2478">
        <v>0.3009</v>
      </c>
      <c r="M2478">
        <v>0.25190000000000001</v>
      </c>
      <c r="N2478">
        <f>CONVERT(O2478,"lbf","N")</f>
        <v>11672.578340605078</v>
      </c>
      <c r="O2478">
        <v>2624.1</v>
      </c>
      <c r="P2478">
        <f t="shared" si="38"/>
        <v>0.8371552010634763</v>
      </c>
    </row>
    <row r="2479" spans="1:16" hidden="1" x14ac:dyDescent="0.25">
      <c r="A2479">
        <v>0</v>
      </c>
      <c r="B2479">
        <v>30000</v>
      </c>
      <c r="C2479">
        <f>1.225 * (1 - 0.00000687559 * B2479) ^ 4.2561</f>
        <v>0.45828836225470948</v>
      </c>
      <c r="D2479">
        <f>E2479*(SQRT($C$2/C2479))</f>
        <v>65.397119729012928</v>
      </c>
      <c r="E2479">
        <v>40</v>
      </c>
      <c r="F2479">
        <v>1215</v>
      </c>
      <c r="G2479">
        <v>1500</v>
      </c>
      <c r="H2479">
        <f>CONVERT(G2479,"HP","kW")</f>
        <v>1118.5498073734054</v>
      </c>
      <c r="I2479">
        <v>0.39300000000000002</v>
      </c>
      <c r="J2479">
        <v>0.41930000000000001</v>
      </c>
      <c r="K2479">
        <v>0.58399999999999996</v>
      </c>
      <c r="L2479">
        <v>0.3009</v>
      </c>
      <c r="M2479">
        <v>0.28199999999999997</v>
      </c>
      <c r="N2479">
        <f>CONVERT(O2479,"lbf","N")</f>
        <v>13067.095816989246</v>
      </c>
      <c r="O2479">
        <v>2937.6</v>
      </c>
      <c r="P2479">
        <f t="shared" si="38"/>
        <v>0.93718843469591218</v>
      </c>
    </row>
    <row r="2480" spans="1:16" hidden="1" x14ac:dyDescent="0.25">
      <c r="A2480">
        <v>0</v>
      </c>
      <c r="B2480">
        <v>30000</v>
      </c>
      <c r="C2480">
        <f>1.225 * (1 - 0.00000687559 * B2480) ^ 4.2561</f>
        <v>0.45828836225470948</v>
      </c>
      <c r="D2480">
        <f>E2480*(SQRT($C$2/C2480))</f>
        <v>130.79423945802586</v>
      </c>
      <c r="E2480">
        <v>80</v>
      </c>
      <c r="F2480">
        <v>1215</v>
      </c>
      <c r="G2480">
        <v>1500</v>
      </c>
      <c r="H2480">
        <f>CONVERT(G2480,"HP","kW")</f>
        <v>1118.5498073734054</v>
      </c>
      <c r="I2480">
        <v>0.72130000000000005</v>
      </c>
      <c r="J2480">
        <v>0.83860000000000001</v>
      </c>
      <c r="K2480">
        <v>0.61899999999999999</v>
      </c>
      <c r="L2480">
        <v>0.3009</v>
      </c>
      <c r="M2480">
        <v>0.25879999999999997</v>
      </c>
      <c r="N2480">
        <f>CONVERT(O2480,"lbf","N")</f>
        <v>11990.626186096204</v>
      </c>
      <c r="O2480">
        <v>2695.6</v>
      </c>
      <c r="P2480">
        <f t="shared" si="38"/>
        <v>0.86008640744433362</v>
      </c>
    </row>
    <row r="2481" spans="1:16" hidden="1" x14ac:dyDescent="0.25">
      <c r="A2481">
        <v>0</v>
      </c>
      <c r="B2481">
        <v>30000</v>
      </c>
      <c r="C2481">
        <f>1.225 * (1 - 0.00000687559 * B2481) ^ 4.2561</f>
        <v>0.45828836225470948</v>
      </c>
      <c r="D2481">
        <f>E2481*(SQRT($C$2/C2481))</f>
        <v>163.49279932253233</v>
      </c>
      <c r="E2481">
        <v>100</v>
      </c>
      <c r="F2481">
        <v>1215</v>
      </c>
      <c r="G2481">
        <v>1500</v>
      </c>
      <c r="H2481">
        <f>CONVERT(G2481,"HP","kW")</f>
        <v>1118.5498073734054</v>
      </c>
      <c r="I2481">
        <v>0.79039999999999999</v>
      </c>
      <c r="J2481">
        <v>1.0482</v>
      </c>
      <c r="K2481">
        <v>0.64229999999999998</v>
      </c>
      <c r="L2481">
        <v>0.3009</v>
      </c>
      <c r="M2481">
        <v>0.22689999999999999</v>
      </c>
      <c r="N2481">
        <f>CONVERT(O2481,"lbf","N")</f>
        <v>10511.147676860561</v>
      </c>
      <c r="O2481">
        <v>2363</v>
      </c>
      <c r="P2481">
        <f t="shared" si="38"/>
        <v>0.75407111997341303</v>
      </c>
    </row>
    <row r="2482" spans="1:16" hidden="1" x14ac:dyDescent="0.25">
      <c r="A2482">
        <v>0</v>
      </c>
      <c r="B2482">
        <v>30000</v>
      </c>
      <c r="C2482">
        <f>1.225 * (1 - 0.00000687559 * B2482) ^ 4.2561</f>
        <v>0.45828836225470948</v>
      </c>
      <c r="D2482">
        <f>E2482*(SQRT($C$2/C2482))</f>
        <v>196.19135918703881</v>
      </c>
      <c r="E2482">
        <v>120</v>
      </c>
      <c r="F2482">
        <v>1215</v>
      </c>
      <c r="G2482">
        <v>1500</v>
      </c>
      <c r="H2482">
        <f>CONVERT(G2482,"HP","kW")</f>
        <v>1118.5498073734054</v>
      </c>
      <c r="I2482">
        <v>0.83440000000000003</v>
      </c>
      <c r="J2482">
        <v>1.2578</v>
      </c>
      <c r="K2482">
        <v>0.66890000000000005</v>
      </c>
      <c r="L2482">
        <v>0.3009</v>
      </c>
      <c r="M2482">
        <v>0.1996</v>
      </c>
      <c r="N2482">
        <f>CONVERT(O2482,"lbf","N")</f>
        <v>9247.8527381265794</v>
      </c>
      <c r="O2482">
        <v>2079</v>
      </c>
      <c r="P2482">
        <f t="shared" si="38"/>
        <v>0.66334330342306413</v>
      </c>
    </row>
    <row r="2483" spans="1:16" hidden="1" x14ac:dyDescent="0.25">
      <c r="A2483">
        <v>0</v>
      </c>
      <c r="B2483">
        <v>30000</v>
      </c>
      <c r="C2483">
        <f>1.225 * (1 - 0.00000687559 * B2483) ^ 4.2561</f>
        <v>0.45828836225470948</v>
      </c>
      <c r="D2483">
        <f>E2483*(SQRT($C$2/C2483))</f>
        <v>228.88991905154526</v>
      </c>
      <c r="E2483">
        <v>140</v>
      </c>
      <c r="F2483">
        <v>1215</v>
      </c>
      <c r="G2483">
        <v>1500</v>
      </c>
      <c r="H2483">
        <f>CONVERT(G2483,"HP","kW")</f>
        <v>1118.5498073734054</v>
      </c>
      <c r="I2483">
        <v>0.86160000000000003</v>
      </c>
      <c r="J2483">
        <v>1.4675</v>
      </c>
      <c r="K2483">
        <v>0.69869999999999999</v>
      </c>
      <c r="L2483">
        <v>0.3009</v>
      </c>
      <c r="M2483">
        <v>0.17660000000000001</v>
      </c>
      <c r="N2483">
        <f>CONVERT(O2483,"lbf","N")</f>
        <v>8184.7277720793199</v>
      </c>
      <c r="O2483">
        <v>1840</v>
      </c>
      <c r="P2483">
        <f t="shared" si="38"/>
        <v>0.58690594882020608</v>
      </c>
    </row>
    <row r="2484" spans="1:16" hidden="1" x14ac:dyDescent="0.25">
      <c r="A2484">
        <v>0</v>
      </c>
      <c r="B2484">
        <v>30000</v>
      </c>
      <c r="C2484">
        <f>1.225 * (1 - 0.00000687559 * B2484) ^ 4.2561</f>
        <v>0.45828836225470948</v>
      </c>
      <c r="D2484">
        <f>E2484*(SQRT($C$2/C2484))</f>
        <v>326.98559864506467</v>
      </c>
      <c r="E2484">
        <v>200</v>
      </c>
      <c r="F2484">
        <v>1215</v>
      </c>
      <c r="G2484">
        <v>1500</v>
      </c>
      <c r="H2484">
        <f>CONVERT(G2484,"HP","kW")</f>
        <v>1118.5498073734054</v>
      </c>
      <c r="I2484">
        <v>0.82589999999999997</v>
      </c>
      <c r="J2484">
        <v>2.0964</v>
      </c>
      <c r="K2484">
        <v>0.80369999999999997</v>
      </c>
      <c r="L2484">
        <v>0.3009</v>
      </c>
      <c r="M2484">
        <v>0.11849999999999999</v>
      </c>
      <c r="N2484">
        <f>CONVERT(O2484,"lbf","N")</f>
        <v>5491.7744062006132</v>
      </c>
      <c r="O2484">
        <v>1234.5999999999999</v>
      </c>
      <c r="P2484">
        <f t="shared" si="38"/>
        <v>0.39381854436689928</v>
      </c>
    </row>
    <row r="2485" spans="1:16" hidden="1" x14ac:dyDescent="0.25">
      <c r="A2485">
        <v>0</v>
      </c>
      <c r="B2485">
        <v>30000</v>
      </c>
      <c r="C2485">
        <f>1.225 * (1 - 0.00000687559 * B2485) ^ 4.2561</f>
        <v>0.45828836225470948</v>
      </c>
      <c r="D2485">
        <f>E2485*(SQRT($C$2/C2485))</f>
        <v>392.38271837407763</v>
      </c>
      <c r="E2485">
        <v>240</v>
      </c>
      <c r="F2485">
        <v>1215</v>
      </c>
      <c r="G2485">
        <v>1500</v>
      </c>
      <c r="H2485">
        <f>CONVERT(G2485,"HP","kW")</f>
        <v>1118.5498073734054</v>
      </c>
      <c r="I2485">
        <v>0.57820000000000005</v>
      </c>
      <c r="J2485">
        <v>2.5156999999999998</v>
      </c>
      <c r="K2485">
        <v>0.8841</v>
      </c>
      <c r="L2485">
        <v>0.3009</v>
      </c>
      <c r="M2485">
        <v>6.9199999999999998E-2</v>
      </c>
      <c r="N2485">
        <f>CONVERT(O2485,"lbf","N")</f>
        <v>3203.6092073106124</v>
      </c>
      <c r="O2485">
        <v>720.2</v>
      </c>
      <c r="P2485">
        <f t="shared" si="38"/>
        <v>0.22997673645729477</v>
      </c>
    </row>
    <row r="2486" spans="1:16" hidden="1" x14ac:dyDescent="0.25">
      <c r="A2486">
        <v>0</v>
      </c>
      <c r="B2486">
        <v>30000</v>
      </c>
      <c r="C2486">
        <f>1.225 * (1 - 0.00000687559 * B2486) ^ 4.2561</f>
        <v>0.45828836225470948</v>
      </c>
      <c r="D2486">
        <f>E2486*(SQRT($C$2/C2486))</f>
        <v>359.68415850957115</v>
      </c>
      <c r="E2486">
        <v>220</v>
      </c>
      <c r="F2486">
        <v>1215</v>
      </c>
      <c r="G2486">
        <v>1500</v>
      </c>
      <c r="H2486">
        <f>CONVERT(G2486,"HP","kW")</f>
        <v>1118.5498073734054</v>
      </c>
      <c r="I2486">
        <v>0.7409</v>
      </c>
      <c r="J2486">
        <v>2.306</v>
      </c>
      <c r="K2486">
        <v>0.84299999999999997</v>
      </c>
      <c r="L2486">
        <v>0.30099999999999999</v>
      </c>
      <c r="M2486">
        <v>9.6699999999999994E-2</v>
      </c>
      <c r="N2486">
        <f>CONVERT(O2486,"lbf","N")</f>
        <v>4478.4695222442706</v>
      </c>
      <c r="O2486">
        <v>1006.8</v>
      </c>
      <c r="P2486">
        <f t="shared" si="38"/>
        <v>0.32126245847176077</v>
      </c>
    </row>
    <row r="2487" spans="1:16" hidden="1" x14ac:dyDescent="0.25">
      <c r="A2487">
        <v>0</v>
      </c>
      <c r="B2487">
        <v>30000</v>
      </c>
      <c r="C2487">
        <f>1.225 * (1 - 0.00000687559 * B2487) ^ 4.2561</f>
        <v>0.45828836225470948</v>
      </c>
      <c r="D2487">
        <f>E2487*(SQRT($C$2/C2487))</f>
        <v>32.698559864506464</v>
      </c>
      <c r="E2487">
        <v>20</v>
      </c>
      <c r="F2487">
        <v>1215</v>
      </c>
      <c r="G2487">
        <v>1500</v>
      </c>
      <c r="H2487">
        <f>CONVERT(G2487,"HP","kW")</f>
        <v>1118.5498073734054</v>
      </c>
      <c r="I2487">
        <v>0.18390000000000001</v>
      </c>
      <c r="J2487">
        <v>0.20960000000000001</v>
      </c>
      <c r="K2487">
        <v>0.57310000000000005</v>
      </c>
      <c r="L2487">
        <v>0.30109999999999998</v>
      </c>
      <c r="M2487">
        <v>0.2641</v>
      </c>
      <c r="N2487">
        <f>CONVERT(O2487,"lbf","N")</f>
        <v>12228.161220351114</v>
      </c>
      <c r="O2487">
        <v>2749</v>
      </c>
      <c r="P2487">
        <f t="shared" si="38"/>
        <v>0.87711723679840592</v>
      </c>
    </row>
    <row r="2488" spans="1:16" hidden="1" x14ac:dyDescent="0.25">
      <c r="A2488">
        <v>0</v>
      </c>
      <c r="B2488">
        <v>25000</v>
      </c>
      <c r="C2488">
        <f>1.225 * (1 - 0.00000687559 * B2488) ^ 4.2561</f>
        <v>0.54892259437885793</v>
      </c>
      <c r="D2488">
        <f>E2488*(SQRT($C$2/C2488))</f>
        <v>59.754756643641343</v>
      </c>
      <c r="E2488">
        <v>40</v>
      </c>
      <c r="F2488">
        <v>987</v>
      </c>
      <c r="G2488">
        <v>1000</v>
      </c>
      <c r="H2488">
        <f>CONVERT(G2488,"HP","kW")</f>
        <v>745.69987158227025</v>
      </c>
      <c r="I2488">
        <v>0.43990000000000001</v>
      </c>
      <c r="J2488">
        <v>0.47160000000000002</v>
      </c>
      <c r="K2488">
        <v>0.4672</v>
      </c>
      <c r="L2488">
        <v>0.31209999999999999</v>
      </c>
      <c r="M2488">
        <v>0.29110000000000003</v>
      </c>
      <c r="N2488">
        <f>CONVERT(O2488,"lbf","N")</f>
        <v>10670.838832848414</v>
      </c>
      <c r="O2488">
        <v>2398.9</v>
      </c>
      <c r="P2488">
        <f t="shared" si="38"/>
        <v>0.93271387375841086</v>
      </c>
    </row>
    <row r="2489" spans="1:16" hidden="1" x14ac:dyDescent="0.25">
      <c r="A2489">
        <v>0</v>
      </c>
      <c r="B2489">
        <v>25000</v>
      </c>
      <c r="C2489">
        <f>1.225 * (1 - 0.00000687559 * B2489) ^ 4.2561</f>
        <v>0.54892259437885793</v>
      </c>
      <c r="D2489">
        <f>E2489*(SQRT($C$2/C2489))</f>
        <v>358.52853986184806</v>
      </c>
      <c r="E2489">
        <v>240</v>
      </c>
      <c r="F2489">
        <v>987</v>
      </c>
      <c r="G2489">
        <v>1000</v>
      </c>
      <c r="H2489">
        <f>CONVERT(G2489,"HP","kW")</f>
        <v>745.69987158227025</v>
      </c>
      <c r="I2489">
        <v>0.7893</v>
      </c>
      <c r="J2489">
        <v>2.8296000000000001</v>
      </c>
      <c r="K2489">
        <v>0.75419999999999998</v>
      </c>
      <c r="L2489">
        <v>0.31209999999999999</v>
      </c>
      <c r="M2489">
        <v>8.7099999999999997E-2</v>
      </c>
      <c r="N2489">
        <f>CONVERT(O2489,"lbf","N")</f>
        <v>3191.1541867878823</v>
      </c>
      <c r="O2489">
        <v>717.4</v>
      </c>
      <c r="P2489">
        <f t="shared" si="38"/>
        <v>0.27907721884011533</v>
      </c>
    </row>
    <row r="2490" spans="1:16" hidden="1" x14ac:dyDescent="0.25">
      <c r="A2490">
        <v>0</v>
      </c>
      <c r="B2490">
        <v>25000</v>
      </c>
      <c r="C2490">
        <f>1.225 * (1 - 0.00000687559 * B2490) ^ 4.2561</f>
        <v>0.54892259437885793</v>
      </c>
      <c r="D2490">
        <f>E2490*(SQRT($C$2/C2490))</f>
        <v>0</v>
      </c>
      <c r="E2490">
        <v>0</v>
      </c>
      <c r="F2490">
        <v>987</v>
      </c>
      <c r="G2490">
        <v>1000</v>
      </c>
      <c r="H2490">
        <f>CONVERT(G2490,"HP","kW")</f>
        <v>745.69987158227025</v>
      </c>
      <c r="I2490">
        <v>0</v>
      </c>
      <c r="J2490">
        <v>0</v>
      </c>
      <c r="K2490">
        <v>0.45029999999999998</v>
      </c>
      <c r="L2490">
        <v>0.31240000000000001</v>
      </c>
      <c r="M2490">
        <v>0.24790000000000001</v>
      </c>
      <c r="N2490">
        <f>CONVERT(O2490,"lbf","N")</f>
        <v>9078.82031674668</v>
      </c>
      <c r="O2490">
        <v>2041</v>
      </c>
      <c r="P2490">
        <f t="shared" si="38"/>
        <v>0.79353393085787449</v>
      </c>
    </row>
    <row r="2491" spans="1:16" hidden="1" x14ac:dyDescent="0.25">
      <c r="A2491">
        <v>0</v>
      </c>
      <c r="B2491">
        <v>25000</v>
      </c>
      <c r="C2491">
        <f>1.225 * (1 - 0.00000687559 * B2491) ^ 4.2561</f>
        <v>0.54892259437885793</v>
      </c>
      <c r="D2491">
        <f>E2491*(SQRT($C$2/C2491))</f>
        <v>89.632134965462015</v>
      </c>
      <c r="E2491">
        <v>60</v>
      </c>
      <c r="F2491">
        <v>987</v>
      </c>
      <c r="G2491">
        <v>1000</v>
      </c>
      <c r="H2491">
        <f>CONVERT(G2491,"HP","kW")</f>
        <v>745.69987158227025</v>
      </c>
      <c r="I2491">
        <v>0.65359999999999996</v>
      </c>
      <c r="J2491">
        <v>0.70740000000000003</v>
      </c>
      <c r="K2491">
        <v>0.48199999999999998</v>
      </c>
      <c r="L2491">
        <v>0.31240000000000001</v>
      </c>
      <c r="M2491">
        <v>0.28860000000000002</v>
      </c>
      <c r="N2491">
        <f>CONVERT(O2491,"lbf","N")</f>
        <v>10570.309024343527</v>
      </c>
      <c r="O2491">
        <v>2376.3000000000002</v>
      </c>
      <c r="P2491">
        <f t="shared" si="38"/>
        <v>0.92381562099871961</v>
      </c>
    </row>
    <row r="2492" spans="1:16" hidden="1" x14ac:dyDescent="0.25">
      <c r="A2492">
        <v>0</v>
      </c>
      <c r="B2492">
        <v>25000</v>
      </c>
      <c r="C2492">
        <f>1.225 * (1 - 0.00000687559 * B2492) ^ 4.2561</f>
        <v>0.54892259437885793</v>
      </c>
      <c r="D2492">
        <f>E2492*(SQRT($C$2/C2492))</f>
        <v>119.50951328728269</v>
      </c>
      <c r="E2492">
        <v>80</v>
      </c>
      <c r="F2492">
        <v>987</v>
      </c>
      <c r="G2492">
        <v>1000</v>
      </c>
      <c r="H2492">
        <f>CONVERT(G2492,"HP","kW")</f>
        <v>745.69987158227025</v>
      </c>
      <c r="I2492">
        <v>0.75870000000000004</v>
      </c>
      <c r="J2492">
        <v>0.94320000000000004</v>
      </c>
      <c r="K2492">
        <v>0.50119999999999998</v>
      </c>
      <c r="L2492">
        <v>0.31240000000000001</v>
      </c>
      <c r="M2492">
        <v>0.25130000000000002</v>
      </c>
      <c r="N2492">
        <f>CONVERT(O2492,"lbf","N")</f>
        <v>9202.9256998124492</v>
      </c>
      <c r="O2492">
        <v>2068.9</v>
      </c>
      <c r="P2492">
        <f t="shared" si="38"/>
        <v>0.8044174135723432</v>
      </c>
    </row>
    <row r="2493" spans="1:16" hidden="1" x14ac:dyDescent="0.25">
      <c r="A2493">
        <v>0</v>
      </c>
      <c r="B2493">
        <v>25000</v>
      </c>
      <c r="C2493">
        <f>1.225 * (1 - 0.00000687559 * B2493) ^ 4.2561</f>
        <v>0.54892259437885793</v>
      </c>
      <c r="D2493">
        <f>E2493*(SQRT($C$2/C2493))</f>
        <v>149.38689160910337</v>
      </c>
      <c r="E2493">
        <v>100</v>
      </c>
      <c r="F2493">
        <v>987</v>
      </c>
      <c r="G2493">
        <v>1000</v>
      </c>
      <c r="H2493">
        <f>CONVERT(G2493,"HP","kW")</f>
        <v>745.69987158227025</v>
      </c>
      <c r="I2493">
        <v>0.81940000000000002</v>
      </c>
      <c r="J2493">
        <v>1.179</v>
      </c>
      <c r="K2493">
        <v>0.52370000000000005</v>
      </c>
      <c r="L2493">
        <v>0.31240000000000001</v>
      </c>
      <c r="M2493">
        <v>0.21709999999999999</v>
      </c>
      <c r="N2493">
        <f>CONVERT(O2493,"lbf","N")</f>
        <v>7950.7513151166186</v>
      </c>
      <c r="O2493">
        <v>1787.4</v>
      </c>
      <c r="P2493">
        <f t="shared" si="38"/>
        <v>0.69494238156209975</v>
      </c>
    </row>
    <row r="2494" spans="1:16" hidden="1" x14ac:dyDescent="0.25">
      <c r="A2494">
        <v>0</v>
      </c>
      <c r="B2494">
        <v>25000</v>
      </c>
      <c r="C2494">
        <f>1.225 * (1 - 0.00000687559 * B2494) ^ 4.2561</f>
        <v>0.54892259437885793</v>
      </c>
      <c r="D2494">
        <f>E2494*(SQRT($C$2/C2494))</f>
        <v>179.26426993092403</v>
      </c>
      <c r="E2494">
        <v>120</v>
      </c>
      <c r="F2494">
        <v>987</v>
      </c>
      <c r="G2494">
        <v>1000</v>
      </c>
      <c r="H2494">
        <f>CONVERT(G2494,"HP","kW")</f>
        <v>745.69987158227025</v>
      </c>
      <c r="I2494">
        <v>0.85640000000000005</v>
      </c>
      <c r="J2494">
        <v>1.4148000000000001</v>
      </c>
      <c r="K2494">
        <v>0.5494</v>
      </c>
      <c r="L2494">
        <v>0.31240000000000001</v>
      </c>
      <c r="M2494">
        <v>0.18909999999999999</v>
      </c>
      <c r="N2494">
        <f>CONVERT(O2494,"lbf","N")</f>
        <v>6924.9914106375463</v>
      </c>
      <c r="O2494">
        <v>1556.8</v>
      </c>
      <c r="P2494">
        <f t="shared" si="38"/>
        <v>0.60531370038412291</v>
      </c>
    </row>
    <row r="2495" spans="1:16" hidden="1" x14ac:dyDescent="0.25">
      <c r="A2495">
        <v>0</v>
      </c>
      <c r="B2495">
        <v>25000</v>
      </c>
      <c r="C2495">
        <f>1.225 * (1 - 0.00000687559 * B2495) ^ 4.2561</f>
        <v>0.54892259437885793</v>
      </c>
      <c r="D2495">
        <f>E2495*(SQRT($C$2/C2495))</f>
        <v>209.14164825274472</v>
      </c>
      <c r="E2495">
        <v>140</v>
      </c>
      <c r="F2495">
        <v>987</v>
      </c>
      <c r="G2495">
        <v>1000</v>
      </c>
      <c r="H2495">
        <f>CONVERT(G2495,"HP","kW")</f>
        <v>745.69987158227025</v>
      </c>
      <c r="I2495">
        <v>0.87849999999999995</v>
      </c>
      <c r="J2495">
        <v>1.6506000000000001</v>
      </c>
      <c r="K2495">
        <v>0.57809999999999995</v>
      </c>
      <c r="L2495">
        <v>0.31240000000000001</v>
      </c>
      <c r="M2495">
        <v>0.1663</v>
      </c>
      <c r="N2495">
        <f>CONVERT(O2495,"lbf","N")</f>
        <v>6089.1705691300986</v>
      </c>
      <c r="O2495">
        <v>1368.9</v>
      </c>
      <c r="P2495">
        <f t="shared" si="38"/>
        <v>0.53233034571062743</v>
      </c>
    </row>
    <row r="2496" spans="1:16" hidden="1" x14ac:dyDescent="0.25">
      <c r="A2496">
        <v>0</v>
      </c>
      <c r="B2496">
        <v>25000</v>
      </c>
      <c r="C2496">
        <f>1.225 * (1 - 0.00000687559 * B2496) ^ 4.2561</f>
        <v>0.54892259437885793</v>
      </c>
      <c r="D2496">
        <f>E2496*(SQRT($C$2/C2496))</f>
        <v>239.01902657456537</v>
      </c>
      <c r="E2496">
        <v>160</v>
      </c>
      <c r="F2496">
        <v>987</v>
      </c>
      <c r="G2496">
        <v>1000</v>
      </c>
      <c r="H2496">
        <f>CONVERT(G2496,"HP","kW")</f>
        <v>745.69987158227025</v>
      </c>
      <c r="I2496">
        <v>0.89049999999999996</v>
      </c>
      <c r="J2496">
        <v>1.8864000000000001</v>
      </c>
      <c r="K2496">
        <v>0.60940000000000005</v>
      </c>
      <c r="L2496">
        <v>0.31240000000000001</v>
      </c>
      <c r="M2496">
        <v>0.14749999999999999</v>
      </c>
      <c r="N2496">
        <f>CONVERT(O2496,"lbf","N")</f>
        <v>5400.5858630877738</v>
      </c>
      <c r="O2496">
        <v>1214.0999999999999</v>
      </c>
      <c r="P2496">
        <f t="shared" si="38"/>
        <v>0.47215108834827141</v>
      </c>
    </row>
    <row r="2497" spans="1:16" hidden="1" x14ac:dyDescent="0.25">
      <c r="A2497">
        <v>0</v>
      </c>
      <c r="B2497">
        <v>25000</v>
      </c>
      <c r="C2497">
        <f>1.225 * (1 - 0.00000687559 * B2497) ^ 4.2561</f>
        <v>0.54892259437885793</v>
      </c>
      <c r="D2497">
        <f>E2497*(SQRT($C$2/C2497))</f>
        <v>268.89640489638606</v>
      </c>
      <c r="E2497">
        <v>180</v>
      </c>
      <c r="F2497">
        <v>987</v>
      </c>
      <c r="G2497">
        <v>1000</v>
      </c>
      <c r="H2497">
        <f>CONVERT(G2497,"HP","kW")</f>
        <v>745.69987158227025</v>
      </c>
      <c r="I2497">
        <v>0.89490000000000003</v>
      </c>
      <c r="J2497">
        <v>2.1221999999999999</v>
      </c>
      <c r="K2497">
        <v>0.64300000000000002</v>
      </c>
      <c r="L2497">
        <v>0.31240000000000001</v>
      </c>
      <c r="M2497">
        <v>0.13170000000000001</v>
      </c>
      <c r="N2497">
        <f>CONVERT(O2497,"lbf","N")</f>
        <v>4824.0963417500125</v>
      </c>
      <c r="O2497">
        <v>1084.5</v>
      </c>
      <c r="P2497">
        <f t="shared" si="38"/>
        <v>0.42157490396927016</v>
      </c>
    </row>
    <row r="2498" spans="1:16" hidden="1" x14ac:dyDescent="0.25">
      <c r="A2498">
        <v>0</v>
      </c>
      <c r="B2498">
        <v>25000</v>
      </c>
      <c r="C2498">
        <f>1.225 * (1 - 0.00000687559 * B2498) ^ 4.2561</f>
        <v>0.54892259437885793</v>
      </c>
      <c r="D2498">
        <f>E2498*(SQRT($C$2/C2498))</f>
        <v>298.77378321820675</v>
      </c>
      <c r="E2498">
        <v>200</v>
      </c>
      <c r="F2498">
        <v>987</v>
      </c>
      <c r="G2498">
        <v>1000</v>
      </c>
      <c r="H2498">
        <f>CONVERT(G2498,"HP","kW")</f>
        <v>745.69987158227025</v>
      </c>
      <c r="I2498">
        <v>0.89139999999999997</v>
      </c>
      <c r="J2498">
        <v>2.3580000000000001</v>
      </c>
      <c r="K2498">
        <v>0.67849999999999999</v>
      </c>
      <c r="L2498">
        <v>0.31240000000000001</v>
      </c>
      <c r="M2498">
        <v>0.1181</v>
      </c>
      <c r="N2498">
        <f>CONVERT(O2498,"lbf","N")</f>
        <v>4324.5610543562589</v>
      </c>
      <c r="O2498">
        <v>972.2</v>
      </c>
      <c r="P2498">
        <f t="shared" si="38"/>
        <v>0.37804097311139562</v>
      </c>
    </row>
    <row r="2499" spans="1:16" hidden="1" x14ac:dyDescent="0.25">
      <c r="A2499">
        <v>0</v>
      </c>
      <c r="B2499">
        <v>25000</v>
      </c>
      <c r="C2499">
        <f>1.225 * (1 - 0.00000687559 * B2499) ^ 4.2561</f>
        <v>0.54892259437885793</v>
      </c>
      <c r="D2499">
        <f>E2499*(SQRT($C$2/C2499))</f>
        <v>328.65116154002743</v>
      </c>
      <c r="E2499">
        <v>220</v>
      </c>
      <c r="F2499">
        <v>987</v>
      </c>
      <c r="G2499">
        <v>1000</v>
      </c>
      <c r="H2499">
        <f>CONVERT(G2499,"HP","kW")</f>
        <v>745.69987158227025</v>
      </c>
      <c r="I2499">
        <v>0.86970000000000003</v>
      </c>
      <c r="J2499">
        <v>2.5937999999999999</v>
      </c>
      <c r="K2499">
        <v>0.71560000000000001</v>
      </c>
      <c r="L2499">
        <v>0.31240000000000001</v>
      </c>
      <c r="M2499">
        <v>0.1047</v>
      </c>
      <c r="N2499">
        <f>CONVERT(O2499,"lbf","N")</f>
        <v>3836.1463210006555</v>
      </c>
      <c r="O2499">
        <v>862.4</v>
      </c>
      <c r="P2499">
        <f t="shared" ref="P2499:P2562" si="39">M2499/L2499</f>
        <v>0.33514724711907812</v>
      </c>
    </row>
    <row r="2500" spans="1:16" hidden="1" x14ac:dyDescent="0.25">
      <c r="A2500">
        <v>0</v>
      </c>
      <c r="B2500">
        <v>25000</v>
      </c>
      <c r="C2500">
        <f>1.225 * (1 - 0.00000687559 * B2500) ^ 4.2561</f>
        <v>0.54892259437885793</v>
      </c>
      <c r="D2500">
        <f>E2500*(SQRT($C$2/C2500))</f>
        <v>388.40591818366875</v>
      </c>
      <c r="E2500">
        <v>260</v>
      </c>
      <c r="F2500">
        <v>987</v>
      </c>
      <c r="G2500">
        <v>1000</v>
      </c>
      <c r="H2500">
        <f>CONVERT(G2500,"HP","kW")</f>
        <v>745.69987158227025</v>
      </c>
      <c r="I2500">
        <v>0.62229999999999996</v>
      </c>
      <c r="J2500">
        <v>3.0653999999999999</v>
      </c>
      <c r="K2500">
        <v>0.79400000000000004</v>
      </c>
      <c r="L2500">
        <v>0.31240000000000001</v>
      </c>
      <c r="M2500">
        <v>6.3399999999999998E-2</v>
      </c>
      <c r="N2500">
        <f>CONVERT(O2500,"lbf","N")</f>
        <v>2322.4165053275074</v>
      </c>
      <c r="O2500">
        <v>522.1</v>
      </c>
      <c r="P2500">
        <f t="shared" si="39"/>
        <v>0.20294494238156208</v>
      </c>
    </row>
    <row r="2501" spans="1:16" hidden="1" x14ac:dyDescent="0.25">
      <c r="A2501">
        <v>0</v>
      </c>
      <c r="B2501">
        <v>25000</v>
      </c>
      <c r="C2501">
        <f>1.225 * (1 - 0.00000687559 * B2501) ^ 4.2561</f>
        <v>0.54892259437885793</v>
      </c>
      <c r="D2501">
        <f>E2501*(SQRT($C$2/C2501))</f>
        <v>29.877378321820672</v>
      </c>
      <c r="E2501">
        <v>20</v>
      </c>
      <c r="F2501">
        <v>987</v>
      </c>
      <c r="G2501">
        <v>1000</v>
      </c>
      <c r="H2501">
        <f>CONVERT(G2501,"HP","kW")</f>
        <v>745.69987158227025</v>
      </c>
      <c r="I2501">
        <v>0.2009</v>
      </c>
      <c r="J2501">
        <v>0.23580000000000001</v>
      </c>
      <c r="K2501">
        <v>0.45700000000000002</v>
      </c>
      <c r="L2501">
        <v>0.3125</v>
      </c>
      <c r="M2501">
        <v>0.26619999999999999</v>
      </c>
      <c r="N2501">
        <f>CONVERT(O2501,"lbf","N")</f>
        <v>9746.9432033588073</v>
      </c>
      <c r="O2501">
        <v>2191.1999999999998</v>
      </c>
      <c r="P2501">
        <f t="shared" si="39"/>
        <v>0.85183999999999993</v>
      </c>
    </row>
    <row r="2502" spans="1:16" hidden="1" x14ac:dyDescent="0.25">
      <c r="A2502">
        <v>0</v>
      </c>
      <c r="B2502">
        <v>0</v>
      </c>
      <c r="C2502">
        <f>1.225 * (1 - 0.00000687559 * B2502) ^ 4.2561</f>
        <v>1.2250000000000001</v>
      </c>
      <c r="D2502">
        <f>E2502*(SQRT($C$2/C2502))</f>
        <v>40</v>
      </c>
      <c r="E2502">
        <v>40</v>
      </c>
      <c r="F2502">
        <v>987</v>
      </c>
      <c r="G2502">
        <v>2250</v>
      </c>
      <c r="H2502">
        <f>CONVERT(G2502,"HP","kW")</f>
        <v>1677.8247110601083</v>
      </c>
      <c r="I2502">
        <v>0.2727</v>
      </c>
      <c r="J2502">
        <v>0.31569999999999998</v>
      </c>
      <c r="K2502">
        <v>0.41860000000000003</v>
      </c>
      <c r="L2502">
        <v>0.31490000000000001</v>
      </c>
      <c r="M2502">
        <v>0.27200000000000002</v>
      </c>
      <c r="N2502">
        <f>CONVERT(O2502,"lbf","N")</f>
        <v>22235.77021036419</v>
      </c>
      <c r="O2502">
        <v>4998.8</v>
      </c>
      <c r="P2502">
        <f t="shared" si="39"/>
        <v>0.86376627500793901</v>
      </c>
    </row>
    <row r="2503" spans="1:16" hidden="1" x14ac:dyDescent="0.25">
      <c r="A2503">
        <v>0</v>
      </c>
      <c r="B2503">
        <v>0</v>
      </c>
      <c r="C2503">
        <f>1.225 * (1 - 0.00000687559 * B2503) ^ 4.2561</f>
        <v>1.2250000000000001</v>
      </c>
      <c r="D2503">
        <f>E2503*(SQRT($C$2/C2503))</f>
        <v>0</v>
      </c>
      <c r="E2503">
        <v>0</v>
      </c>
      <c r="F2503">
        <v>987</v>
      </c>
      <c r="G2503">
        <v>2250</v>
      </c>
      <c r="H2503">
        <f>CONVERT(G2503,"HP","kW")</f>
        <v>1677.8247110601083</v>
      </c>
      <c r="I2503">
        <v>0</v>
      </c>
      <c r="J2503">
        <v>0</v>
      </c>
      <c r="K2503">
        <v>0.4098</v>
      </c>
      <c r="L2503">
        <v>0.315</v>
      </c>
      <c r="M2503">
        <v>0.2455</v>
      </c>
      <c r="N2503">
        <f>CONVERT(O2503,"lbf","N")</f>
        <v>20061.479484824857</v>
      </c>
      <c r="O2503">
        <v>4510</v>
      </c>
      <c r="P2503">
        <f t="shared" si="39"/>
        <v>0.77936507936507937</v>
      </c>
    </row>
    <row r="2504" spans="1:16" hidden="1" x14ac:dyDescent="0.25">
      <c r="A2504">
        <v>0</v>
      </c>
      <c r="B2504">
        <v>0</v>
      </c>
      <c r="C2504">
        <f>1.225 * (1 - 0.00000687559 * B2504) ^ 4.2561</f>
        <v>1.2250000000000001</v>
      </c>
      <c r="D2504">
        <f>E2504*(SQRT($C$2/C2504))</f>
        <v>20</v>
      </c>
      <c r="E2504">
        <v>20</v>
      </c>
      <c r="F2504">
        <v>987</v>
      </c>
      <c r="G2504">
        <v>2250</v>
      </c>
      <c r="H2504">
        <f>CONVERT(G2504,"HP","kW")</f>
        <v>1677.8247110601083</v>
      </c>
      <c r="I2504">
        <v>0.12920000000000001</v>
      </c>
      <c r="J2504">
        <v>0.1578</v>
      </c>
      <c r="K2504">
        <v>0.41349999999999998</v>
      </c>
      <c r="L2504">
        <v>0.315</v>
      </c>
      <c r="M2504">
        <v>0.25779999999999997</v>
      </c>
      <c r="N2504">
        <f>CONVERT(O2504,"lbf","N")</f>
        <v>21063.663814743046</v>
      </c>
      <c r="O2504">
        <v>4735.3</v>
      </c>
      <c r="P2504">
        <f t="shared" si="39"/>
        <v>0.81841269841269837</v>
      </c>
    </row>
    <row r="2505" spans="1:16" hidden="1" x14ac:dyDescent="0.25">
      <c r="A2505">
        <v>0</v>
      </c>
      <c r="B2505">
        <v>0</v>
      </c>
      <c r="C2505">
        <f>1.225 * (1 - 0.00000687559 * B2505) ^ 4.2561</f>
        <v>1.2250000000000001</v>
      </c>
      <c r="D2505">
        <f>E2505*(SQRT($C$2/C2505))</f>
        <v>60</v>
      </c>
      <c r="E2505">
        <v>60</v>
      </c>
      <c r="F2505">
        <v>987</v>
      </c>
      <c r="G2505">
        <v>2250</v>
      </c>
      <c r="H2505">
        <f>CONVERT(G2505,"HP","kW")</f>
        <v>1677.8247110601083</v>
      </c>
      <c r="I2505">
        <v>0.43509999999999999</v>
      </c>
      <c r="J2505">
        <v>0.47349999999999998</v>
      </c>
      <c r="K2505">
        <v>0.42520000000000002</v>
      </c>
      <c r="L2505">
        <v>0.315</v>
      </c>
      <c r="M2505">
        <v>0.28949999999999998</v>
      </c>
      <c r="N2505">
        <f>CONVERT(O2505,"lbf","N")</f>
        <v>23652.083972663131</v>
      </c>
      <c r="O2505">
        <v>5317.2</v>
      </c>
      <c r="P2505">
        <f t="shared" si="39"/>
        <v>0.919047619047619</v>
      </c>
    </row>
    <row r="2506" spans="1:16" hidden="1" x14ac:dyDescent="0.25">
      <c r="A2506">
        <v>0</v>
      </c>
      <c r="B2506">
        <v>0</v>
      </c>
      <c r="C2506">
        <f>1.225 * (1 - 0.00000687559 * B2506) ^ 4.2561</f>
        <v>1.2250000000000001</v>
      </c>
      <c r="D2506">
        <f>E2506*(SQRT($C$2/C2506))</f>
        <v>120</v>
      </c>
      <c r="E2506">
        <v>120</v>
      </c>
      <c r="F2506">
        <v>987</v>
      </c>
      <c r="G2506">
        <v>2250</v>
      </c>
      <c r="H2506">
        <f>CONVERT(G2506,"HP","kW")</f>
        <v>1677.8247110601083</v>
      </c>
      <c r="I2506">
        <v>0.75919999999999999</v>
      </c>
      <c r="J2506">
        <v>0.94710000000000005</v>
      </c>
      <c r="K2506">
        <v>0.45629999999999998</v>
      </c>
      <c r="L2506">
        <v>0.315</v>
      </c>
      <c r="M2506">
        <v>0.2525</v>
      </c>
      <c r="N2506">
        <f>CONVERT(O2506,"lbf","N")</f>
        <v>20634.855251031931</v>
      </c>
      <c r="O2506">
        <v>4638.8999999999996</v>
      </c>
      <c r="P2506">
        <f t="shared" si="39"/>
        <v>0.80158730158730163</v>
      </c>
    </row>
    <row r="2507" spans="1:16" hidden="1" x14ac:dyDescent="0.25">
      <c r="A2507">
        <v>0</v>
      </c>
      <c r="B2507">
        <v>0</v>
      </c>
      <c r="C2507">
        <f>1.225 * (1 - 0.00000687559 * B2507) ^ 4.2561</f>
        <v>1.2250000000000001</v>
      </c>
      <c r="D2507">
        <f>E2507*(SQRT($C$2/C2507))</f>
        <v>140</v>
      </c>
      <c r="E2507">
        <v>140</v>
      </c>
      <c r="F2507">
        <v>987</v>
      </c>
      <c r="G2507">
        <v>2250</v>
      </c>
      <c r="H2507">
        <f>CONVERT(G2507,"HP","kW")</f>
        <v>1677.8247110601083</v>
      </c>
      <c r="I2507">
        <v>0.80269999999999997</v>
      </c>
      <c r="J2507">
        <v>1.1049</v>
      </c>
      <c r="K2507">
        <v>0.4698</v>
      </c>
      <c r="L2507">
        <v>0.315</v>
      </c>
      <c r="M2507">
        <v>0.2288</v>
      </c>
      <c r="N2507">
        <f>CONVERT(O2507,"lbf","N")</f>
        <v>18700.323670555143</v>
      </c>
      <c r="O2507">
        <v>4204</v>
      </c>
      <c r="P2507">
        <f t="shared" si="39"/>
        <v>0.7263492063492063</v>
      </c>
    </row>
    <row r="2508" spans="1:16" hidden="1" x14ac:dyDescent="0.25">
      <c r="A2508">
        <v>0</v>
      </c>
      <c r="B2508">
        <v>0</v>
      </c>
      <c r="C2508">
        <f>1.225 * (1 - 0.00000687559 * B2508) ^ 4.2561</f>
        <v>1.2250000000000001</v>
      </c>
      <c r="D2508">
        <f>E2508*(SQRT($C$2/C2508))</f>
        <v>160</v>
      </c>
      <c r="E2508">
        <v>160</v>
      </c>
      <c r="F2508">
        <v>987</v>
      </c>
      <c r="G2508">
        <v>2250</v>
      </c>
      <c r="H2508">
        <f>CONVERT(G2508,"HP","kW")</f>
        <v>1677.8247110601083</v>
      </c>
      <c r="I2508">
        <v>0.83409999999999995</v>
      </c>
      <c r="J2508">
        <v>1.2627999999999999</v>
      </c>
      <c r="K2508">
        <v>0.48459999999999998</v>
      </c>
      <c r="L2508">
        <v>0.315</v>
      </c>
      <c r="M2508">
        <v>0.20810000000000001</v>
      </c>
      <c r="N2508">
        <f>CONVERT(O2508,"lbf","N")</f>
        <v>17002.882302171736</v>
      </c>
      <c r="O2508">
        <v>3822.4</v>
      </c>
      <c r="P2508">
        <f t="shared" si="39"/>
        <v>0.66063492063492069</v>
      </c>
    </row>
    <row r="2509" spans="1:16" hidden="1" x14ac:dyDescent="0.25">
      <c r="A2509">
        <v>0</v>
      </c>
      <c r="B2509">
        <v>0</v>
      </c>
      <c r="C2509">
        <f>1.225 * (1 - 0.00000687559 * B2509) ^ 4.2561</f>
        <v>1.2250000000000001</v>
      </c>
      <c r="D2509">
        <f>E2509*(SQRT($C$2/C2509))</f>
        <v>180</v>
      </c>
      <c r="E2509">
        <v>180</v>
      </c>
      <c r="F2509">
        <v>987</v>
      </c>
      <c r="G2509">
        <v>2250</v>
      </c>
      <c r="H2509">
        <f>CONVERT(G2509,"HP","kW")</f>
        <v>1677.8247110601083</v>
      </c>
      <c r="I2509">
        <v>0.85660000000000003</v>
      </c>
      <c r="J2509">
        <v>1.4206000000000001</v>
      </c>
      <c r="K2509">
        <v>0.50060000000000004</v>
      </c>
      <c r="L2509">
        <v>0.315</v>
      </c>
      <c r="M2509">
        <v>0.18990000000000001</v>
      </c>
      <c r="N2509">
        <f>CONVERT(O2509,"lbf","N")</f>
        <v>15521.62450428999</v>
      </c>
      <c r="O2509">
        <v>3489.4</v>
      </c>
      <c r="P2509">
        <f t="shared" si="39"/>
        <v>0.60285714285714287</v>
      </c>
    </row>
    <row r="2510" spans="1:16" hidden="1" x14ac:dyDescent="0.25">
      <c r="A2510">
        <v>0</v>
      </c>
      <c r="B2510">
        <v>0</v>
      </c>
      <c r="C2510">
        <f>1.225 * (1 - 0.00000687559 * B2510) ^ 4.2561</f>
        <v>1.2250000000000001</v>
      </c>
      <c r="D2510">
        <f>E2510*(SQRT($C$2/C2510))</f>
        <v>200</v>
      </c>
      <c r="E2510">
        <v>200</v>
      </c>
      <c r="F2510">
        <v>987</v>
      </c>
      <c r="G2510">
        <v>2250</v>
      </c>
      <c r="H2510">
        <f>CONVERT(G2510,"HP","kW")</f>
        <v>1677.8247110601083</v>
      </c>
      <c r="I2510">
        <v>0.87260000000000004</v>
      </c>
      <c r="J2510">
        <v>1.5785</v>
      </c>
      <c r="K2510">
        <v>0.51790000000000003</v>
      </c>
      <c r="L2510">
        <v>0.315</v>
      </c>
      <c r="M2510">
        <v>0.1741</v>
      </c>
      <c r="N2510">
        <f>CONVERT(O2510,"lbf","N")</f>
        <v>14229.416125056816</v>
      </c>
      <c r="O2510">
        <v>3198.9</v>
      </c>
      <c r="P2510">
        <f t="shared" si="39"/>
        <v>0.55269841269841269</v>
      </c>
    </row>
    <row r="2511" spans="1:16" hidden="1" x14ac:dyDescent="0.25">
      <c r="A2511">
        <v>0</v>
      </c>
      <c r="B2511">
        <v>0</v>
      </c>
      <c r="C2511">
        <f>1.225 * (1 - 0.00000687559 * B2511) ^ 4.2561</f>
        <v>1.2250000000000001</v>
      </c>
      <c r="D2511">
        <f>E2511*(SQRT($C$2/C2511))</f>
        <v>220</v>
      </c>
      <c r="E2511">
        <v>220</v>
      </c>
      <c r="F2511">
        <v>987</v>
      </c>
      <c r="G2511">
        <v>2250</v>
      </c>
      <c r="H2511">
        <f>CONVERT(G2511,"HP","kW")</f>
        <v>1677.8247110601083</v>
      </c>
      <c r="I2511">
        <v>0.88349999999999995</v>
      </c>
      <c r="J2511">
        <v>1.7363</v>
      </c>
      <c r="K2511">
        <v>0.53620000000000001</v>
      </c>
      <c r="L2511">
        <v>0.315</v>
      </c>
      <c r="M2511">
        <v>0.1603</v>
      </c>
      <c r="N2511">
        <f>CONVERT(O2511,"lbf","N")</f>
        <v>13097.788546134543</v>
      </c>
      <c r="O2511">
        <v>2944.5</v>
      </c>
      <c r="P2511">
        <f t="shared" si="39"/>
        <v>0.50888888888888884</v>
      </c>
    </row>
    <row r="2512" spans="1:16" hidden="1" x14ac:dyDescent="0.25">
      <c r="A2512">
        <v>0</v>
      </c>
      <c r="B2512">
        <v>0</v>
      </c>
      <c r="C2512">
        <f>1.225 * (1 - 0.00000687559 * B2512) ^ 4.2561</f>
        <v>1.2250000000000001</v>
      </c>
      <c r="D2512">
        <f>E2512*(SQRT($C$2/C2512))</f>
        <v>240</v>
      </c>
      <c r="E2512">
        <v>240</v>
      </c>
      <c r="F2512">
        <v>987</v>
      </c>
      <c r="G2512">
        <v>2250</v>
      </c>
      <c r="H2512">
        <f>CONVERT(G2512,"HP","kW")</f>
        <v>1677.8247110601083</v>
      </c>
      <c r="I2512">
        <v>0.89049999999999996</v>
      </c>
      <c r="J2512">
        <v>1.8942000000000001</v>
      </c>
      <c r="K2512">
        <v>0.55559999999999998</v>
      </c>
      <c r="L2512">
        <v>0.315</v>
      </c>
      <c r="M2512">
        <v>0.14810000000000001</v>
      </c>
      <c r="N2512">
        <f>CONVERT(O2512,"lbf","N")</f>
        <v>12100.497259993139</v>
      </c>
      <c r="O2512">
        <v>2720.3</v>
      </c>
      <c r="P2512">
        <f t="shared" si="39"/>
        <v>0.47015873015873016</v>
      </c>
    </row>
    <row r="2513" spans="1:16" hidden="1" x14ac:dyDescent="0.25">
      <c r="A2513">
        <v>0</v>
      </c>
      <c r="B2513">
        <v>0</v>
      </c>
      <c r="C2513">
        <f>1.225 * (1 - 0.00000687559 * B2513) ^ 4.2561</f>
        <v>1.2250000000000001</v>
      </c>
      <c r="D2513">
        <f>E2513*(SQRT($C$2/C2513))</f>
        <v>260</v>
      </c>
      <c r="E2513">
        <v>260</v>
      </c>
      <c r="F2513">
        <v>987</v>
      </c>
      <c r="G2513">
        <v>2250</v>
      </c>
      <c r="H2513">
        <f>CONVERT(G2513,"HP","kW")</f>
        <v>1677.8247110601083</v>
      </c>
      <c r="I2513">
        <v>0.89400000000000002</v>
      </c>
      <c r="J2513">
        <v>2.052</v>
      </c>
      <c r="K2513">
        <v>0.57579999999999998</v>
      </c>
      <c r="L2513">
        <v>0.315</v>
      </c>
      <c r="M2513">
        <v>0.13719999999999999</v>
      </c>
      <c r="N2513">
        <f>CONVERT(O2513,"lbf","N")</f>
        <v>11214.856336394772</v>
      </c>
      <c r="O2513">
        <v>2521.1999999999998</v>
      </c>
      <c r="P2513">
        <f t="shared" si="39"/>
        <v>0.43555555555555553</v>
      </c>
    </row>
    <row r="2514" spans="1:16" hidden="1" x14ac:dyDescent="0.25">
      <c r="A2514">
        <v>0</v>
      </c>
      <c r="B2514">
        <v>0</v>
      </c>
      <c r="C2514">
        <f>1.225 * (1 - 0.00000687559 * B2514) ^ 4.2561</f>
        <v>1.2250000000000001</v>
      </c>
      <c r="D2514">
        <f>E2514*(SQRT($C$2/C2514))</f>
        <v>100</v>
      </c>
      <c r="E2514">
        <v>100</v>
      </c>
      <c r="F2514">
        <v>987</v>
      </c>
      <c r="G2514">
        <v>2250</v>
      </c>
      <c r="H2514">
        <f>CONVERT(G2514,"HP","kW")</f>
        <v>1677.8247110601083</v>
      </c>
      <c r="I2514">
        <v>0.69879999999999998</v>
      </c>
      <c r="J2514">
        <v>0.78920000000000001</v>
      </c>
      <c r="K2514">
        <v>0.44429999999999997</v>
      </c>
      <c r="L2514">
        <v>0.31519999999999998</v>
      </c>
      <c r="M2514">
        <v>0.27910000000000001</v>
      </c>
      <c r="N2514">
        <f>CONVERT(O2514,"lbf","N")</f>
        <v>22791.797912271752</v>
      </c>
      <c r="O2514">
        <v>5123.8</v>
      </c>
      <c r="P2514">
        <f t="shared" si="39"/>
        <v>0.88546954314720827</v>
      </c>
    </row>
    <row r="2515" spans="1:16" hidden="1" x14ac:dyDescent="0.25">
      <c r="A2515">
        <v>0</v>
      </c>
      <c r="B2515">
        <v>0</v>
      </c>
      <c r="C2515">
        <f>1.225 * (1 - 0.00000687559 * B2515) ^ 4.2561</f>
        <v>1.2250000000000001</v>
      </c>
      <c r="D2515">
        <f>E2515*(SQRT($C$2/C2515))</f>
        <v>80</v>
      </c>
      <c r="E2515">
        <v>80</v>
      </c>
      <c r="F2515">
        <v>987</v>
      </c>
      <c r="G2515">
        <v>2250</v>
      </c>
      <c r="H2515">
        <f>CONVERT(G2515,"HP","kW")</f>
        <v>1677.8247110601083</v>
      </c>
      <c r="I2515">
        <v>0.59650000000000003</v>
      </c>
      <c r="J2515">
        <v>0.63139999999999996</v>
      </c>
      <c r="K2515">
        <v>0.43369999999999997</v>
      </c>
      <c r="L2515">
        <v>0.31540000000000001</v>
      </c>
      <c r="M2515">
        <v>0.29799999999999999</v>
      </c>
      <c r="N2515">
        <f>CONVERT(O2515,"lbf","N")</f>
        <v>24318.872392790679</v>
      </c>
      <c r="O2515">
        <v>5467.1</v>
      </c>
      <c r="P2515">
        <f t="shared" si="39"/>
        <v>0.94483195941661369</v>
      </c>
    </row>
    <row r="2516" spans="1:16" hidden="1" x14ac:dyDescent="0.25">
      <c r="A2516">
        <v>0</v>
      </c>
      <c r="B2516">
        <v>15000</v>
      </c>
      <c r="C2516">
        <f>1.225 * (1 - 0.00000687559 * B2516) ^ 4.2561</f>
        <v>0.77079726910167001</v>
      </c>
      <c r="D2516">
        <f>E2516*(SQRT($C$2/C2516))</f>
        <v>100.85279711013223</v>
      </c>
      <c r="E2516">
        <v>80</v>
      </c>
      <c r="F2516">
        <v>1150</v>
      </c>
      <c r="G2516">
        <v>2250</v>
      </c>
      <c r="H2516">
        <f>CONVERT(G2516,"HP","kW")</f>
        <v>1677.8247110601083</v>
      </c>
      <c r="I2516">
        <v>0.62929999999999997</v>
      </c>
      <c r="J2516">
        <v>0.68310000000000004</v>
      </c>
      <c r="K2516">
        <v>0.53759999999999997</v>
      </c>
      <c r="L2516">
        <v>0.31630000000000003</v>
      </c>
      <c r="M2516">
        <v>0.29139999999999999</v>
      </c>
      <c r="N2516">
        <f>CONVERT(O2516,"lbf","N")</f>
        <v>20351.50353413984</v>
      </c>
      <c r="O2516">
        <v>4575.2</v>
      </c>
      <c r="P2516">
        <f t="shared" si="39"/>
        <v>0.92127726841606061</v>
      </c>
    </row>
    <row r="2517" spans="1:16" hidden="1" x14ac:dyDescent="0.25">
      <c r="A2517">
        <v>0</v>
      </c>
      <c r="B2517">
        <v>15000</v>
      </c>
      <c r="C2517">
        <f>1.225 * (1 - 0.00000687559 * B2517) ^ 4.2561</f>
        <v>0.77079726910167001</v>
      </c>
      <c r="D2517">
        <f>E2517*(SQRT($C$2/C2517))</f>
        <v>226.91879349779754</v>
      </c>
      <c r="E2517">
        <v>180</v>
      </c>
      <c r="F2517">
        <v>1150</v>
      </c>
      <c r="G2517">
        <v>2250</v>
      </c>
      <c r="H2517">
        <f>CONVERT(G2517,"HP","kW")</f>
        <v>1677.8247110601083</v>
      </c>
      <c r="I2517">
        <v>0.86729999999999996</v>
      </c>
      <c r="J2517">
        <v>1.5370999999999999</v>
      </c>
      <c r="K2517">
        <v>0.63139999999999996</v>
      </c>
      <c r="L2517">
        <v>0.31630000000000003</v>
      </c>
      <c r="M2517">
        <v>0.17849999999999999</v>
      </c>
      <c r="N2517">
        <f>CONVERT(O2517,"lbf","N")</f>
        <v>12465.696254606026</v>
      </c>
      <c r="O2517">
        <v>2802.4</v>
      </c>
      <c r="P2517">
        <f t="shared" si="39"/>
        <v>0.56433765412582981</v>
      </c>
    </row>
    <row r="2518" spans="1:16" hidden="1" x14ac:dyDescent="0.25">
      <c r="A2518">
        <v>0</v>
      </c>
      <c r="B2518">
        <v>15000</v>
      </c>
      <c r="C2518">
        <f>1.225 * (1 - 0.00000687559 * B2518) ^ 4.2561</f>
        <v>0.77079726910167001</v>
      </c>
      <c r="D2518">
        <f>E2518*(SQRT($C$2/C2518))</f>
        <v>50.426398555066115</v>
      </c>
      <c r="E2518">
        <v>40</v>
      </c>
      <c r="F2518">
        <v>1150</v>
      </c>
      <c r="G2518">
        <v>2250</v>
      </c>
      <c r="H2518">
        <f>CONVERT(G2518,"HP","kW")</f>
        <v>1677.8247110601083</v>
      </c>
      <c r="I2518">
        <v>0.29580000000000001</v>
      </c>
      <c r="J2518">
        <v>0.34160000000000001</v>
      </c>
      <c r="K2518">
        <v>0.51619999999999999</v>
      </c>
      <c r="L2518">
        <v>0.31640000000000001</v>
      </c>
      <c r="M2518">
        <v>0.27400000000000002</v>
      </c>
      <c r="N2518">
        <f>CONVERT(O2518,"lbf","N")</f>
        <v>19130.466700750832</v>
      </c>
      <c r="O2518">
        <v>4300.7</v>
      </c>
      <c r="P2518">
        <f t="shared" si="39"/>
        <v>0.86599241466498111</v>
      </c>
    </row>
    <row r="2519" spans="1:16" hidden="1" x14ac:dyDescent="0.25">
      <c r="A2519">
        <v>0</v>
      </c>
      <c r="B2519">
        <v>15000</v>
      </c>
      <c r="C2519">
        <f>1.225 * (1 - 0.00000687559 * B2519) ^ 4.2561</f>
        <v>0.77079726910167001</v>
      </c>
      <c r="D2519">
        <f>E2519*(SQRT($C$2/C2519))</f>
        <v>75.639597832599179</v>
      </c>
      <c r="E2519">
        <v>60</v>
      </c>
      <c r="F2519">
        <v>1150</v>
      </c>
      <c r="G2519">
        <v>2250</v>
      </c>
      <c r="H2519">
        <f>CONVERT(G2519,"HP","kW")</f>
        <v>1677.8247110601083</v>
      </c>
      <c r="I2519">
        <v>0.4733</v>
      </c>
      <c r="J2519">
        <v>0.51239999999999997</v>
      </c>
      <c r="K2519">
        <v>0.52549999999999997</v>
      </c>
      <c r="L2519">
        <v>0.31640000000000001</v>
      </c>
      <c r="M2519">
        <v>0.2923</v>
      </c>
      <c r="N2519">
        <f>CONVERT(O2519,"lbf","N")</f>
        <v>20409.775237299753</v>
      </c>
      <c r="O2519">
        <v>4588.3</v>
      </c>
      <c r="P2519">
        <f t="shared" si="39"/>
        <v>0.92383059418457647</v>
      </c>
    </row>
    <row r="2520" spans="1:16" hidden="1" x14ac:dyDescent="0.25">
      <c r="A2520">
        <v>0</v>
      </c>
      <c r="B2520">
        <v>15000</v>
      </c>
      <c r="C2520">
        <f>1.225 * (1 - 0.00000687559 * B2520) ^ 4.2561</f>
        <v>0.77079726910167001</v>
      </c>
      <c r="D2520">
        <f>E2520*(SQRT($C$2/C2520))</f>
        <v>176.49239494273141</v>
      </c>
      <c r="E2520">
        <v>140</v>
      </c>
      <c r="F2520">
        <v>1150</v>
      </c>
      <c r="G2520">
        <v>2250</v>
      </c>
      <c r="H2520">
        <f>CONVERT(G2520,"HP","kW")</f>
        <v>1677.8247110601083</v>
      </c>
      <c r="I2520">
        <v>0.81950000000000001</v>
      </c>
      <c r="J2520">
        <v>1.1955</v>
      </c>
      <c r="K2520">
        <v>0.58819999999999995</v>
      </c>
      <c r="L2520">
        <v>0.31640000000000001</v>
      </c>
      <c r="M2520">
        <v>0.21690000000000001</v>
      </c>
      <c r="N2520">
        <f>CONVERT(O2520,"lbf","N")</f>
        <v>15143.970489154372</v>
      </c>
      <c r="O2520">
        <v>3404.5</v>
      </c>
      <c r="P2520">
        <f t="shared" si="39"/>
        <v>0.68552465233881166</v>
      </c>
    </row>
    <row r="2521" spans="1:16" hidden="1" x14ac:dyDescent="0.25">
      <c r="A2521">
        <v>0</v>
      </c>
      <c r="B2521">
        <v>15000</v>
      </c>
      <c r="C2521">
        <f>1.225 * (1 - 0.00000687559 * B2521) ^ 4.2561</f>
        <v>0.77079726910167001</v>
      </c>
      <c r="D2521">
        <f>E2521*(SQRT($C$2/C2521))</f>
        <v>201.70559422026446</v>
      </c>
      <c r="E2521">
        <v>160</v>
      </c>
      <c r="F2521">
        <v>1150</v>
      </c>
      <c r="G2521">
        <v>2250</v>
      </c>
      <c r="H2521">
        <f>CONVERT(G2521,"HP","kW")</f>
        <v>1677.8247110601083</v>
      </c>
      <c r="I2521">
        <v>0.84750000000000003</v>
      </c>
      <c r="J2521">
        <v>1.3663000000000001</v>
      </c>
      <c r="K2521">
        <v>0.6089</v>
      </c>
      <c r="L2521">
        <v>0.31640000000000001</v>
      </c>
      <c r="M2521">
        <v>0.1963</v>
      </c>
      <c r="N2521">
        <f>CONVERT(O2521,"lbf","N")</f>
        <v>13704.08115229455</v>
      </c>
      <c r="O2521">
        <v>3080.8</v>
      </c>
      <c r="P2521">
        <f t="shared" si="39"/>
        <v>0.62041719342604296</v>
      </c>
    </row>
    <row r="2522" spans="1:16" hidden="1" x14ac:dyDescent="0.25">
      <c r="A2522" s="4">
        <v>0</v>
      </c>
      <c r="B2522" s="4">
        <v>15000</v>
      </c>
      <c r="C2522" s="4">
        <f>1.225 * (1 - 0.00000687559 * B2522) ^ 4.2561</f>
        <v>0.77079726910167001</v>
      </c>
      <c r="D2522" s="4">
        <f>E2522*(SQRT($C$2/C2522))</f>
        <v>252.13199277533059</v>
      </c>
      <c r="E2522" s="4">
        <v>200</v>
      </c>
      <c r="F2522" s="4">
        <v>1150</v>
      </c>
      <c r="G2522" s="4">
        <v>2250</v>
      </c>
      <c r="H2522" s="4">
        <f>CONVERT(G2522,"HP","kW")</f>
        <v>1677.8247110601083</v>
      </c>
      <c r="I2522" s="4">
        <v>0.88080000000000003</v>
      </c>
      <c r="J2522" s="4">
        <v>1.7079</v>
      </c>
      <c r="K2522" s="4">
        <v>0.65549999999999997</v>
      </c>
      <c r="L2522" s="4">
        <v>0.31640000000000001</v>
      </c>
      <c r="M2522" s="4">
        <v>0.16320000000000001</v>
      </c>
      <c r="N2522">
        <f>CONVERT(O2522,"lbf","N")</f>
        <v>11393.230023166721</v>
      </c>
      <c r="O2522" s="4">
        <v>2561.3000000000002</v>
      </c>
      <c r="P2522">
        <f t="shared" si="39"/>
        <v>0.51580278128950696</v>
      </c>
    </row>
    <row r="2523" spans="1:16" hidden="1" x14ac:dyDescent="0.25">
      <c r="A2523">
        <v>0</v>
      </c>
      <c r="B2523">
        <v>15000</v>
      </c>
      <c r="C2523">
        <f>1.225 * (1 - 0.00000687559 * B2523) ^ 4.2561</f>
        <v>0.77079726910167001</v>
      </c>
      <c r="D2523">
        <f>E2523*(SQRT($C$2/C2523))</f>
        <v>327.77159060792974</v>
      </c>
      <c r="E2523">
        <v>260</v>
      </c>
      <c r="F2523">
        <v>1150</v>
      </c>
      <c r="G2523">
        <v>2250</v>
      </c>
      <c r="H2523">
        <f>CONVERT(G2523,"HP","kW")</f>
        <v>1677.8247110601083</v>
      </c>
      <c r="I2523">
        <v>0.88190000000000002</v>
      </c>
      <c r="J2523">
        <v>2.2202000000000002</v>
      </c>
      <c r="K2523">
        <v>0.73609999999999998</v>
      </c>
      <c r="L2523">
        <v>0.31640000000000001</v>
      </c>
      <c r="M2523">
        <v>0.12570000000000001</v>
      </c>
      <c r="N2523">
        <f>CONVERT(O2523,"lbf","N")</f>
        <v>8775.8964247474414</v>
      </c>
      <c r="O2523">
        <v>1972.9</v>
      </c>
      <c r="P2523">
        <f t="shared" si="39"/>
        <v>0.3972819216182048</v>
      </c>
    </row>
    <row r="2524" spans="1:16" hidden="1" x14ac:dyDescent="0.25">
      <c r="A2524">
        <v>0</v>
      </c>
      <c r="B2524">
        <v>15000</v>
      </c>
      <c r="C2524">
        <f>1.225 * (1 - 0.00000687559 * B2524) ^ 4.2561</f>
        <v>0.77079726910167001</v>
      </c>
      <c r="D2524">
        <f>E2524*(SQRT($C$2/C2524))</f>
        <v>0</v>
      </c>
      <c r="E2524">
        <v>0</v>
      </c>
      <c r="F2524">
        <v>1150</v>
      </c>
      <c r="G2524">
        <v>2250</v>
      </c>
      <c r="H2524">
        <f>CONVERT(G2524,"HP","kW")</f>
        <v>1677.8247110601083</v>
      </c>
      <c r="I2524">
        <v>0</v>
      </c>
      <c r="J2524">
        <v>0</v>
      </c>
      <c r="K2524">
        <v>0.50409999999999999</v>
      </c>
      <c r="L2524">
        <v>0.3165</v>
      </c>
      <c r="M2524">
        <v>0.2475</v>
      </c>
      <c r="N2524">
        <f>CONVERT(O2524,"lbf","N")</f>
        <v>17273.7789985411</v>
      </c>
      <c r="O2524">
        <v>3883.3</v>
      </c>
      <c r="P2524">
        <f t="shared" si="39"/>
        <v>0.78199052132701419</v>
      </c>
    </row>
    <row r="2525" spans="1:16" hidden="1" x14ac:dyDescent="0.25">
      <c r="A2525">
        <v>0</v>
      </c>
      <c r="B2525">
        <v>15000</v>
      </c>
      <c r="C2525">
        <f>1.225 * (1 - 0.00000687559 * B2525) ^ 4.2561</f>
        <v>0.77079726910167001</v>
      </c>
      <c r="D2525">
        <f>E2525*(SQRT($C$2/C2525))</f>
        <v>151.27919566519836</v>
      </c>
      <c r="E2525">
        <v>120</v>
      </c>
      <c r="F2525">
        <v>1150</v>
      </c>
      <c r="G2525">
        <v>2250</v>
      </c>
      <c r="H2525">
        <f>CONVERT(G2525,"HP","kW")</f>
        <v>1677.8247110601083</v>
      </c>
      <c r="I2525">
        <v>0.77980000000000005</v>
      </c>
      <c r="J2525">
        <v>1.0246999999999999</v>
      </c>
      <c r="K2525">
        <v>0.56930000000000003</v>
      </c>
      <c r="L2525">
        <v>0.3165</v>
      </c>
      <c r="M2525">
        <v>0.24079999999999999</v>
      </c>
      <c r="N2525">
        <f>CONVERT(O2525,"lbf","N")</f>
        <v>16811.163950554008</v>
      </c>
      <c r="O2525">
        <v>3779.3</v>
      </c>
      <c r="P2525">
        <f t="shared" si="39"/>
        <v>0.760821484992101</v>
      </c>
    </row>
    <row r="2526" spans="1:16" hidden="1" x14ac:dyDescent="0.25">
      <c r="A2526">
        <v>0</v>
      </c>
      <c r="B2526">
        <v>15000</v>
      </c>
      <c r="C2526">
        <f>1.225 * (1 - 0.00000687559 * B2526) ^ 4.2561</f>
        <v>0.77079726910167001</v>
      </c>
      <c r="D2526">
        <f>E2526*(SQRT($C$2/C2526))</f>
        <v>277.34519205286364</v>
      </c>
      <c r="E2526">
        <v>220</v>
      </c>
      <c r="F2526">
        <v>1150</v>
      </c>
      <c r="G2526">
        <v>2250</v>
      </c>
      <c r="H2526">
        <f>CONVERT(G2526,"HP","kW")</f>
        <v>1677.8247110601083</v>
      </c>
      <c r="I2526">
        <v>0.88929999999999998</v>
      </c>
      <c r="J2526">
        <v>1.8787</v>
      </c>
      <c r="K2526">
        <v>0.68110000000000004</v>
      </c>
      <c r="L2526">
        <v>0.3165</v>
      </c>
      <c r="M2526">
        <v>0.14979999999999999</v>
      </c>
      <c r="N2526">
        <f>CONVERT(O2526,"lbf","N")</f>
        <v>10457.769017477436</v>
      </c>
      <c r="O2526">
        <v>2351</v>
      </c>
      <c r="P2526">
        <f t="shared" si="39"/>
        <v>0.47330173775671402</v>
      </c>
    </row>
    <row r="2527" spans="1:16" hidden="1" x14ac:dyDescent="0.25">
      <c r="A2527">
        <v>0</v>
      </c>
      <c r="B2527">
        <v>15000</v>
      </c>
      <c r="C2527">
        <f>1.225 * (1 - 0.00000687559 * B2527) ^ 4.2561</f>
        <v>0.77079726910167001</v>
      </c>
      <c r="D2527">
        <f>E2527*(SQRT($C$2/C2527))</f>
        <v>302.55839133039672</v>
      </c>
      <c r="E2527">
        <v>240</v>
      </c>
      <c r="F2527">
        <v>1150</v>
      </c>
      <c r="G2527">
        <v>2250</v>
      </c>
      <c r="H2527">
        <f>CONVERT(G2527,"HP","kW")</f>
        <v>1677.8247110601083</v>
      </c>
      <c r="I2527">
        <v>0.8931</v>
      </c>
      <c r="J2527">
        <v>2.0493999999999999</v>
      </c>
      <c r="K2527">
        <v>0.70799999999999996</v>
      </c>
      <c r="L2527">
        <v>0.3165</v>
      </c>
      <c r="M2527">
        <v>0.13789999999999999</v>
      </c>
      <c r="N2527">
        <f>CONVERT(O2527,"lbf","N")</f>
        <v>9627.2860419083008</v>
      </c>
      <c r="O2527">
        <v>2164.3000000000002</v>
      </c>
      <c r="P2527">
        <f t="shared" si="39"/>
        <v>0.43570300157977881</v>
      </c>
    </row>
    <row r="2528" spans="1:16" hidden="1" x14ac:dyDescent="0.25">
      <c r="A2528">
        <v>0</v>
      </c>
      <c r="B2528">
        <v>15000</v>
      </c>
      <c r="C2528">
        <f>1.225 * (1 - 0.00000687559 * B2528) ^ 4.2561</f>
        <v>0.77079726910167001</v>
      </c>
      <c r="D2528">
        <f>E2528*(SQRT($C$2/C2528))</f>
        <v>126.06599638766529</v>
      </c>
      <c r="E2528">
        <v>100</v>
      </c>
      <c r="F2528">
        <v>1150</v>
      </c>
      <c r="G2528">
        <v>2250</v>
      </c>
      <c r="H2528">
        <f>CONVERT(G2528,"HP","kW")</f>
        <v>1677.8247110601083</v>
      </c>
      <c r="I2528">
        <v>0.72330000000000005</v>
      </c>
      <c r="J2528">
        <v>0.85389999999999999</v>
      </c>
      <c r="K2528">
        <v>0.5524</v>
      </c>
      <c r="L2528">
        <v>0.31659999999999999</v>
      </c>
      <c r="M2528">
        <v>0.2681</v>
      </c>
      <c r="N2528">
        <f>CONVERT(O2528,"lbf","N")</f>
        <v>18712.778691077874</v>
      </c>
      <c r="O2528">
        <v>4206.8</v>
      </c>
      <c r="P2528">
        <f t="shared" si="39"/>
        <v>0.84680985470625403</v>
      </c>
    </row>
    <row r="2529" spans="1:16" hidden="1" x14ac:dyDescent="0.25">
      <c r="A2529">
        <v>0</v>
      </c>
      <c r="B2529">
        <v>20000</v>
      </c>
      <c r="C2529">
        <f>1.225 * (1 - 0.00000687559 * B2529) ^ 4.2561</f>
        <v>0.65267221054298263</v>
      </c>
      <c r="D2529">
        <f>E2529*(SQRT($C$2/C2529))</f>
        <v>356.19993138163375</v>
      </c>
      <c r="E2529">
        <v>260</v>
      </c>
      <c r="F2529">
        <v>1215</v>
      </c>
      <c r="G2529">
        <v>2250</v>
      </c>
      <c r="H2529">
        <f>CONVERT(G2529,"HP","kW")</f>
        <v>1677.8247110601083</v>
      </c>
      <c r="I2529">
        <v>0.81330000000000002</v>
      </c>
      <c r="J2529">
        <v>2.2837000000000001</v>
      </c>
      <c r="K2529">
        <v>0.80459999999999998</v>
      </c>
      <c r="L2529">
        <v>0.31659999999999999</v>
      </c>
      <c r="M2529">
        <v>0.1128</v>
      </c>
      <c r="N2529">
        <f>CONVERT(O2529,"lbf","N")</f>
        <v>7446.7678061076031</v>
      </c>
      <c r="O2529">
        <v>1674.1</v>
      </c>
      <c r="P2529">
        <f t="shared" si="39"/>
        <v>0.35628553379658878</v>
      </c>
    </row>
    <row r="2530" spans="1:16" hidden="1" x14ac:dyDescent="0.25">
      <c r="A2530">
        <v>0</v>
      </c>
      <c r="B2530">
        <v>15000</v>
      </c>
      <c r="C2530">
        <f>1.225 * (1 - 0.00000687559 * B2530) ^ 4.2561</f>
        <v>0.77079726910167001</v>
      </c>
      <c r="D2530">
        <f>E2530*(SQRT($C$2/C2530))</f>
        <v>25.213199277533057</v>
      </c>
      <c r="E2530">
        <v>20</v>
      </c>
      <c r="F2530">
        <v>1150</v>
      </c>
      <c r="G2530">
        <v>2250</v>
      </c>
      <c r="H2530">
        <f>CONVERT(G2530,"HP","kW")</f>
        <v>1677.8247110601083</v>
      </c>
      <c r="I2530">
        <v>0.13980000000000001</v>
      </c>
      <c r="J2530">
        <v>0.17080000000000001</v>
      </c>
      <c r="K2530">
        <v>0.50919999999999999</v>
      </c>
      <c r="L2530">
        <v>0.31669999999999998</v>
      </c>
      <c r="M2530">
        <v>0.25929999999999997</v>
      </c>
      <c r="N2530">
        <f>CONVERT(O2530,"lbf","N")</f>
        <v>18090.472487102928</v>
      </c>
      <c r="O2530">
        <v>4066.9</v>
      </c>
      <c r="P2530">
        <f t="shared" si="39"/>
        <v>0.81875592042942846</v>
      </c>
    </row>
    <row r="2531" spans="1:16" hidden="1" x14ac:dyDescent="0.25">
      <c r="A2531">
        <v>0</v>
      </c>
      <c r="B2531">
        <v>20000</v>
      </c>
      <c r="C2531">
        <f>1.225 * (1 - 0.00000687559 * B2531) ^ 4.2561</f>
        <v>0.65267221054298263</v>
      </c>
      <c r="D2531">
        <f>E2531*(SQRT($C$2/C2531))</f>
        <v>0</v>
      </c>
      <c r="E2531">
        <v>0</v>
      </c>
      <c r="F2531">
        <v>1215</v>
      </c>
      <c r="G2531">
        <v>2250</v>
      </c>
      <c r="H2531">
        <f>CONVERT(G2531,"HP","kW")</f>
        <v>1677.8247110601083</v>
      </c>
      <c r="I2531">
        <v>0</v>
      </c>
      <c r="J2531">
        <v>0</v>
      </c>
      <c r="K2531">
        <v>0.54279999999999995</v>
      </c>
      <c r="L2531">
        <v>0.31669999999999998</v>
      </c>
      <c r="M2531">
        <v>0.24729999999999999</v>
      </c>
      <c r="N2531">
        <f>CONVERT(O2531,"lbf","N")</f>
        <v>16324.973328006035</v>
      </c>
      <c r="O2531">
        <v>3670</v>
      </c>
      <c r="P2531">
        <f t="shared" si="39"/>
        <v>0.78086517208714878</v>
      </c>
    </row>
    <row r="2532" spans="1:16" hidden="1" x14ac:dyDescent="0.25">
      <c r="A2532">
        <v>0</v>
      </c>
      <c r="B2532">
        <v>20000</v>
      </c>
      <c r="C2532">
        <f>1.225 * (1 - 0.00000687559 * B2532) ^ 4.2561</f>
        <v>0.65267221054298263</v>
      </c>
      <c r="D2532">
        <f>E2532*(SQRT($C$2/C2532))</f>
        <v>301.39994193830552</v>
      </c>
      <c r="E2532">
        <v>220</v>
      </c>
      <c r="F2532">
        <v>1215</v>
      </c>
      <c r="G2532">
        <v>2250</v>
      </c>
      <c r="H2532">
        <f>CONVERT(G2532,"HP","kW")</f>
        <v>1677.8247110601083</v>
      </c>
      <c r="I2532">
        <v>0.87439999999999996</v>
      </c>
      <c r="J2532">
        <v>1.9323999999999999</v>
      </c>
      <c r="K2532">
        <v>0.74280000000000002</v>
      </c>
      <c r="L2532">
        <v>0.31669999999999998</v>
      </c>
      <c r="M2532">
        <v>0.14330000000000001</v>
      </c>
      <c r="N2532">
        <f>CONVERT(O2532,"lbf","N")</f>
        <v>9461.8121978206091</v>
      </c>
      <c r="O2532">
        <v>2127.1</v>
      </c>
      <c r="P2532">
        <f t="shared" si="39"/>
        <v>0.45247868645405753</v>
      </c>
    </row>
    <row r="2533" spans="1:16" hidden="1" x14ac:dyDescent="0.25">
      <c r="A2533">
        <v>0</v>
      </c>
      <c r="B2533">
        <v>20000</v>
      </c>
      <c r="C2533">
        <f>1.225 * (1 - 0.00000687559 * B2533) ^ 4.2561</f>
        <v>0.65267221054298263</v>
      </c>
      <c r="D2533">
        <f>E2533*(SQRT($C$2/C2533))</f>
        <v>219.19995777331309</v>
      </c>
      <c r="E2533">
        <v>160</v>
      </c>
      <c r="F2533">
        <v>1215</v>
      </c>
      <c r="G2533">
        <v>2250</v>
      </c>
      <c r="H2533">
        <f>CONVERT(G2533,"HP","kW")</f>
        <v>1677.8247110601083</v>
      </c>
      <c r="I2533">
        <v>0.85160000000000002</v>
      </c>
      <c r="J2533">
        <v>1.4054</v>
      </c>
      <c r="K2533">
        <v>0.6613</v>
      </c>
      <c r="L2533">
        <v>0.31680000000000003</v>
      </c>
      <c r="M2533">
        <v>0.192</v>
      </c>
      <c r="N2533">
        <f>CONVERT(O2533,"lbf","N")</f>
        <v>12671.204093231061</v>
      </c>
      <c r="O2533">
        <v>2848.6</v>
      </c>
      <c r="P2533">
        <f t="shared" si="39"/>
        <v>0.60606060606060608</v>
      </c>
    </row>
    <row r="2534" spans="1:16" hidden="1" x14ac:dyDescent="0.25">
      <c r="A2534">
        <v>0</v>
      </c>
      <c r="B2534">
        <v>20000</v>
      </c>
      <c r="C2534">
        <f>1.225 * (1 - 0.00000687559 * B2534) ^ 4.2561</f>
        <v>0.65267221054298263</v>
      </c>
      <c r="D2534">
        <f>E2534*(SQRT($C$2/C2534))</f>
        <v>54.799989443328272</v>
      </c>
      <c r="E2534">
        <v>40</v>
      </c>
      <c r="F2534">
        <v>1215</v>
      </c>
      <c r="G2534">
        <v>2250</v>
      </c>
      <c r="H2534">
        <f>CONVERT(G2534,"HP","kW")</f>
        <v>1677.8247110601083</v>
      </c>
      <c r="I2534">
        <v>0.30259999999999998</v>
      </c>
      <c r="J2534">
        <v>0.3513</v>
      </c>
      <c r="K2534">
        <v>0.55659999999999998</v>
      </c>
      <c r="L2534">
        <v>0.31690000000000002</v>
      </c>
      <c r="M2534">
        <v>0.27289999999999998</v>
      </c>
      <c r="N2534">
        <f>CONVERT(O2534,"lbf","N")</f>
        <v>18007.290742897556</v>
      </c>
      <c r="O2534">
        <v>4048.2</v>
      </c>
      <c r="P2534">
        <f t="shared" si="39"/>
        <v>0.86115493846639302</v>
      </c>
    </row>
    <row r="2535" spans="1:16" hidden="1" x14ac:dyDescent="0.25">
      <c r="A2535">
        <v>0</v>
      </c>
      <c r="B2535">
        <v>20000</v>
      </c>
      <c r="C2535">
        <f>1.225 * (1 - 0.00000687559 * B2535) ^ 4.2561</f>
        <v>0.65267221054298263</v>
      </c>
      <c r="D2535">
        <f>E2535*(SQRT($C$2/C2535))</f>
        <v>82.199984164992401</v>
      </c>
      <c r="E2535">
        <v>60</v>
      </c>
      <c r="F2535">
        <v>1215</v>
      </c>
      <c r="G2535">
        <v>2250</v>
      </c>
      <c r="H2535">
        <f>CONVERT(G2535,"HP","kW")</f>
        <v>1677.8247110601083</v>
      </c>
      <c r="I2535">
        <v>0.48409999999999997</v>
      </c>
      <c r="J2535">
        <v>0.52700000000000002</v>
      </c>
      <c r="K2535">
        <v>0.56710000000000005</v>
      </c>
      <c r="L2535">
        <v>0.31690000000000002</v>
      </c>
      <c r="M2535">
        <v>0.29110000000000003</v>
      </c>
      <c r="N2535">
        <f>CONVERT(O2535,"lbf","N")</f>
        <v>19208.75540117942</v>
      </c>
      <c r="O2535">
        <v>4318.3</v>
      </c>
      <c r="P2535">
        <f t="shared" si="39"/>
        <v>0.9185863048280215</v>
      </c>
    </row>
    <row r="2536" spans="1:16" hidden="1" x14ac:dyDescent="0.25">
      <c r="A2536">
        <v>0</v>
      </c>
      <c r="B2536">
        <v>20000</v>
      </c>
      <c r="C2536">
        <f>1.225 * (1 - 0.00000687559 * B2536) ^ 4.2561</f>
        <v>0.65267221054298263</v>
      </c>
      <c r="D2536">
        <f>E2536*(SQRT($C$2/C2536))</f>
        <v>109.59997888665654</v>
      </c>
      <c r="E2536">
        <v>80</v>
      </c>
      <c r="F2536">
        <v>1215</v>
      </c>
      <c r="G2536">
        <v>2250</v>
      </c>
      <c r="H2536">
        <f>CONVERT(G2536,"HP","kW")</f>
        <v>1677.8247110601083</v>
      </c>
      <c r="I2536">
        <v>0.63529999999999998</v>
      </c>
      <c r="J2536">
        <v>0.70269999999999999</v>
      </c>
      <c r="K2536">
        <v>0.58089999999999997</v>
      </c>
      <c r="L2536">
        <v>0.31690000000000002</v>
      </c>
      <c r="M2536">
        <v>0.28649999999999998</v>
      </c>
      <c r="N2536">
        <f>CONVERT(O2536,"lbf","N")</f>
        <v>18904.941864857126</v>
      </c>
      <c r="O2536">
        <v>4250</v>
      </c>
      <c r="P2536">
        <f t="shared" si="39"/>
        <v>0.90407068475859886</v>
      </c>
    </row>
    <row r="2537" spans="1:16" hidden="1" x14ac:dyDescent="0.25">
      <c r="A2537">
        <v>0</v>
      </c>
      <c r="B2537">
        <v>20000</v>
      </c>
      <c r="C2537">
        <f>1.225 * (1 - 0.00000687559 * B2537) ^ 4.2561</f>
        <v>0.65267221054298263</v>
      </c>
      <c r="D2537">
        <f>E2537*(SQRT($C$2/C2537))</f>
        <v>136.99997360832069</v>
      </c>
      <c r="E2537">
        <v>100</v>
      </c>
      <c r="F2537">
        <v>1215</v>
      </c>
      <c r="G2537">
        <v>2250</v>
      </c>
      <c r="H2537">
        <f>CONVERT(G2537,"HP","kW")</f>
        <v>1677.8247110601083</v>
      </c>
      <c r="I2537">
        <v>0.72960000000000003</v>
      </c>
      <c r="J2537">
        <v>0.87829999999999997</v>
      </c>
      <c r="K2537">
        <v>0.59760000000000002</v>
      </c>
      <c r="L2537">
        <v>0.31690000000000002</v>
      </c>
      <c r="M2537">
        <v>0.26329999999999998</v>
      </c>
      <c r="N2537">
        <f>CONVERT(O2537,"lbf","N")</f>
        <v>17370.305407592252</v>
      </c>
      <c r="O2537">
        <v>3905</v>
      </c>
      <c r="P2537">
        <f t="shared" si="39"/>
        <v>0.83086147049542436</v>
      </c>
    </row>
    <row r="2538" spans="1:16" hidden="1" x14ac:dyDescent="0.25">
      <c r="A2538">
        <v>0</v>
      </c>
      <c r="B2538">
        <v>20000</v>
      </c>
      <c r="C2538">
        <f>1.225 * (1 - 0.00000687559 * B2538) ^ 4.2561</f>
        <v>0.65267221054298263</v>
      </c>
      <c r="D2538">
        <f>E2538*(SQRT($C$2/C2538))</f>
        <v>191.79996305164894</v>
      </c>
      <c r="E2538">
        <v>140</v>
      </c>
      <c r="F2538">
        <v>1215</v>
      </c>
      <c r="G2538">
        <v>2250</v>
      </c>
      <c r="H2538">
        <f>CONVERT(G2538,"HP","kW")</f>
        <v>1677.8247110601083</v>
      </c>
      <c r="I2538">
        <v>0.8246</v>
      </c>
      <c r="J2538">
        <v>1.2297</v>
      </c>
      <c r="K2538">
        <v>0.63800000000000001</v>
      </c>
      <c r="L2538">
        <v>0.31690000000000002</v>
      </c>
      <c r="M2538">
        <v>0.21249999999999999</v>
      </c>
      <c r="N2538">
        <f>CONVERT(O2538,"lbf","N")</f>
        <v>14022.5738199472</v>
      </c>
      <c r="O2538">
        <v>3152.4</v>
      </c>
      <c r="P2538">
        <f t="shared" si="39"/>
        <v>0.67055853581571467</v>
      </c>
    </row>
    <row r="2539" spans="1:16" hidden="1" x14ac:dyDescent="0.25">
      <c r="A2539">
        <v>0</v>
      </c>
      <c r="B2539">
        <v>20000</v>
      </c>
      <c r="C2539">
        <f>1.225 * (1 - 0.00000687559 * B2539) ^ 4.2561</f>
        <v>0.65267221054298263</v>
      </c>
      <c r="D2539">
        <f>E2539*(SQRT($C$2/C2539))</f>
        <v>246.59995249497723</v>
      </c>
      <c r="E2539">
        <v>180</v>
      </c>
      <c r="F2539">
        <v>1215</v>
      </c>
      <c r="G2539">
        <v>2250</v>
      </c>
      <c r="H2539">
        <f>CONVERT(G2539,"HP","kW")</f>
        <v>1677.8247110601083</v>
      </c>
      <c r="I2539">
        <v>0.87050000000000005</v>
      </c>
      <c r="J2539">
        <v>1.581</v>
      </c>
      <c r="K2539">
        <v>0.68669999999999998</v>
      </c>
      <c r="L2539">
        <v>0.31690000000000002</v>
      </c>
      <c r="M2539">
        <v>0.17449999999999999</v>
      </c>
      <c r="N2539">
        <f>CONVERT(O2539,"lbf","N")</f>
        <v>11513.332006778754</v>
      </c>
      <c r="O2539">
        <v>2588.3000000000002</v>
      </c>
      <c r="P2539">
        <f t="shared" si="39"/>
        <v>0.55064689176396331</v>
      </c>
    </row>
    <row r="2540" spans="1:16" hidden="1" x14ac:dyDescent="0.25">
      <c r="A2540">
        <v>0</v>
      </c>
      <c r="B2540">
        <v>20000</v>
      </c>
      <c r="C2540">
        <f>1.225 * (1 - 0.00000687559 * B2540) ^ 4.2561</f>
        <v>0.65267221054298263</v>
      </c>
      <c r="D2540">
        <f>E2540*(SQRT($C$2/C2540))</f>
        <v>273.99994721664137</v>
      </c>
      <c r="E2540">
        <v>200</v>
      </c>
      <c r="F2540">
        <v>1215</v>
      </c>
      <c r="G2540">
        <v>2250</v>
      </c>
      <c r="H2540">
        <f>CONVERT(G2540,"HP","kW")</f>
        <v>1677.8247110601083</v>
      </c>
      <c r="I2540">
        <v>0.87990000000000002</v>
      </c>
      <c r="J2540">
        <v>1.7566999999999999</v>
      </c>
      <c r="K2540">
        <v>0.71389999999999998</v>
      </c>
      <c r="L2540">
        <v>0.31690000000000002</v>
      </c>
      <c r="M2540">
        <v>0.15870000000000001</v>
      </c>
      <c r="N2540">
        <f>CONVERT(O2540,"lbf","N")</f>
        <v>10474.227437453899</v>
      </c>
      <c r="O2540">
        <v>2354.6999999999998</v>
      </c>
      <c r="P2540">
        <f t="shared" si="39"/>
        <v>0.50078889239507729</v>
      </c>
    </row>
    <row r="2541" spans="1:16" hidden="1" x14ac:dyDescent="0.25">
      <c r="A2541">
        <v>0</v>
      </c>
      <c r="B2541">
        <v>20000</v>
      </c>
      <c r="C2541">
        <f>1.225 * (1 - 0.00000687559 * B2541) ^ 4.2561</f>
        <v>0.65267221054298263</v>
      </c>
      <c r="D2541">
        <f>E2541*(SQRT($C$2/C2541))</f>
        <v>328.7999366599696</v>
      </c>
      <c r="E2541">
        <v>240</v>
      </c>
      <c r="F2541">
        <v>1215</v>
      </c>
      <c r="G2541">
        <v>2250</v>
      </c>
      <c r="H2541">
        <f>CONVERT(G2541,"HP","kW")</f>
        <v>1677.8247110601083</v>
      </c>
      <c r="I2541">
        <v>0.85780000000000001</v>
      </c>
      <c r="J2541">
        <v>2.1080000000000001</v>
      </c>
      <c r="K2541">
        <v>0.77300000000000002</v>
      </c>
      <c r="L2541">
        <v>0.31690000000000002</v>
      </c>
      <c r="M2541">
        <v>0.12889999999999999</v>
      </c>
      <c r="N2541">
        <f>CONVERT(O2541,"lbf","N")</f>
        <v>8508.5583056702835</v>
      </c>
      <c r="O2541">
        <v>1912.8</v>
      </c>
      <c r="P2541">
        <f t="shared" si="39"/>
        <v>0.40675291890186172</v>
      </c>
    </row>
    <row r="2542" spans="1:16" hidden="1" x14ac:dyDescent="0.25">
      <c r="A2542">
        <v>0</v>
      </c>
      <c r="B2542">
        <v>20000</v>
      </c>
      <c r="C2542">
        <f>1.225 * (1 - 0.00000687559 * B2542) ^ 4.2561</f>
        <v>0.65267221054298263</v>
      </c>
      <c r="D2542">
        <f>E2542*(SQRT($C$2/C2542))</f>
        <v>27.399994721664136</v>
      </c>
      <c r="E2542">
        <v>20</v>
      </c>
      <c r="F2542">
        <v>1215</v>
      </c>
      <c r="G2542">
        <v>2250</v>
      </c>
      <c r="H2542">
        <f>CONVERT(G2542,"HP","kW")</f>
        <v>1677.8247110601083</v>
      </c>
      <c r="I2542">
        <v>0.1431</v>
      </c>
      <c r="J2542">
        <v>0.1757</v>
      </c>
      <c r="K2542">
        <v>0.54859999999999998</v>
      </c>
      <c r="L2542">
        <v>0.317</v>
      </c>
      <c r="M2542">
        <v>0.25829999999999997</v>
      </c>
      <c r="N2542">
        <f>CONVERT(O2542,"lbf","N")</f>
        <v>17035.799142124666</v>
      </c>
      <c r="O2542">
        <v>3829.8</v>
      </c>
      <c r="P2542">
        <f t="shared" si="39"/>
        <v>0.81482649842271282</v>
      </c>
    </row>
    <row r="2543" spans="1:16" hidden="1" x14ac:dyDescent="0.25">
      <c r="A2543">
        <v>0</v>
      </c>
      <c r="B2543">
        <v>20000</v>
      </c>
      <c r="C2543">
        <f>1.225 * (1 - 0.00000687559 * B2543) ^ 4.2561</f>
        <v>0.65267221054298263</v>
      </c>
      <c r="D2543">
        <f>E2543*(SQRT($C$2/C2543))</f>
        <v>164.3999683299848</v>
      </c>
      <c r="E2543">
        <v>120</v>
      </c>
      <c r="F2543">
        <v>1215</v>
      </c>
      <c r="G2543">
        <v>2250</v>
      </c>
      <c r="H2543">
        <f>CONVERT(G2543,"HP","kW")</f>
        <v>1677.8247110601083</v>
      </c>
      <c r="I2543">
        <v>0.78600000000000003</v>
      </c>
      <c r="J2543">
        <v>1.054</v>
      </c>
      <c r="K2543">
        <v>0.61670000000000003</v>
      </c>
      <c r="L2543">
        <v>0.317</v>
      </c>
      <c r="M2543">
        <v>0.2364</v>
      </c>
      <c r="N2543">
        <f>CONVERT(O2543,"lbf","N")</f>
        <v>15593.685694457208</v>
      </c>
      <c r="O2543">
        <v>3505.6</v>
      </c>
      <c r="P2543">
        <f t="shared" si="39"/>
        <v>0.74574132492113565</v>
      </c>
    </row>
    <row r="2544" spans="1:16" hidden="1" x14ac:dyDescent="0.25">
      <c r="A2544">
        <v>0</v>
      </c>
      <c r="B2544">
        <v>5000</v>
      </c>
      <c r="C2544">
        <f>1.225 * (1 - 0.00000687559 * B2544) ^ 4.2561</f>
        <v>1.0555380742846066</v>
      </c>
      <c r="D2544">
        <f>E2544*(SQRT($C$2/C2544))</f>
        <v>280.09440947918529</v>
      </c>
      <c r="E2544">
        <v>260</v>
      </c>
      <c r="F2544">
        <v>987</v>
      </c>
      <c r="G2544">
        <v>2000</v>
      </c>
      <c r="H2544">
        <f>CONVERT(G2544,"HP","kW")</f>
        <v>1491.3997431645405</v>
      </c>
      <c r="I2544">
        <v>0.89429999999999998</v>
      </c>
      <c r="J2544">
        <v>2.2105999999999999</v>
      </c>
      <c r="K2544">
        <v>0.60760000000000003</v>
      </c>
      <c r="L2544">
        <v>0.3246</v>
      </c>
      <c r="M2544">
        <v>0.1313</v>
      </c>
      <c r="N2544">
        <f>CONVERT(O2544,"lbf","N")</f>
        <v>9256.3043591955739</v>
      </c>
      <c r="O2544">
        <v>2080.9</v>
      </c>
      <c r="P2544">
        <f t="shared" si="39"/>
        <v>0.40449784349969192</v>
      </c>
    </row>
    <row r="2545" spans="1:16" hidden="1" x14ac:dyDescent="0.25">
      <c r="A2545">
        <v>0</v>
      </c>
      <c r="B2545">
        <v>5000</v>
      </c>
      <c r="C2545">
        <f>1.225 * (1 - 0.00000687559 * B2545) ^ 4.2561</f>
        <v>1.0555380742846066</v>
      </c>
      <c r="D2545">
        <f>E2545*(SQRT($C$2/C2545))</f>
        <v>0</v>
      </c>
      <c r="E2545">
        <v>0</v>
      </c>
      <c r="F2545">
        <v>987</v>
      </c>
      <c r="G2545">
        <v>2000</v>
      </c>
      <c r="H2545">
        <f>CONVERT(G2545,"HP","kW")</f>
        <v>1491.3997431645405</v>
      </c>
      <c r="I2545">
        <v>0</v>
      </c>
      <c r="J2545">
        <v>0</v>
      </c>
      <c r="K2545">
        <v>0.41720000000000002</v>
      </c>
      <c r="L2545">
        <v>0.32490000000000002</v>
      </c>
      <c r="M2545">
        <v>0.24079999999999999</v>
      </c>
      <c r="N2545">
        <f>CONVERT(O2545,"lbf","N")</f>
        <v>16958.844908180658</v>
      </c>
      <c r="O2545">
        <v>3812.5</v>
      </c>
      <c r="P2545">
        <f t="shared" si="39"/>
        <v>0.74115112342259148</v>
      </c>
    </row>
    <row r="2546" spans="1:16" hidden="1" x14ac:dyDescent="0.25">
      <c r="A2546">
        <v>0</v>
      </c>
      <c r="B2546">
        <v>5000</v>
      </c>
      <c r="C2546">
        <f>1.225 * (1 - 0.00000687559 * B2546) ^ 4.2561</f>
        <v>1.0555380742846066</v>
      </c>
      <c r="D2546">
        <f>E2546*(SQRT($C$2/C2546))</f>
        <v>21.545723806091175</v>
      </c>
      <c r="E2546">
        <v>20</v>
      </c>
      <c r="F2546">
        <v>987</v>
      </c>
      <c r="G2546">
        <v>2000</v>
      </c>
      <c r="H2546">
        <f>CONVERT(G2546,"HP","kW")</f>
        <v>1491.3997431645405</v>
      </c>
      <c r="I2546">
        <v>0.13350000000000001</v>
      </c>
      <c r="J2546">
        <v>0.17</v>
      </c>
      <c r="K2546">
        <v>0.42130000000000001</v>
      </c>
      <c r="L2546">
        <v>0.32490000000000002</v>
      </c>
      <c r="M2546">
        <v>0.255</v>
      </c>
      <c r="N2546">
        <f>CONVERT(O2546,"lbf","N")</f>
        <v>17956.581016483589</v>
      </c>
      <c r="O2546">
        <v>4036.8</v>
      </c>
      <c r="P2546">
        <f t="shared" si="39"/>
        <v>0.78485687903970447</v>
      </c>
    </row>
    <row r="2547" spans="1:16" hidden="1" x14ac:dyDescent="0.25">
      <c r="A2547">
        <v>0</v>
      </c>
      <c r="B2547">
        <v>5000</v>
      </c>
      <c r="C2547">
        <f>1.225 * (1 - 0.00000687559 * B2547) ^ 4.2561</f>
        <v>1.0555380742846066</v>
      </c>
      <c r="D2547">
        <f>E2547*(SQRT($C$2/C2547))</f>
        <v>43.09144761218235</v>
      </c>
      <c r="E2547">
        <v>40</v>
      </c>
      <c r="F2547">
        <v>987</v>
      </c>
      <c r="G2547">
        <v>2000</v>
      </c>
      <c r="H2547">
        <f>CONVERT(G2547,"HP","kW")</f>
        <v>1491.3997431645405</v>
      </c>
      <c r="I2547">
        <v>0.28399999999999997</v>
      </c>
      <c r="J2547">
        <v>0.34010000000000001</v>
      </c>
      <c r="K2547">
        <v>0.42699999999999999</v>
      </c>
      <c r="L2547">
        <v>0.32490000000000002</v>
      </c>
      <c r="M2547">
        <v>0.27129999999999999</v>
      </c>
      <c r="N2547">
        <f>CONVERT(O2547,"lbf","N")</f>
        <v>19107.33594835148</v>
      </c>
      <c r="O2547">
        <v>4295.5</v>
      </c>
      <c r="P2547">
        <f t="shared" si="39"/>
        <v>0.8350261618959679</v>
      </c>
    </row>
    <row r="2548" spans="1:16" hidden="1" x14ac:dyDescent="0.25">
      <c r="A2548">
        <v>0</v>
      </c>
      <c r="B2548">
        <v>5000</v>
      </c>
      <c r="C2548">
        <f>1.225 * (1 - 0.00000687559 * B2548) ^ 4.2561</f>
        <v>1.0555380742846066</v>
      </c>
      <c r="D2548">
        <f>E2548*(SQRT($C$2/C2548))</f>
        <v>150.82006664263821</v>
      </c>
      <c r="E2548">
        <v>140</v>
      </c>
      <c r="F2548">
        <v>987</v>
      </c>
      <c r="G2548">
        <v>2000</v>
      </c>
      <c r="H2548">
        <f>CONVERT(G2548,"HP","kW")</f>
        <v>1491.3997431645405</v>
      </c>
      <c r="I2548">
        <v>0.81759999999999999</v>
      </c>
      <c r="J2548">
        <v>1.1902999999999999</v>
      </c>
      <c r="K2548">
        <v>0.48599999999999999</v>
      </c>
      <c r="L2548">
        <v>0.32490000000000002</v>
      </c>
      <c r="M2548">
        <v>0.22320000000000001</v>
      </c>
      <c r="N2548">
        <f>CONVERT(O2548,"lbf","N")</f>
        <v>15715.122144553821</v>
      </c>
      <c r="O2548">
        <v>3532.9</v>
      </c>
      <c r="P2548">
        <f t="shared" si="39"/>
        <v>0.68698060941828254</v>
      </c>
    </row>
    <row r="2549" spans="1:16" hidden="1" x14ac:dyDescent="0.25">
      <c r="A2549">
        <v>0</v>
      </c>
      <c r="B2549">
        <v>5000</v>
      </c>
      <c r="C2549">
        <f>1.225 * (1 - 0.00000687559 * B2549) ^ 4.2561</f>
        <v>1.0555380742846066</v>
      </c>
      <c r="D2549">
        <f>E2549*(SQRT($C$2/C2549))</f>
        <v>172.3657904487294</v>
      </c>
      <c r="E2549">
        <v>160</v>
      </c>
      <c r="F2549">
        <v>987</v>
      </c>
      <c r="G2549">
        <v>2000</v>
      </c>
      <c r="H2549">
        <f>CONVERT(G2549,"HP","kW")</f>
        <v>1491.3997431645405</v>
      </c>
      <c r="I2549">
        <v>0.84609999999999996</v>
      </c>
      <c r="J2549">
        <v>1.3604000000000001</v>
      </c>
      <c r="K2549">
        <v>0.503</v>
      </c>
      <c r="L2549">
        <v>0.32490000000000002</v>
      </c>
      <c r="M2549">
        <v>0.2021</v>
      </c>
      <c r="N2549">
        <f>CONVERT(O2549,"lbf","N")</f>
        <v>14231.640235864445</v>
      </c>
      <c r="O2549">
        <v>3199.4</v>
      </c>
      <c r="P2549">
        <f t="shared" si="39"/>
        <v>0.6220375500153893</v>
      </c>
    </row>
    <row r="2550" spans="1:16" hidden="1" x14ac:dyDescent="0.25">
      <c r="A2550">
        <v>0</v>
      </c>
      <c r="B2550">
        <v>5000</v>
      </c>
      <c r="C2550">
        <f>1.225 * (1 - 0.00000687559 * B2550) ^ 4.2561</f>
        <v>1.0555380742846066</v>
      </c>
      <c r="D2550">
        <f>E2550*(SQRT($C$2/C2550))</f>
        <v>193.91151425482059</v>
      </c>
      <c r="E2550">
        <v>180</v>
      </c>
      <c r="F2550">
        <v>987</v>
      </c>
      <c r="G2550">
        <v>2000</v>
      </c>
      <c r="H2550">
        <f>CONVERT(G2550,"HP","kW")</f>
        <v>1491.3997431645405</v>
      </c>
      <c r="I2550">
        <v>0.86609999999999998</v>
      </c>
      <c r="J2550">
        <v>1.5304</v>
      </c>
      <c r="K2550">
        <v>0.52149999999999996</v>
      </c>
      <c r="L2550">
        <v>0.32490000000000002</v>
      </c>
      <c r="M2550">
        <v>0.18390000000000001</v>
      </c>
      <c r="N2550">
        <f>CONVERT(O2550,"lbf","N")</f>
        <v>12948.773122023316</v>
      </c>
      <c r="O2550">
        <v>2911</v>
      </c>
      <c r="P2550">
        <f t="shared" si="39"/>
        <v>0.56602031394275165</v>
      </c>
    </row>
    <row r="2551" spans="1:16" hidden="1" x14ac:dyDescent="0.25">
      <c r="A2551">
        <v>0</v>
      </c>
      <c r="B2551">
        <v>5000</v>
      </c>
      <c r="C2551">
        <f>1.225 * (1 - 0.00000687559 * B2551) ^ 4.2561</f>
        <v>1.0555380742846066</v>
      </c>
      <c r="D2551">
        <f>E2551*(SQRT($C$2/C2551))</f>
        <v>215.45723806091175</v>
      </c>
      <c r="E2551">
        <v>200</v>
      </c>
      <c r="F2551">
        <v>987</v>
      </c>
      <c r="G2551">
        <v>2000</v>
      </c>
      <c r="H2551">
        <f>CONVERT(G2551,"HP","kW")</f>
        <v>1491.3997431645405</v>
      </c>
      <c r="I2551">
        <v>0.87970000000000004</v>
      </c>
      <c r="J2551">
        <v>1.7004999999999999</v>
      </c>
      <c r="K2551">
        <v>0.5413</v>
      </c>
      <c r="L2551">
        <v>0.32490000000000002</v>
      </c>
      <c r="M2551">
        <v>0.1681</v>
      </c>
      <c r="N2551">
        <f>CONVERT(O2551,"lbf","N")</f>
        <v>11837.162540369716</v>
      </c>
      <c r="O2551">
        <v>2661.1</v>
      </c>
      <c r="P2551">
        <f t="shared" si="39"/>
        <v>0.51738996614342869</v>
      </c>
    </row>
    <row r="2552" spans="1:16" hidden="1" x14ac:dyDescent="0.25">
      <c r="A2552">
        <v>0</v>
      </c>
      <c r="B2552">
        <v>5000</v>
      </c>
      <c r="C2552">
        <f>1.225 * (1 - 0.00000687559 * B2552) ^ 4.2561</f>
        <v>1.0555380742846066</v>
      </c>
      <c r="D2552">
        <f>E2552*(SQRT($C$2/C2552))</f>
        <v>64.637171418273525</v>
      </c>
      <c r="E2552">
        <v>60</v>
      </c>
      <c r="F2552">
        <v>987</v>
      </c>
      <c r="G2552">
        <v>2000</v>
      </c>
      <c r="H2552">
        <f>CONVERT(G2552,"HP","kW")</f>
        <v>1491.3997431645405</v>
      </c>
      <c r="I2552">
        <v>0.45700000000000002</v>
      </c>
      <c r="J2552">
        <v>0.5101</v>
      </c>
      <c r="K2552">
        <v>0.43459999999999999</v>
      </c>
      <c r="L2552">
        <v>0.32500000000000001</v>
      </c>
      <c r="M2552">
        <v>0.29110000000000003</v>
      </c>
      <c r="N2552">
        <f>CONVERT(O2552,"lbf","N")</f>
        <v>20495.625914474283</v>
      </c>
      <c r="O2552">
        <v>4607.6000000000004</v>
      </c>
      <c r="P2552">
        <f t="shared" si="39"/>
        <v>0.89569230769230779</v>
      </c>
    </row>
    <row r="2553" spans="1:16" hidden="1" x14ac:dyDescent="0.25">
      <c r="A2553">
        <v>0</v>
      </c>
      <c r="B2553">
        <v>5000</v>
      </c>
      <c r="C2553">
        <f>1.225 * (1 - 0.00000687559 * B2553) ^ 4.2561</f>
        <v>1.0555380742846066</v>
      </c>
      <c r="D2553">
        <f>E2553*(SQRT($C$2/C2553))</f>
        <v>107.72861903045587</v>
      </c>
      <c r="E2553">
        <v>100</v>
      </c>
      <c r="F2553">
        <v>987</v>
      </c>
      <c r="G2553">
        <v>2000</v>
      </c>
      <c r="H2553">
        <f>CONVERT(G2553,"HP","kW")</f>
        <v>1491.3997431645405</v>
      </c>
      <c r="I2553">
        <v>0.71989999999999998</v>
      </c>
      <c r="J2553">
        <v>0.85019999999999996</v>
      </c>
      <c r="K2553">
        <v>0.45660000000000001</v>
      </c>
      <c r="L2553">
        <v>0.32500000000000001</v>
      </c>
      <c r="M2553">
        <v>0.27510000000000001</v>
      </c>
      <c r="N2553">
        <f>CONVERT(O2553,"lbf","N")</f>
        <v>19372.005134459479</v>
      </c>
      <c r="O2553">
        <v>4355</v>
      </c>
      <c r="P2553">
        <f t="shared" si="39"/>
        <v>0.84646153846153849</v>
      </c>
    </row>
    <row r="2554" spans="1:16" hidden="1" x14ac:dyDescent="0.25">
      <c r="A2554">
        <v>0</v>
      </c>
      <c r="B2554">
        <v>5000</v>
      </c>
      <c r="C2554">
        <f>1.225 * (1 - 0.00000687559 * B2554) ^ 4.2561</f>
        <v>1.0555380742846066</v>
      </c>
      <c r="D2554">
        <f>E2554*(SQRT($C$2/C2554))</f>
        <v>129.27434283654705</v>
      </c>
      <c r="E2554">
        <v>120</v>
      </c>
      <c r="F2554">
        <v>987</v>
      </c>
      <c r="G2554">
        <v>2000</v>
      </c>
      <c r="H2554">
        <f>CONVERT(G2554,"HP","kW")</f>
        <v>1491.3997431645405</v>
      </c>
      <c r="I2554">
        <v>0.77710000000000001</v>
      </c>
      <c r="J2554">
        <v>1.0203</v>
      </c>
      <c r="K2554">
        <v>0.47049999999999997</v>
      </c>
      <c r="L2554">
        <v>0.32500000000000001</v>
      </c>
      <c r="M2554">
        <v>0.2475</v>
      </c>
      <c r="N2554">
        <f>CONVERT(O2554,"lbf","N")</f>
        <v>17425.908177783011</v>
      </c>
      <c r="O2554">
        <v>3917.5</v>
      </c>
      <c r="P2554">
        <f t="shared" si="39"/>
        <v>0.7615384615384615</v>
      </c>
    </row>
    <row r="2555" spans="1:16" hidden="1" x14ac:dyDescent="0.25">
      <c r="A2555">
        <v>0</v>
      </c>
      <c r="B2555">
        <v>5000</v>
      </c>
      <c r="C2555">
        <f>1.225 * (1 - 0.00000687559 * B2555) ^ 4.2561</f>
        <v>1.0555380742846066</v>
      </c>
      <c r="D2555">
        <f>E2555*(SQRT($C$2/C2555))</f>
        <v>237.00296186700291</v>
      </c>
      <c r="E2555">
        <v>220</v>
      </c>
      <c r="F2555">
        <v>987</v>
      </c>
      <c r="G2555">
        <v>2000</v>
      </c>
      <c r="H2555">
        <f>CONVERT(G2555,"HP","kW")</f>
        <v>1491.3997431645405</v>
      </c>
      <c r="I2555">
        <v>0.88839999999999997</v>
      </c>
      <c r="J2555">
        <v>1.8705000000000001</v>
      </c>
      <c r="K2555">
        <v>0.56230000000000002</v>
      </c>
      <c r="L2555">
        <v>0.32500000000000001</v>
      </c>
      <c r="M2555">
        <v>0.15429999999999999</v>
      </c>
      <c r="N2555">
        <f>CONVERT(O2555,"lbf","N")</f>
        <v>10867.450228242926</v>
      </c>
      <c r="O2555">
        <v>2443.1</v>
      </c>
      <c r="P2555">
        <f t="shared" si="39"/>
        <v>0.47476923076923072</v>
      </c>
    </row>
    <row r="2556" spans="1:16" hidden="1" x14ac:dyDescent="0.25">
      <c r="A2556">
        <v>0</v>
      </c>
      <c r="B2556">
        <v>5000</v>
      </c>
      <c r="C2556">
        <f>1.225 * (1 - 0.00000687559 * B2556) ^ 4.2561</f>
        <v>1.0555380742846066</v>
      </c>
      <c r="D2556">
        <f>E2556*(SQRT($C$2/C2556))</f>
        <v>258.5486856730941</v>
      </c>
      <c r="E2556">
        <v>240</v>
      </c>
      <c r="F2556">
        <v>987</v>
      </c>
      <c r="G2556">
        <v>2000</v>
      </c>
      <c r="H2556">
        <f>CONVERT(G2556,"HP","kW")</f>
        <v>1491.3997431645405</v>
      </c>
      <c r="I2556">
        <v>0.8931</v>
      </c>
      <c r="J2556">
        <v>2.0406</v>
      </c>
      <c r="K2556">
        <v>0.58450000000000002</v>
      </c>
      <c r="L2556">
        <v>0.32500000000000001</v>
      </c>
      <c r="M2556">
        <v>0.14219999999999999</v>
      </c>
      <c r="N2556">
        <f>CONVERT(O2556,"lbf","N")</f>
        <v>10014.281322435965</v>
      </c>
      <c r="O2556">
        <v>2251.3000000000002</v>
      </c>
      <c r="P2556">
        <f t="shared" si="39"/>
        <v>0.43753846153846149</v>
      </c>
    </row>
    <row r="2557" spans="1:16" hidden="1" x14ac:dyDescent="0.25">
      <c r="A2557">
        <v>0</v>
      </c>
      <c r="B2557">
        <v>5000</v>
      </c>
      <c r="C2557">
        <f>1.225 * (1 - 0.00000687559 * B2557) ^ 4.2561</f>
        <v>1.0555380742846066</v>
      </c>
      <c r="D2557">
        <f>E2557*(SQRT($C$2/C2557))</f>
        <v>86.1828952243647</v>
      </c>
      <c r="E2557">
        <v>80</v>
      </c>
      <c r="F2557">
        <v>987</v>
      </c>
      <c r="G2557">
        <v>2000</v>
      </c>
      <c r="H2557">
        <f>CONVERT(G2557,"HP","kW")</f>
        <v>1491.3997431645405</v>
      </c>
      <c r="I2557">
        <v>0.62319999999999998</v>
      </c>
      <c r="J2557">
        <v>0.68020000000000003</v>
      </c>
      <c r="K2557">
        <v>0.44440000000000002</v>
      </c>
      <c r="L2557">
        <v>0.32529999999999998</v>
      </c>
      <c r="M2557">
        <v>0.29799999999999999</v>
      </c>
      <c r="N2557">
        <f>CONVERT(O2557,"lbf","N")</f>
        <v>20962.244361915105</v>
      </c>
      <c r="O2557">
        <v>4712.5</v>
      </c>
      <c r="P2557">
        <f t="shared" si="39"/>
        <v>0.91607746695358128</v>
      </c>
    </row>
    <row r="2558" spans="1:16" hidden="1" x14ac:dyDescent="0.25">
      <c r="A2558">
        <v>0</v>
      </c>
      <c r="B2558">
        <v>15000</v>
      </c>
      <c r="C2558">
        <f>1.225 * (1 - 0.00000687559 * B2558) ^ 4.2561</f>
        <v>0.77079726910167001</v>
      </c>
      <c r="D2558">
        <f>E2558*(SQRT($C$2/C2558))</f>
        <v>302.55839133039672</v>
      </c>
      <c r="E2558">
        <v>240</v>
      </c>
      <c r="F2558">
        <v>1215</v>
      </c>
      <c r="G2558">
        <v>2750</v>
      </c>
      <c r="H2558">
        <f>CONVERT(G2558,"HP","kW")</f>
        <v>2050.6746468512433</v>
      </c>
      <c r="I2558">
        <v>0.88170000000000004</v>
      </c>
      <c r="J2558">
        <v>1.9398</v>
      </c>
      <c r="K2558">
        <v>0.72960000000000003</v>
      </c>
      <c r="L2558">
        <v>0.32769999999999999</v>
      </c>
      <c r="M2558">
        <v>0.14899999999999999</v>
      </c>
      <c r="N2558">
        <f>CONVERT(O2558,"lbf","N")</f>
        <v>11616.530748252797</v>
      </c>
      <c r="O2558">
        <v>2611.5</v>
      </c>
      <c r="P2558">
        <f t="shared" si="39"/>
        <v>0.45468416234360692</v>
      </c>
    </row>
    <row r="2559" spans="1:16" hidden="1" x14ac:dyDescent="0.25">
      <c r="A2559">
        <v>0</v>
      </c>
      <c r="B2559">
        <v>15000</v>
      </c>
      <c r="C2559">
        <f>1.225 * (1 - 0.00000687559 * B2559) ^ 4.2561</f>
        <v>0.77079726910167001</v>
      </c>
      <c r="D2559">
        <f>E2559*(SQRT($C$2/C2559))</f>
        <v>100.85279711013223</v>
      </c>
      <c r="E2559">
        <v>80</v>
      </c>
      <c r="F2559">
        <v>1215</v>
      </c>
      <c r="G2559">
        <v>2750</v>
      </c>
      <c r="H2559">
        <f>CONVERT(G2559,"HP","kW")</f>
        <v>2050.6746468512433</v>
      </c>
      <c r="I2559">
        <v>0.58550000000000002</v>
      </c>
      <c r="J2559">
        <v>0.64659999999999995</v>
      </c>
      <c r="K2559">
        <v>0.56479999999999997</v>
      </c>
      <c r="L2559">
        <v>0.32779999999999998</v>
      </c>
      <c r="M2559">
        <v>0.2969</v>
      </c>
      <c r="N2559">
        <f>CONVERT(O2559,"lbf","N")</f>
        <v>23141.872953392754</v>
      </c>
      <c r="O2559">
        <v>5202.5</v>
      </c>
      <c r="P2559">
        <f t="shared" si="39"/>
        <v>0.90573520439292254</v>
      </c>
    </row>
    <row r="2560" spans="1:16" hidden="1" x14ac:dyDescent="0.25">
      <c r="A2560">
        <v>0</v>
      </c>
      <c r="B2560">
        <v>15000</v>
      </c>
      <c r="C2560">
        <f>1.225 * (1 - 0.00000687559 * B2560) ^ 4.2561</f>
        <v>0.77079726910167001</v>
      </c>
      <c r="D2560">
        <f>E2560*(SQRT($C$2/C2560))</f>
        <v>226.91879349779754</v>
      </c>
      <c r="E2560">
        <v>180</v>
      </c>
      <c r="F2560">
        <v>1215</v>
      </c>
      <c r="G2560">
        <v>2750</v>
      </c>
      <c r="H2560">
        <f>CONVERT(G2560,"HP","kW")</f>
        <v>2050.6746468512433</v>
      </c>
      <c r="I2560">
        <v>0.85499999999999998</v>
      </c>
      <c r="J2560">
        <v>1.4548000000000001</v>
      </c>
      <c r="K2560">
        <v>0.65529999999999999</v>
      </c>
      <c r="L2560">
        <v>0.32779999999999998</v>
      </c>
      <c r="M2560">
        <v>0.19259999999999999</v>
      </c>
      <c r="N2560">
        <f>CONVERT(O2560,"lbf","N")</f>
        <v>15019.865106088604</v>
      </c>
      <c r="O2560">
        <v>3376.6</v>
      </c>
      <c r="P2560">
        <f t="shared" si="39"/>
        <v>0.58755338621110431</v>
      </c>
    </row>
    <row r="2561" spans="1:16" hidden="1" x14ac:dyDescent="0.25">
      <c r="A2561">
        <v>0</v>
      </c>
      <c r="B2561">
        <v>15000</v>
      </c>
      <c r="C2561">
        <f>1.225 * (1 - 0.00000687559 * B2561) ^ 4.2561</f>
        <v>0.77079726910167001</v>
      </c>
      <c r="D2561">
        <f>E2561*(SQRT($C$2/C2561))</f>
        <v>252.13199277533059</v>
      </c>
      <c r="E2561">
        <v>200</v>
      </c>
      <c r="F2561">
        <v>1215</v>
      </c>
      <c r="G2561">
        <v>2750</v>
      </c>
      <c r="H2561">
        <f>CONVERT(G2561,"HP","kW")</f>
        <v>2050.6746468512433</v>
      </c>
      <c r="I2561">
        <v>0.87119999999999997</v>
      </c>
      <c r="J2561">
        <v>1.6165</v>
      </c>
      <c r="K2561">
        <v>0.67859999999999998</v>
      </c>
      <c r="L2561">
        <v>0.32779999999999998</v>
      </c>
      <c r="M2561">
        <v>0.1767</v>
      </c>
      <c r="N2561">
        <f>CONVERT(O2561,"lbf","N")</f>
        <v>13773.918231654139</v>
      </c>
      <c r="O2561">
        <v>3096.5</v>
      </c>
      <c r="P2561">
        <f t="shared" si="39"/>
        <v>0.5390482001220257</v>
      </c>
    </row>
    <row r="2562" spans="1:16" hidden="1" x14ac:dyDescent="0.25">
      <c r="A2562">
        <v>0</v>
      </c>
      <c r="B2562">
        <v>15000</v>
      </c>
      <c r="C2562">
        <f>1.225 * (1 - 0.00000687559 * B2562) ^ 4.2561</f>
        <v>0.77079726910167001</v>
      </c>
      <c r="D2562">
        <f>E2562*(SQRT($C$2/C2562))</f>
        <v>277.34519205286364</v>
      </c>
      <c r="E2562">
        <v>220</v>
      </c>
      <c r="F2562">
        <v>1215</v>
      </c>
      <c r="G2562">
        <v>2750</v>
      </c>
      <c r="H2562">
        <f>CONVERT(G2562,"HP","kW")</f>
        <v>2050.6746468512433</v>
      </c>
      <c r="I2562">
        <v>0.88200000000000001</v>
      </c>
      <c r="J2562">
        <v>1.7781</v>
      </c>
      <c r="K2562">
        <v>0.70340000000000003</v>
      </c>
      <c r="L2562">
        <v>0.32779999999999998</v>
      </c>
      <c r="M2562">
        <v>0.16259999999999999</v>
      </c>
      <c r="N2562">
        <f>CONVERT(O2562,"lbf","N")</f>
        <v>12677.431603492425</v>
      </c>
      <c r="O2562">
        <v>2850</v>
      </c>
      <c r="P2562">
        <f t="shared" si="39"/>
        <v>0.49603416717510679</v>
      </c>
    </row>
    <row r="2563" spans="1:16" hidden="1" x14ac:dyDescent="0.25">
      <c r="A2563">
        <v>0</v>
      </c>
      <c r="B2563">
        <v>15000</v>
      </c>
      <c r="C2563">
        <f>1.225 * (1 - 0.00000687559 * B2563) ^ 4.2561</f>
        <v>0.77079726910167001</v>
      </c>
      <c r="D2563">
        <f>E2563*(SQRT($C$2/C2563))</f>
        <v>126.06599638766529</v>
      </c>
      <c r="E2563">
        <v>100</v>
      </c>
      <c r="F2563">
        <v>1215</v>
      </c>
      <c r="G2563">
        <v>2750</v>
      </c>
      <c r="H2563">
        <f>CONVERT(G2563,"HP","kW")</f>
        <v>2050.6746468512433</v>
      </c>
      <c r="I2563">
        <v>0.68940000000000001</v>
      </c>
      <c r="J2563">
        <v>0.80820000000000003</v>
      </c>
      <c r="K2563">
        <v>0.57899999999999996</v>
      </c>
      <c r="L2563">
        <v>0.32790000000000002</v>
      </c>
      <c r="M2563">
        <v>0.2797</v>
      </c>
      <c r="N2563">
        <f>CONVERT(O2563,"lbf","N")</f>
        <v>21797.620381261029</v>
      </c>
      <c r="O2563">
        <v>4900.3</v>
      </c>
      <c r="P2563">
        <f t="shared" ref="P2563:P2626" si="40">M2563/L2563</f>
        <v>0.8530039646233607</v>
      </c>
    </row>
    <row r="2564" spans="1:16" hidden="1" x14ac:dyDescent="0.25">
      <c r="A2564">
        <v>0</v>
      </c>
      <c r="B2564">
        <v>15000</v>
      </c>
      <c r="C2564">
        <f>1.225 * (1 - 0.00000687559 * B2564) ^ 4.2561</f>
        <v>0.77079726910167001</v>
      </c>
      <c r="D2564">
        <f>E2564*(SQRT($C$2/C2564))</f>
        <v>151.27919566519836</v>
      </c>
      <c r="E2564">
        <v>120</v>
      </c>
      <c r="F2564">
        <v>1215</v>
      </c>
      <c r="G2564">
        <v>2750</v>
      </c>
      <c r="H2564">
        <f>CONVERT(G2564,"HP","kW")</f>
        <v>2050.6746468512433</v>
      </c>
      <c r="I2564">
        <v>0.75719999999999998</v>
      </c>
      <c r="J2564">
        <v>0.96989999999999998</v>
      </c>
      <c r="K2564">
        <v>0.59540000000000004</v>
      </c>
      <c r="L2564">
        <v>0.32790000000000002</v>
      </c>
      <c r="M2564">
        <v>0.25600000000000001</v>
      </c>
      <c r="N2564">
        <f>CONVERT(O2564,"lbf","N")</f>
        <v>19952.942877412501</v>
      </c>
      <c r="O2564">
        <v>4485.6000000000004</v>
      </c>
      <c r="P2564">
        <f t="shared" si="40"/>
        <v>0.78072583104605053</v>
      </c>
    </row>
    <row r="2565" spans="1:16" hidden="1" x14ac:dyDescent="0.25">
      <c r="A2565">
        <v>0</v>
      </c>
      <c r="B2565">
        <v>15000</v>
      </c>
      <c r="C2565">
        <f>1.225 * (1 - 0.00000687559 * B2565) ^ 4.2561</f>
        <v>0.77079726910167001</v>
      </c>
      <c r="D2565">
        <f>E2565*(SQRT($C$2/C2565))</f>
        <v>201.70559422026446</v>
      </c>
      <c r="E2565">
        <v>160</v>
      </c>
      <c r="F2565">
        <v>1215</v>
      </c>
      <c r="G2565">
        <v>2750</v>
      </c>
      <c r="H2565">
        <f>CONVERT(G2565,"HP","kW")</f>
        <v>2050.6746468512433</v>
      </c>
      <c r="I2565">
        <v>0.83230000000000004</v>
      </c>
      <c r="J2565">
        <v>1.2931999999999999</v>
      </c>
      <c r="K2565">
        <v>0.63360000000000005</v>
      </c>
      <c r="L2565">
        <v>0.32790000000000002</v>
      </c>
      <c r="M2565">
        <v>0.21099999999999999</v>
      </c>
      <c r="N2565">
        <f>CONVERT(O2565,"lbf","N")</f>
        <v>16449.523533233329</v>
      </c>
      <c r="O2565">
        <v>3698</v>
      </c>
      <c r="P2565">
        <f t="shared" si="40"/>
        <v>0.64348886855748699</v>
      </c>
    </row>
    <row r="2566" spans="1:16" hidden="1" x14ac:dyDescent="0.25">
      <c r="A2566">
        <v>0</v>
      </c>
      <c r="B2566">
        <v>15000</v>
      </c>
      <c r="C2566">
        <f>1.225 * (1 - 0.00000687559 * B2566) ^ 4.2561</f>
        <v>0.77079726910167001</v>
      </c>
      <c r="D2566">
        <f>E2566*(SQRT($C$2/C2566))</f>
        <v>0</v>
      </c>
      <c r="E2566">
        <v>0</v>
      </c>
      <c r="F2566">
        <v>1215</v>
      </c>
      <c r="G2566">
        <v>2750</v>
      </c>
      <c r="H2566">
        <f>CONVERT(G2566,"HP","kW")</f>
        <v>2050.6746468512433</v>
      </c>
      <c r="I2566">
        <v>0</v>
      </c>
      <c r="J2566">
        <v>0</v>
      </c>
      <c r="K2566">
        <v>0.53259999999999996</v>
      </c>
      <c r="L2566">
        <v>0.32800000000000001</v>
      </c>
      <c r="M2566">
        <v>0.24299999999999999</v>
      </c>
      <c r="N2566">
        <f>CONVERT(O2566,"lbf","N")</f>
        <v>18930.741550225637</v>
      </c>
      <c r="O2566">
        <v>4255.8</v>
      </c>
      <c r="P2566">
        <f t="shared" si="40"/>
        <v>0.74085365853658536</v>
      </c>
    </row>
    <row r="2567" spans="1:16" hidden="1" x14ac:dyDescent="0.25">
      <c r="A2567">
        <v>0</v>
      </c>
      <c r="B2567">
        <v>15000</v>
      </c>
      <c r="C2567">
        <f>1.225 * (1 - 0.00000687559 * B2567) ^ 4.2561</f>
        <v>0.77079726910167001</v>
      </c>
      <c r="D2567">
        <f>E2567*(SQRT($C$2/C2567))</f>
        <v>50.426398555066115</v>
      </c>
      <c r="E2567">
        <v>40</v>
      </c>
      <c r="F2567">
        <v>1215</v>
      </c>
      <c r="G2567">
        <v>2750</v>
      </c>
      <c r="H2567">
        <f>CONVERT(G2567,"HP","kW")</f>
        <v>2050.6746468512433</v>
      </c>
      <c r="I2567">
        <v>0.26379999999999998</v>
      </c>
      <c r="J2567">
        <v>0.32329999999999998</v>
      </c>
      <c r="K2567">
        <v>0.54449999999999998</v>
      </c>
      <c r="L2567">
        <v>0.32800000000000001</v>
      </c>
      <c r="M2567">
        <v>0.2676</v>
      </c>
      <c r="N2567">
        <f>CONVERT(O2567,"lbf","N")</f>
        <v>20855.931865310384</v>
      </c>
      <c r="O2567">
        <v>4688.6000000000004</v>
      </c>
      <c r="P2567">
        <f t="shared" si="40"/>
        <v>0.81585365853658531</v>
      </c>
    </row>
    <row r="2568" spans="1:16" hidden="1" x14ac:dyDescent="0.25">
      <c r="A2568">
        <v>0</v>
      </c>
      <c r="B2568">
        <v>15000</v>
      </c>
      <c r="C2568">
        <f>1.225 * (1 - 0.00000687559 * B2568) ^ 4.2561</f>
        <v>0.77079726910167001</v>
      </c>
      <c r="D2568">
        <f>E2568*(SQRT($C$2/C2568))</f>
        <v>75.639597832599179</v>
      </c>
      <c r="E2568">
        <v>60</v>
      </c>
      <c r="F2568">
        <v>1215</v>
      </c>
      <c r="G2568">
        <v>2750</v>
      </c>
      <c r="H2568">
        <f>CONVERT(G2568,"HP","kW")</f>
        <v>2050.6746468512433</v>
      </c>
      <c r="I2568">
        <v>0.4209</v>
      </c>
      <c r="J2568">
        <v>0.4849</v>
      </c>
      <c r="K2568">
        <v>0.55349999999999999</v>
      </c>
      <c r="L2568">
        <v>0.32800000000000001</v>
      </c>
      <c r="M2568">
        <v>0.28460000000000002</v>
      </c>
      <c r="N2568">
        <f>CONVERT(O2568,"lbf","N")</f>
        <v>22179.722618011903</v>
      </c>
      <c r="O2568">
        <v>4986.2</v>
      </c>
      <c r="P2568">
        <f t="shared" si="40"/>
        <v>0.86768292682926829</v>
      </c>
    </row>
    <row r="2569" spans="1:16" hidden="1" x14ac:dyDescent="0.25">
      <c r="A2569">
        <v>0</v>
      </c>
      <c r="B2569">
        <v>15000</v>
      </c>
      <c r="C2569">
        <f>1.225 * (1 - 0.00000687559 * B2569) ^ 4.2561</f>
        <v>0.77079726910167001</v>
      </c>
      <c r="D2569">
        <f>E2569*(SQRT($C$2/C2569))</f>
        <v>176.49239494273141</v>
      </c>
      <c r="E2569">
        <v>140</v>
      </c>
      <c r="F2569">
        <v>1215</v>
      </c>
      <c r="G2569">
        <v>2750</v>
      </c>
      <c r="H2569">
        <f>CONVERT(G2569,"HP","kW")</f>
        <v>2050.6746468512433</v>
      </c>
      <c r="I2569">
        <v>0.80089999999999995</v>
      </c>
      <c r="J2569">
        <v>1.1315</v>
      </c>
      <c r="K2569">
        <v>0.61360000000000003</v>
      </c>
      <c r="L2569">
        <v>0.32800000000000001</v>
      </c>
      <c r="M2569">
        <v>0.23219999999999999</v>
      </c>
      <c r="N2569">
        <f>CONVERT(O2569,"lbf","N")</f>
        <v>18089.582842779873</v>
      </c>
      <c r="O2569">
        <v>4066.7</v>
      </c>
      <c r="P2569">
        <f t="shared" si="40"/>
        <v>0.70792682926829265</v>
      </c>
    </row>
    <row r="2570" spans="1:16" hidden="1" x14ac:dyDescent="0.25">
      <c r="A2570">
        <v>0</v>
      </c>
      <c r="B2570">
        <v>15000</v>
      </c>
      <c r="C2570">
        <f>1.225 * (1 - 0.00000687559 * B2570) ^ 4.2561</f>
        <v>0.77079726910167001</v>
      </c>
      <c r="D2570">
        <f>E2570*(SQRT($C$2/C2570))</f>
        <v>327.77159060792974</v>
      </c>
      <c r="E2570">
        <v>260</v>
      </c>
      <c r="F2570">
        <v>1215</v>
      </c>
      <c r="G2570">
        <v>2750</v>
      </c>
      <c r="H2570">
        <f>CONVERT(G2570,"HP","kW")</f>
        <v>2050.6746468512433</v>
      </c>
      <c r="I2570">
        <v>0.87019999999999997</v>
      </c>
      <c r="J2570">
        <v>2.1013999999999999</v>
      </c>
      <c r="K2570">
        <v>0.75690000000000002</v>
      </c>
      <c r="L2570">
        <v>0.32800000000000001</v>
      </c>
      <c r="M2570">
        <v>0.1358</v>
      </c>
      <c r="N2570">
        <f>CONVERT(O2570,"lbf","N")</f>
        <v>10583.208867027781</v>
      </c>
      <c r="O2570">
        <v>2379.1999999999998</v>
      </c>
      <c r="P2570">
        <f t="shared" si="40"/>
        <v>0.41402439024390242</v>
      </c>
    </row>
    <row r="2571" spans="1:16" hidden="1" x14ac:dyDescent="0.25">
      <c r="A2571">
        <v>0</v>
      </c>
      <c r="B2571">
        <v>15000</v>
      </c>
      <c r="C2571">
        <f>1.225 * (1 - 0.00000687559 * B2571) ^ 4.2561</f>
        <v>0.77079726910167001</v>
      </c>
      <c r="D2571">
        <f>E2571*(SQRT($C$2/C2571))</f>
        <v>25.213199277533057</v>
      </c>
      <c r="E2571">
        <v>20</v>
      </c>
      <c r="F2571">
        <v>1215</v>
      </c>
      <c r="G2571">
        <v>2750</v>
      </c>
      <c r="H2571">
        <f>CONVERT(G2571,"HP","kW")</f>
        <v>2050.6746468512433</v>
      </c>
      <c r="I2571">
        <v>0.12509999999999999</v>
      </c>
      <c r="J2571">
        <v>0.16159999999999999</v>
      </c>
      <c r="K2571">
        <v>0.53759999999999997</v>
      </c>
      <c r="L2571">
        <v>0.3281</v>
      </c>
      <c r="M2571">
        <v>0.25390000000000001</v>
      </c>
      <c r="N2571">
        <f>CONVERT(O2571,"lbf","N")</f>
        <v>19779.017412255813</v>
      </c>
      <c r="O2571">
        <v>4446.5</v>
      </c>
      <c r="P2571">
        <f t="shared" si="40"/>
        <v>0.773849436147516</v>
      </c>
    </row>
    <row r="2572" spans="1:16" hidden="1" x14ac:dyDescent="0.25">
      <c r="A2572">
        <v>0</v>
      </c>
      <c r="B2572">
        <v>20000</v>
      </c>
      <c r="C2572">
        <f>1.225 * (1 - 0.00000687559 * B2572) ^ 4.2561</f>
        <v>0.65267221054298263</v>
      </c>
      <c r="D2572">
        <f>E2572*(SQRT($C$2/C2572))</f>
        <v>54.799989443328272</v>
      </c>
      <c r="E2572">
        <v>40</v>
      </c>
      <c r="F2572">
        <v>987</v>
      </c>
      <c r="G2572">
        <v>1250</v>
      </c>
      <c r="H2572">
        <f>CONVERT(G2572,"HP","kW")</f>
        <v>932.12483947783778</v>
      </c>
      <c r="I2572">
        <v>0.37059999999999998</v>
      </c>
      <c r="J2572">
        <v>0.4325</v>
      </c>
      <c r="K2572">
        <v>0.45590000000000003</v>
      </c>
      <c r="L2572">
        <v>0.32829999999999998</v>
      </c>
      <c r="M2572">
        <v>0.28129999999999999</v>
      </c>
      <c r="N2572">
        <f>CONVERT(O2572,"lbf","N")</f>
        <v>12253.516083558099</v>
      </c>
      <c r="O2572">
        <v>2754.7</v>
      </c>
      <c r="P2572">
        <f t="shared" si="40"/>
        <v>0.8568382576911362</v>
      </c>
    </row>
    <row r="2573" spans="1:16" hidden="1" x14ac:dyDescent="0.25">
      <c r="A2573">
        <v>0</v>
      </c>
      <c r="B2573">
        <v>20000</v>
      </c>
      <c r="C2573">
        <f>1.225 * (1 - 0.00000687559 * B2573) ^ 4.2561</f>
        <v>0.65267221054298263</v>
      </c>
      <c r="D2573">
        <f>E2573*(SQRT($C$2/C2573))</f>
        <v>356.19993138163375</v>
      </c>
      <c r="E2573">
        <v>260</v>
      </c>
      <c r="F2573">
        <v>987</v>
      </c>
      <c r="G2573">
        <v>1250</v>
      </c>
      <c r="H2573">
        <f>CONVERT(G2573,"HP","kW")</f>
        <v>932.12483947783778</v>
      </c>
      <c r="I2573">
        <v>0.82509999999999994</v>
      </c>
      <c r="J2573">
        <v>2.8111999999999999</v>
      </c>
      <c r="K2573">
        <v>0.73599999999999999</v>
      </c>
      <c r="L2573">
        <v>0.32829999999999998</v>
      </c>
      <c r="M2573">
        <v>9.64E-2</v>
      </c>
      <c r="N2573">
        <f>CONVERT(O2573,"lbf","N")</f>
        <v>4197.3419161598076</v>
      </c>
      <c r="O2573">
        <v>943.6</v>
      </c>
      <c r="P2573">
        <f t="shared" si="40"/>
        <v>0.29363387145903141</v>
      </c>
    </row>
    <row r="2574" spans="1:16" hidden="1" x14ac:dyDescent="0.25">
      <c r="A2574">
        <v>0</v>
      </c>
      <c r="B2574">
        <v>20000</v>
      </c>
      <c r="C2574">
        <f>1.225 * (1 - 0.00000687559 * B2574) ^ 4.2561</f>
        <v>0.65267221054298263</v>
      </c>
      <c r="D2574">
        <f>E2574*(SQRT($C$2/C2574))</f>
        <v>0</v>
      </c>
      <c r="E2574">
        <v>0</v>
      </c>
      <c r="F2574">
        <v>987</v>
      </c>
      <c r="G2574">
        <v>1250</v>
      </c>
      <c r="H2574">
        <f>CONVERT(G2574,"HP","kW")</f>
        <v>932.12483947783778</v>
      </c>
      <c r="I2574">
        <v>0</v>
      </c>
      <c r="J2574">
        <v>0</v>
      </c>
      <c r="K2574">
        <v>0.44159999999999999</v>
      </c>
      <c r="L2574">
        <v>0.32840000000000003</v>
      </c>
      <c r="M2574">
        <v>0.23980000000000001</v>
      </c>
      <c r="N2574">
        <f>CONVERT(O2574,"lbf","N")</f>
        <v>10445.313996954706</v>
      </c>
      <c r="O2574">
        <v>2348.1999999999998</v>
      </c>
      <c r="P2574">
        <f t="shared" si="40"/>
        <v>0.73020706455542017</v>
      </c>
    </row>
    <row r="2575" spans="1:16" hidden="1" x14ac:dyDescent="0.25">
      <c r="A2575">
        <v>0</v>
      </c>
      <c r="B2575">
        <v>20000</v>
      </c>
      <c r="C2575">
        <f>1.225 * (1 - 0.00000687559 * B2575) ^ 4.2561</f>
        <v>0.65267221054298263</v>
      </c>
      <c r="D2575">
        <f>E2575*(SQRT($C$2/C2575))</f>
        <v>27.399994721664136</v>
      </c>
      <c r="E2575">
        <v>20</v>
      </c>
      <c r="F2575">
        <v>987</v>
      </c>
      <c r="G2575">
        <v>1250</v>
      </c>
      <c r="H2575">
        <f>CONVERT(G2575,"HP","kW")</f>
        <v>932.12483947783778</v>
      </c>
      <c r="I2575">
        <v>0.17019999999999999</v>
      </c>
      <c r="J2575">
        <v>0.2162</v>
      </c>
      <c r="K2575">
        <v>0.44729999999999998</v>
      </c>
      <c r="L2575">
        <v>0.32840000000000003</v>
      </c>
      <c r="M2575">
        <v>0.25850000000000001</v>
      </c>
      <c r="N2575">
        <f>CONVERT(O2575,"lbf","N")</f>
        <v>11254.000686609066</v>
      </c>
      <c r="O2575">
        <v>2530</v>
      </c>
      <c r="P2575">
        <f t="shared" si="40"/>
        <v>0.78714981729598044</v>
      </c>
    </row>
    <row r="2576" spans="1:16" hidden="1" x14ac:dyDescent="0.25">
      <c r="A2576">
        <v>0</v>
      </c>
      <c r="B2576">
        <v>20000</v>
      </c>
      <c r="C2576">
        <f>1.225 * (1 - 0.00000687559 * B2576) ^ 4.2561</f>
        <v>0.65267221054298263</v>
      </c>
      <c r="D2576">
        <f>E2576*(SQRT($C$2/C2576))</f>
        <v>136.99997360832069</v>
      </c>
      <c r="E2576">
        <v>100</v>
      </c>
      <c r="F2576">
        <v>987</v>
      </c>
      <c r="G2576">
        <v>1250</v>
      </c>
      <c r="H2576">
        <f>CONVERT(G2576,"HP","kW")</f>
        <v>932.12483947783778</v>
      </c>
      <c r="I2576">
        <v>0.79169999999999996</v>
      </c>
      <c r="J2576">
        <v>1.0811999999999999</v>
      </c>
      <c r="K2576">
        <v>0.50349999999999995</v>
      </c>
      <c r="L2576">
        <v>0.32840000000000003</v>
      </c>
      <c r="M2576">
        <v>0.24049999999999999</v>
      </c>
      <c r="N2576">
        <f>CONVERT(O2576,"lbf","N")</f>
        <v>10470.668860161692</v>
      </c>
      <c r="O2576">
        <v>2353.9</v>
      </c>
      <c r="P2576">
        <f t="shared" si="40"/>
        <v>0.73233861144945178</v>
      </c>
    </row>
    <row r="2577" spans="1:16" hidden="1" x14ac:dyDescent="0.25">
      <c r="A2577">
        <v>0</v>
      </c>
      <c r="B2577">
        <v>20000</v>
      </c>
      <c r="C2577">
        <f>1.225 * (1 - 0.00000687559 * B2577) ^ 4.2561</f>
        <v>0.65267221054298263</v>
      </c>
      <c r="D2577">
        <f>E2577*(SQRT($C$2/C2577))</f>
        <v>164.3999683299848</v>
      </c>
      <c r="E2577">
        <v>120</v>
      </c>
      <c r="F2577">
        <v>987</v>
      </c>
      <c r="G2577">
        <v>1250</v>
      </c>
      <c r="H2577">
        <f>CONVERT(G2577,"HP","kW")</f>
        <v>932.12483947783778</v>
      </c>
      <c r="I2577">
        <v>0.83550000000000002</v>
      </c>
      <c r="J2577">
        <v>1.2975000000000001</v>
      </c>
      <c r="K2577">
        <v>0.52539999999999998</v>
      </c>
      <c r="L2577">
        <v>0.32840000000000003</v>
      </c>
      <c r="M2577">
        <v>0.21149999999999999</v>
      </c>
      <c r="N2577">
        <f>CONVERT(O2577,"lbf","N")</f>
        <v>9208.2635657507617</v>
      </c>
      <c r="O2577">
        <v>2070.1</v>
      </c>
      <c r="P2577">
        <f t="shared" si="40"/>
        <v>0.64403166869671125</v>
      </c>
    </row>
    <row r="2578" spans="1:16" hidden="1" x14ac:dyDescent="0.25">
      <c r="A2578">
        <v>0</v>
      </c>
      <c r="B2578">
        <v>20000</v>
      </c>
      <c r="C2578">
        <f>1.225 * (1 - 0.00000687559 * B2578) ^ 4.2561</f>
        <v>0.65267221054298263</v>
      </c>
      <c r="D2578">
        <f>E2578*(SQRT($C$2/C2578))</f>
        <v>191.79996305164894</v>
      </c>
      <c r="E2578">
        <v>140</v>
      </c>
      <c r="F2578">
        <v>987</v>
      </c>
      <c r="G2578">
        <v>1250</v>
      </c>
      <c r="H2578">
        <f>CONVERT(G2578,"HP","kW")</f>
        <v>932.12483947783778</v>
      </c>
      <c r="I2578">
        <v>0.86350000000000005</v>
      </c>
      <c r="J2578">
        <v>1.5137</v>
      </c>
      <c r="K2578">
        <v>0.54979999999999996</v>
      </c>
      <c r="L2578">
        <v>0.32840000000000003</v>
      </c>
      <c r="M2578">
        <v>0.18740000000000001</v>
      </c>
      <c r="N2578">
        <f>CONVERT(O2578,"lbf","N")</f>
        <v>8158.0384423877576</v>
      </c>
      <c r="O2578">
        <v>1834</v>
      </c>
      <c r="P2578">
        <f t="shared" si="40"/>
        <v>0.57064555420219243</v>
      </c>
    </row>
    <row r="2579" spans="1:16" hidden="1" x14ac:dyDescent="0.25">
      <c r="A2579">
        <v>0</v>
      </c>
      <c r="B2579">
        <v>20000</v>
      </c>
      <c r="C2579">
        <f>1.225 * (1 - 0.00000687559 * B2579) ^ 4.2561</f>
        <v>0.65267221054298263</v>
      </c>
      <c r="D2579">
        <f>E2579*(SQRT($C$2/C2579))</f>
        <v>219.19995777331309</v>
      </c>
      <c r="E2579">
        <v>160</v>
      </c>
      <c r="F2579">
        <v>987</v>
      </c>
      <c r="G2579">
        <v>1250</v>
      </c>
      <c r="H2579">
        <f>CONVERT(G2579,"HP","kW")</f>
        <v>932.12483947783778</v>
      </c>
      <c r="I2579">
        <v>0.88090000000000002</v>
      </c>
      <c r="J2579">
        <v>1.73</v>
      </c>
      <c r="K2579">
        <v>0.57650000000000001</v>
      </c>
      <c r="L2579">
        <v>0.32840000000000003</v>
      </c>
      <c r="M2579">
        <v>0.16719999999999999</v>
      </c>
      <c r="N2579">
        <f>CONVERT(O2579,"lbf","N")</f>
        <v>7281.7387841814389</v>
      </c>
      <c r="O2579">
        <v>1637</v>
      </c>
      <c r="P2579">
        <f t="shared" si="40"/>
        <v>0.50913520097442133</v>
      </c>
    </row>
    <row r="2580" spans="1:16" hidden="1" x14ac:dyDescent="0.25">
      <c r="A2580">
        <v>0</v>
      </c>
      <c r="B2580">
        <v>20000</v>
      </c>
      <c r="C2580">
        <f>1.225 * (1 - 0.00000687559 * B2580) ^ 4.2561</f>
        <v>0.65267221054298263</v>
      </c>
      <c r="D2580">
        <f>E2580*(SQRT($C$2/C2580))</f>
        <v>246.59995249497723</v>
      </c>
      <c r="E2580">
        <v>180</v>
      </c>
      <c r="F2580">
        <v>987</v>
      </c>
      <c r="G2580">
        <v>1250</v>
      </c>
      <c r="H2580">
        <f>CONVERT(G2580,"HP","kW")</f>
        <v>932.12483947783778</v>
      </c>
      <c r="I2580">
        <v>0.89059999999999995</v>
      </c>
      <c r="J2580">
        <v>1.9461999999999999</v>
      </c>
      <c r="K2580">
        <v>0.60529999999999995</v>
      </c>
      <c r="L2580">
        <v>0.32840000000000003</v>
      </c>
      <c r="M2580">
        <v>0.15029999999999999</v>
      </c>
      <c r="N2580">
        <f>CONVERT(O2580,"lbf","N")</f>
        <v>6543.7788182097211</v>
      </c>
      <c r="O2580">
        <v>1471.1</v>
      </c>
      <c r="P2580">
        <f t="shared" si="40"/>
        <v>0.45767356881851395</v>
      </c>
    </row>
    <row r="2581" spans="1:16" hidden="1" x14ac:dyDescent="0.25">
      <c r="A2581">
        <v>0</v>
      </c>
      <c r="B2581">
        <v>20000</v>
      </c>
      <c r="C2581">
        <f>1.225 * (1 - 0.00000687559 * B2581) ^ 4.2561</f>
        <v>0.65267221054298263</v>
      </c>
      <c r="D2581">
        <f>E2581*(SQRT($C$2/C2581))</f>
        <v>301.39994193830552</v>
      </c>
      <c r="E2581">
        <v>220</v>
      </c>
      <c r="F2581">
        <v>987</v>
      </c>
      <c r="G2581">
        <v>1250</v>
      </c>
      <c r="H2581">
        <f>CONVERT(G2581,"HP","kW")</f>
        <v>932.12483947783778</v>
      </c>
      <c r="I2581">
        <v>0.89139999999999997</v>
      </c>
      <c r="J2581">
        <v>2.3786999999999998</v>
      </c>
      <c r="K2581">
        <v>0.66790000000000005</v>
      </c>
      <c r="L2581">
        <v>0.32840000000000003</v>
      </c>
      <c r="M2581">
        <v>0.1231</v>
      </c>
      <c r="N2581">
        <f>CONVERT(O2581,"lbf","N")</f>
        <v>5359.2174020658504</v>
      </c>
      <c r="O2581">
        <v>1204.8</v>
      </c>
      <c r="P2581">
        <f t="shared" si="40"/>
        <v>0.37484774665042631</v>
      </c>
    </row>
    <row r="2582" spans="1:16" hidden="1" x14ac:dyDescent="0.25">
      <c r="A2582">
        <v>0</v>
      </c>
      <c r="B2582">
        <v>20000</v>
      </c>
      <c r="C2582">
        <f>1.225 * (1 - 0.00000687559 * B2582) ^ 4.2561</f>
        <v>0.65267221054298263</v>
      </c>
      <c r="D2582">
        <f>E2582*(SQRT($C$2/C2582))</f>
        <v>328.7999366599696</v>
      </c>
      <c r="E2582">
        <v>240</v>
      </c>
      <c r="F2582">
        <v>987</v>
      </c>
      <c r="G2582">
        <v>1250</v>
      </c>
      <c r="H2582">
        <f>CONVERT(G2582,"HP","kW")</f>
        <v>932.12483947783778</v>
      </c>
      <c r="I2582">
        <v>0.87509999999999999</v>
      </c>
      <c r="J2582">
        <v>2.5950000000000002</v>
      </c>
      <c r="K2582">
        <v>0.70140000000000002</v>
      </c>
      <c r="L2582">
        <v>0.32840000000000003</v>
      </c>
      <c r="M2582">
        <v>0.11070000000000001</v>
      </c>
      <c r="N2582">
        <f>CONVERT(O2582,"lbf","N")</f>
        <v>4822.3170531039077</v>
      </c>
      <c r="O2582">
        <v>1084.0999999999999</v>
      </c>
      <c r="P2582">
        <f t="shared" si="40"/>
        <v>0.33708891595615104</v>
      </c>
    </row>
    <row r="2583" spans="1:16" hidden="1" x14ac:dyDescent="0.25">
      <c r="A2583">
        <v>0</v>
      </c>
      <c r="B2583">
        <v>20000</v>
      </c>
      <c r="C2583">
        <f>1.225 * (1 - 0.00000687559 * B2583) ^ 4.2561</f>
        <v>0.65267221054298263</v>
      </c>
      <c r="D2583">
        <f>E2583*(SQRT($C$2/C2583))</f>
        <v>273.99994721664137</v>
      </c>
      <c r="E2583">
        <v>200</v>
      </c>
      <c r="F2583">
        <v>987</v>
      </c>
      <c r="G2583">
        <v>1250</v>
      </c>
      <c r="H2583">
        <f>CONVERT(G2583,"HP","kW")</f>
        <v>932.12483947783778</v>
      </c>
      <c r="I2583">
        <v>0.89410000000000001</v>
      </c>
      <c r="J2583">
        <v>2.1625000000000001</v>
      </c>
      <c r="K2583">
        <v>0.63580000000000003</v>
      </c>
      <c r="L2583">
        <v>0.32850000000000001</v>
      </c>
      <c r="M2583">
        <v>0.1358</v>
      </c>
      <c r="N2583">
        <f>CONVERT(O2583,"lbf","N")</f>
        <v>5912.576171004257</v>
      </c>
      <c r="O2583">
        <v>1329.2</v>
      </c>
      <c r="P2583">
        <f t="shared" si="40"/>
        <v>0.41339421613394217</v>
      </c>
    </row>
    <row r="2584" spans="1:16" hidden="1" x14ac:dyDescent="0.25">
      <c r="A2584">
        <v>0</v>
      </c>
      <c r="B2584">
        <v>20000</v>
      </c>
      <c r="C2584">
        <f>1.225 * (1 - 0.00000687559 * B2584) ^ 4.2561</f>
        <v>0.65267221054298263</v>
      </c>
      <c r="D2584">
        <f>E2584*(SQRT($C$2/C2584))</f>
        <v>82.199984164992401</v>
      </c>
      <c r="E2584">
        <v>60</v>
      </c>
      <c r="F2584">
        <v>987</v>
      </c>
      <c r="G2584">
        <v>1250</v>
      </c>
      <c r="H2584">
        <f>CONVERT(G2584,"HP","kW")</f>
        <v>932.12483947783778</v>
      </c>
      <c r="I2584">
        <v>0.59379999999999999</v>
      </c>
      <c r="J2584">
        <v>0.64870000000000005</v>
      </c>
      <c r="K2584">
        <v>0.46800000000000003</v>
      </c>
      <c r="L2584">
        <v>0.3286</v>
      </c>
      <c r="M2584">
        <v>0.30080000000000001</v>
      </c>
      <c r="N2584">
        <f>CONVERT(O2584,"lbf","N")</f>
        <v>13090.2265693886</v>
      </c>
      <c r="O2584">
        <v>2942.8</v>
      </c>
      <c r="P2584">
        <f t="shared" si="40"/>
        <v>0.9153986609860012</v>
      </c>
    </row>
    <row r="2585" spans="1:16" hidden="1" x14ac:dyDescent="0.25">
      <c r="A2585">
        <v>0</v>
      </c>
      <c r="B2585">
        <v>20000</v>
      </c>
      <c r="C2585">
        <f>1.225 * (1 - 0.00000687559 * B2585) ^ 4.2561</f>
        <v>0.65267221054298263</v>
      </c>
      <c r="D2585">
        <f>E2585*(SQRT($C$2/C2585))</f>
        <v>109.59997888665654</v>
      </c>
      <c r="E2585">
        <v>80</v>
      </c>
      <c r="F2585">
        <v>987</v>
      </c>
      <c r="G2585">
        <v>1250</v>
      </c>
      <c r="H2585">
        <f>CONVERT(G2585,"HP","kW")</f>
        <v>932.12483947783778</v>
      </c>
      <c r="I2585">
        <v>0.72370000000000001</v>
      </c>
      <c r="J2585">
        <v>0.86499999999999999</v>
      </c>
      <c r="K2585">
        <v>0.48420000000000002</v>
      </c>
      <c r="L2585">
        <v>0.3286</v>
      </c>
      <c r="M2585">
        <v>0.27489999999999998</v>
      </c>
      <c r="N2585">
        <f>CONVERT(O2585,"lbf","N")</f>
        <v>11964.826500727693</v>
      </c>
      <c r="O2585">
        <v>2689.8</v>
      </c>
      <c r="P2585">
        <f t="shared" si="40"/>
        <v>0.83657942787583683</v>
      </c>
    </row>
    <row r="2586" spans="1:16" hidden="1" x14ac:dyDescent="0.25">
      <c r="A2586">
        <v>0</v>
      </c>
      <c r="B2586">
        <v>10000</v>
      </c>
      <c r="C2586">
        <f>1.225 * (1 - 0.00000687559 * B2586) ^ 4.2561</f>
        <v>0.90462252368600637</v>
      </c>
      <c r="D2586">
        <f>E2586*(SQRT($C$2/C2586))</f>
        <v>0</v>
      </c>
      <c r="E2586">
        <v>0</v>
      </c>
      <c r="F2586">
        <v>1150</v>
      </c>
      <c r="G2586">
        <v>2750</v>
      </c>
      <c r="H2586">
        <f>CONVERT(G2586,"HP","kW")</f>
        <v>2050.6746468512433</v>
      </c>
      <c r="I2586">
        <v>0</v>
      </c>
      <c r="J2586">
        <v>0</v>
      </c>
      <c r="K2586">
        <v>0.495</v>
      </c>
      <c r="L2586">
        <v>0.32950000000000002</v>
      </c>
      <c r="M2586">
        <v>0.24179999999999999</v>
      </c>
      <c r="N2586">
        <f>CONVERT(O2586,"lbf","N")</f>
        <v>19810.154963562636</v>
      </c>
      <c r="O2586">
        <v>4453.5</v>
      </c>
      <c r="P2586">
        <f t="shared" si="40"/>
        <v>0.73383915022761748</v>
      </c>
    </row>
    <row r="2587" spans="1:16" hidden="1" x14ac:dyDescent="0.25">
      <c r="A2587">
        <v>0</v>
      </c>
      <c r="B2587">
        <v>10000</v>
      </c>
      <c r="C2587">
        <f>1.225 * (1 - 0.00000687559 * B2587) ^ 4.2561</f>
        <v>0.90462252368600637</v>
      </c>
      <c r="D2587">
        <f>E2587*(SQRT($C$2/C2587))</f>
        <v>116.36820785327033</v>
      </c>
      <c r="E2587">
        <v>100</v>
      </c>
      <c r="F2587">
        <v>1150</v>
      </c>
      <c r="G2587">
        <v>2750</v>
      </c>
      <c r="H2587">
        <f>CONVERT(G2587,"HP","kW")</f>
        <v>2050.6746468512433</v>
      </c>
      <c r="I2587">
        <v>0.68310000000000004</v>
      </c>
      <c r="J2587">
        <v>0.78820000000000001</v>
      </c>
      <c r="K2587">
        <v>0.53610000000000002</v>
      </c>
      <c r="L2587">
        <v>0.32950000000000002</v>
      </c>
      <c r="M2587">
        <v>0.28560000000000002</v>
      </c>
      <c r="N2587">
        <f>CONVERT(O2587,"lbf","N")</f>
        <v>23401.649095723962</v>
      </c>
      <c r="O2587">
        <v>5260.9</v>
      </c>
      <c r="P2587">
        <f t="shared" si="40"/>
        <v>0.86676783004552349</v>
      </c>
    </row>
    <row r="2588" spans="1:16" hidden="1" x14ac:dyDescent="0.25">
      <c r="A2588">
        <v>0</v>
      </c>
      <c r="B2588">
        <v>10000</v>
      </c>
      <c r="C2588">
        <f>1.225 * (1 - 0.00000687559 * B2588) ^ 4.2561</f>
        <v>0.90462252368600637</v>
      </c>
      <c r="D2588">
        <f>E2588*(SQRT($C$2/C2588))</f>
        <v>186.18913256523254</v>
      </c>
      <c r="E2588">
        <v>160</v>
      </c>
      <c r="F2588">
        <v>1150</v>
      </c>
      <c r="G2588">
        <v>2750</v>
      </c>
      <c r="H2588">
        <f>CONVERT(G2588,"HP","kW")</f>
        <v>2050.6746468512433</v>
      </c>
      <c r="I2588">
        <v>0.82750000000000001</v>
      </c>
      <c r="J2588">
        <v>1.2612000000000001</v>
      </c>
      <c r="K2588">
        <v>0.5847</v>
      </c>
      <c r="L2588">
        <v>0.32950000000000002</v>
      </c>
      <c r="M2588">
        <v>0.2162</v>
      </c>
      <c r="N2588">
        <f>CONVERT(O2588,"lbf","N")</f>
        <v>17716.821871421045</v>
      </c>
      <c r="O2588">
        <v>3982.9</v>
      </c>
      <c r="P2588">
        <f t="shared" si="40"/>
        <v>0.6561456752655539</v>
      </c>
    </row>
    <row r="2589" spans="1:16" hidden="1" x14ac:dyDescent="0.25">
      <c r="A2589">
        <v>0</v>
      </c>
      <c r="B2589">
        <v>10000</v>
      </c>
      <c r="C2589">
        <f>1.225 * (1 - 0.00000687559 * B2589) ^ 4.2561</f>
        <v>0.90462252368600637</v>
      </c>
      <c r="D2589">
        <f>E2589*(SQRT($C$2/C2589))</f>
        <v>209.4627741358866</v>
      </c>
      <c r="E2589">
        <v>180</v>
      </c>
      <c r="F2589">
        <v>1150</v>
      </c>
      <c r="G2589">
        <v>2750</v>
      </c>
      <c r="H2589">
        <f>CONVERT(G2589,"HP","kW")</f>
        <v>2050.6746468512433</v>
      </c>
      <c r="I2589">
        <v>0.85109999999999997</v>
      </c>
      <c r="J2589">
        <v>1.4188000000000001</v>
      </c>
      <c r="K2589">
        <v>0.60409999999999997</v>
      </c>
      <c r="L2589">
        <v>0.32950000000000002</v>
      </c>
      <c r="M2589">
        <v>0.1976</v>
      </c>
      <c r="N2589">
        <f>CONVERT(O2589,"lbf","N")</f>
        <v>16196.419723325007</v>
      </c>
      <c r="O2589">
        <v>3641.1</v>
      </c>
      <c r="P2589">
        <f t="shared" si="40"/>
        <v>0.59969650986342937</v>
      </c>
    </row>
    <row r="2590" spans="1:16" hidden="1" x14ac:dyDescent="0.25">
      <c r="A2590">
        <v>0</v>
      </c>
      <c r="B2590">
        <v>10000</v>
      </c>
      <c r="C2590">
        <f>1.225 * (1 - 0.00000687559 * B2590) ^ 4.2561</f>
        <v>0.90462252368600637</v>
      </c>
      <c r="D2590">
        <f>E2590*(SQRT($C$2/C2590))</f>
        <v>232.73641570654067</v>
      </c>
      <c r="E2590">
        <v>200</v>
      </c>
      <c r="F2590">
        <v>1150</v>
      </c>
      <c r="G2590">
        <v>2750</v>
      </c>
      <c r="H2590">
        <f>CONVERT(G2590,"HP","kW")</f>
        <v>2050.6746468512433</v>
      </c>
      <c r="I2590">
        <v>0.86809999999999998</v>
      </c>
      <c r="J2590">
        <v>1.5765</v>
      </c>
      <c r="K2590">
        <v>0.62490000000000001</v>
      </c>
      <c r="L2590">
        <v>0.32950000000000002</v>
      </c>
      <c r="M2590">
        <v>0.18140000000000001</v>
      </c>
      <c r="N2590">
        <f>CONVERT(O2590,"lbf","N")</f>
        <v>14868.625571169749</v>
      </c>
      <c r="O2590">
        <v>3342.6</v>
      </c>
      <c r="P2590">
        <f t="shared" si="40"/>
        <v>0.55053110773899849</v>
      </c>
    </row>
    <row r="2591" spans="1:16" hidden="1" x14ac:dyDescent="0.25">
      <c r="A2591">
        <v>0</v>
      </c>
      <c r="B2591">
        <v>10000</v>
      </c>
      <c r="C2591">
        <f>1.225 * (1 - 0.00000687559 * B2591) ^ 4.2561</f>
        <v>0.90462252368600637</v>
      </c>
      <c r="D2591">
        <f>E2591*(SQRT($C$2/C2591))</f>
        <v>256.01005727719473</v>
      </c>
      <c r="E2591">
        <v>220</v>
      </c>
      <c r="F2591">
        <v>1150</v>
      </c>
      <c r="G2591">
        <v>2750</v>
      </c>
      <c r="H2591">
        <f>CONVERT(G2591,"HP","kW")</f>
        <v>2050.6746468512433</v>
      </c>
      <c r="I2591">
        <v>0.88009999999999999</v>
      </c>
      <c r="J2591">
        <v>1.7341</v>
      </c>
      <c r="K2591">
        <v>0.64700000000000002</v>
      </c>
      <c r="L2591">
        <v>0.32950000000000002</v>
      </c>
      <c r="M2591">
        <v>0.16719999999999999</v>
      </c>
      <c r="N2591">
        <f>CONVERT(O2591,"lbf","N")</f>
        <v>13704.525974456074</v>
      </c>
      <c r="O2591">
        <v>3080.9</v>
      </c>
      <c r="P2591">
        <f t="shared" si="40"/>
        <v>0.50743550834597873</v>
      </c>
    </row>
    <row r="2592" spans="1:16" hidden="1" x14ac:dyDescent="0.25">
      <c r="A2592">
        <v>0</v>
      </c>
      <c r="B2592">
        <v>10000</v>
      </c>
      <c r="C2592">
        <f>1.225 * (1 - 0.00000687559 * B2592) ^ 4.2561</f>
        <v>0.90462252368600637</v>
      </c>
      <c r="D2592">
        <f>E2592*(SQRT($C$2/C2592))</f>
        <v>46.547283141308135</v>
      </c>
      <c r="E2592">
        <v>40</v>
      </c>
      <c r="F2592">
        <v>1150</v>
      </c>
      <c r="G2592">
        <v>2750</v>
      </c>
      <c r="H2592">
        <f>CONVERT(G2592,"HP","kW")</f>
        <v>2050.6746468512433</v>
      </c>
      <c r="I2592">
        <v>0.25679999999999997</v>
      </c>
      <c r="J2592">
        <v>0.31530000000000002</v>
      </c>
      <c r="K2592">
        <v>0.50549999999999995</v>
      </c>
      <c r="L2592">
        <v>0.3296</v>
      </c>
      <c r="M2592">
        <v>0.26840000000000003</v>
      </c>
      <c r="N2592">
        <f>CONVERT(O2592,"lbf","N")</f>
        <v>21988.89391071723</v>
      </c>
      <c r="O2592">
        <v>4943.3</v>
      </c>
      <c r="P2592">
        <f t="shared" si="40"/>
        <v>0.81432038834951459</v>
      </c>
    </row>
    <row r="2593" spans="1:16" hidden="1" x14ac:dyDescent="0.25">
      <c r="A2593">
        <v>0</v>
      </c>
      <c r="B2593">
        <v>10000</v>
      </c>
      <c r="C2593">
        <f>1.225 * (1 - 0.00000687559 * B2593) ^ 4.2561</f>
        <v>0.90462252368600637</v>
      </c>
      <c r="D2593">
        <f>E2593*(SQRT($C$2/C2593))</f>
        <v>69.820924711962206</v>
      </c>
      <c r="E2593">
        <v>60</v>
      </c>
      <c r="F2593">
        <v>1150</v>
      </c>
      <c r="G2593">
        <v>2750</v>
      </c>
      <c r="H2593">
        <f>CONVERT(G2593,"HP","kW")</f>
        <v>2050.6746468512433</v>
      </c>
      <c r="I2593">
        <v>0.40939999999999999</v>
      </c>
      <c r="J2593">
        <v>0.47289999999999999</v>
      </c>
      <c r="K2593">
        <v>0.51349999999999996</v>
      </c>
      <c r="L2593">
        <v>0.3296</v>
      </c>
      <c r="M2593">
        <v>0.2853</v>
      </c>
      <c r="N2593">
        <f>CONVERT(O2593,"lbf","N")</f>
        <v>23372.290833063245</v>
      </c>
      <c r="O2593">
        <v>5254.3</v>
      </c>
      <c r="P2593">
        <f t="shared" si="40"/>
        <v>0.86559466019417475</v>
      </c>
    </row>
    <row r="2594" spans="1:16" hidden="1" x14ac:dyDescent="0.25">
      <c r="A2594">
        <v>0</v>
      </c>
      <c r="B2594">
        <v>10000</v>
      </c>
      <c r="C2594">
        <f>1.225 * (1 - 0.00000687559 * B2594) ^ 4.2561</f>
        <v>0.90462252368600637</v>
      </c>
      <c r="D2594">
        <f>E2594*(SQRT($C$2/C2594))</f>
        <v>93.09456628261627</v>
      </c>
      <c r="E2594">
        <v>80</v>
      </c>
      <c r="F2594">
        <v>1150</v>
      </c>
      <c r="G2594">
        <v>2750</v>
      </c>
      <c r="H2594">
        <f>CONVERT(G2594,"HP","kW")</f>
        <v>2050.6746468512433</v>
      </c>
      <c r="I2594">
        <v>0.57240000000000002</v>
      </c>
      <c r="J2594">
        <v>0.63060000000000005</v>
      </c>
      <c r="K2594">
        <v>0.52349999999999997</v>
      </c>
      <c r="L2594">
        <v>0.3296</v>
      </c>
      <c r="M2594">
        <v>0.29920000000000002</v>
      </c>
      <c r="N2594">
        <f>CONVERT(O2594,"lbf","N")</f>
        <v>24510.145922246884</v>
      </c>
      <c r="O2594">
        <v>5510.1</v>
      </c>
      <c r="P2594">
        <f t="shared" si="40"/>
        <v>0.90776699029126218</v>
      </c>
    </row>
    <row r="2595" spans="1:16" hidden="1" x14ac:dyDescent="0.25">
      <c r="A2595">
        <v>0</v>
      </c>
      <c r="B2595">
        <v>10000</v>
      </c>
      <c r="C2595">
        <f>1.225 * (1 - 0.00000687559 * B2595) ^ 4.2561</f>
        <v>0.90462252368600637</v>
      </c>
      <c r="D2595">
        <f>E2595*(SQRT($C$2/C2595))</f>
        <v>139.64184942392441</v>
      </c>
      <c r="E2595">
        <v>120</v>
      </c>
      <c r="F2595">
        <v>1150</v>
      </c>
      <c r="G2595">
        <v>2750</v>
      </c>
      <c r="H2595">
        <f>CONVERT(G2595,"HP","kW")</f>
        <v>2050.6746468512433</v>
      </c>
      <c r="I2595">
        <v>0.75080000000000002</v>
      </c>
      <c r="J2595">
        <v>0.94589999999999996</v>
      </c>
      <c r="K2595">
        <v>0.55059999999999998</v>
      </c>
      <c r="L2595">
        <v>0.3296</v>
      </c>
      <c r="M2595">
        <v>0.2616</v>
      </c>
      <c r="N2595">
        <f>CONVERT(O2595,"lbf","N")</f>
        <v>21431.976564486617</v>
      </c>
      <c r="O2595">
        <v>4818.1000000000004</v>
      </c>
      <c r="P2595">
        <f t="shared" si="40"/>
        <v>0.7936893203883495</v>
      </c>
    </row>
    <row r="2596" spans="1:16" hidden="1" x14ac:dyDescent="0.25">
      <c r="A2596">
        <v>0</v>
      </c>
      <c r="B2596">
        <v>10000</v>
      </c>
      <c r="C2596">
        <f>1.225 * (1 - 0.00000687559 * B2596) ^ 4.2561</f>
        <v>0.90462252368600637</v>
      </c>
      <c r="D2596">
        <f>E2596*(SQRT($C$2/C2596))</f>
        <v>162.91549099457848</v>
      </c>
      <c r="E2596">
        <v>140</v>
      </c>
      <c r="F2596">
        <v>1150</v>
      </c>
      <c r="G2596">
        <v>2750</v>
      </c>
      <c r="H2596">
        <f>CONVERT(G2596,"HP","kW")</f>
        <v>2050.6746468512433</v>
      </c>
      <c r="I2596">
        <v>0.79520000000000002</v>
      </c>
      <c r="J2596">
        <v>1.1034999999999999</v>
      </c>
      <c r="K2596">
        <v>0.56689999999999996</v>
      </c>
      <c r="L2596">
        <v>0.3296</v>
      </c>
      <c r="M2596">
        <v>0.23749999999999999</v>
      </c>
      <c r="N2596">
        <f>CONVERT(O2596,"lbf","N")</f>
        <v>19456.0765229879</v>
      </c>
      <c r="O2596">
        <v>4373.8999999999996</v>
      </c>
      <c r="P2596">
        <f t="shared" si="40"/>
        <v>0.72057038834951448</v>
      </c>
    </row>
    <row r="2597" spans="1:16" hidden="1" x14ac:dyDescent="0.25">
      <c r="A2597">
        <v>0</v>
      </c>
      <c r="B2597">
        <v>10000</v>
      </c>
      <c r="C2597">
        <f>1.225 * (1 - 0.00000687559 * B2597) ^ 4.2561</f>
        <v>0.90462252368600637</v>
      </c>
      <c r="D2597">
        <f>E2597*(SQRT($C$2/C2597))</f>
        <v>279.28369884784883</v>
      </c>
      <c r="E2597">
        <v>240</v>
      </c>
      <c r="F2597">
        <v>1150</v>
      </c>
      <c r="G2597">
        <v>2750</v>
      </c>
      <c r="H2597">
        <f>CONVERT(G2597,"HP","kW")</f>
        <v>2050.6746468512433</v>
      </c>
      <c r="I2597">
        <v>0.8881</v>
      </c>
      <c r="J2597">
        <v>1.8917999999999999</v>
      </c>
      <c r="K2597">
        <v>0.67030000000000001</v>
      </c>
      <c r="L2597">
        <v>0.3296</v>
      </c>
      <c r="M2597">
        <v>0.1547</v>
      </c>
      <c r="N2597">
        <f>CONVERT(O2597,"lbf","N")</f>
        <v>12676.097137007846</v>
      </c>
      <c r="O2597">
        <v>2849.7</v>
      </c>
      <c r="P2597">
        <f t="shared" si="40"/>
        <v>0.46935679611650488</v>
      </c>
    </row>
    <row r="2598" spans="1:16" hidden="1" x14ac:dyDescent="0.25">
      <c r="A2598">
        <v>0</v>
      </c>
      <c r="B2598">
        <v>10000</v>
      </c>
      <c r="C2598">
        <f>1.225 * (1 - 0.00000687559 * B2598) ^ 4.2561</f>
        <v>0.90462252368600637</v>
      </c>
      <c r="D2598">
        <f>E2598*(SQRT($C$2/C2598))</f>
        <v>302.55734041850286</v>
      </c>
      <c r="E2598">
        <v>260</v>
      </c>
      <c r="F2598">
        <v>1150</v>
      </c>
      <c r="G2598">
        <v>2750</v>
      </c>
      <c r="H2598">
        <f>CONVERT(G2598,"HP","kW")</f>
        <v>2050.6746468512433</v>
      </c>
      <c r="I2598">
        <v>0.89270000000000005</v>
      </c>
      <c r="J2598">
        <v>2.0493999999999999</v>
      </c>
      <c r="K2598">
        <v>0.69479999999999997</v>
      </c>
      <c r="L2598">
        <v>0.3296</v>
      </c>
      <c r="M2598">
        <v>0.14360000000000001</v>
      </c>
      <c r="N2598">
        <f>CONVERT(O2598,"lbf","N")</f>
        <v>11761.097950748763</v>
      </c>
      <c r="O2598">
        <v>2644</v>
      </c>
      <c r="P2598">
        <f t="shared" si="40"/>
        <v>0.43567961165048547</v>
      </c>
    </row>
    <row r="2599" spans="1:16" hidden="1" x14ac:dyDescent="0.25">
      <c r="A2599">
        <v>0</v>
      </c>
      <c r="B2599">
        <v>10000</v>
      </c>
      <c r="C2599">
        <f>1.225 * (1 - 0.00000687559 * B2599) ^ 4.2561</f>
        <v>0.90462252368600637</v>
      </c>
      <c r="D2599">
        <f>E2599*(SQRT($C$2/C2599))</f>
        <v>23.273641570654068</v>
      </c>
      <c r="E2599">
        <v>20</v>
      </c>
      <c r="F2599">
        <v>1150</v>
      </c>
      <c r="G2599">
        <v>2750</v>
      </c>
      <c r="H2599">
        <f>CONVERT(G2599,"HP","kW")</f>
        <v>2050.6746468512433</v>
      </c>
      <c r="I2599">
        <v>0.12139999999999999</v>
      </c>
      <c r="J2599">
        <v>0.15759999999999999</v>
      </c>
      <c r="K2599">
        <v>0.49940000000000001</v>
      </c>
      <c r="L2599">
        <v>0.32990000000000003</v>
      </c>
      <c r="M2599">
        <v>0.25419999999999998</v>
      </c>
      <c r="N2599">
        <f>CONVERT(O2599,"lbf","N")</f>
        <v>20799.884272958097</v>
      </c>
      <c r="O2599">
        <v>4676</v>
      </c>
      <c r="P2599">
        <f t="shared" si="40"/>
        <v>0.77053652622006652</v>
      </c>
    </row>
    <row r="2600" spans="1:16" hidden="1" x14ac:dyDescent="0.25">
      <c r="A2600">
        <v>0</v>
      </c>
      <c r="B2600">
        <v>10000</v>
      </c>
      <c r="C2600">
        <f>1.225 * (1 - 0.00000687559 * B2600) ^ 4.2561</f>
        <v>0.90462252368600637</v>
      </c>
      <c r="D2600">
        <f>E2600*(SQRT($C$2/C2600))</f>
        <v>0</v>
      </c>
      <c r="E2600">
        <v>0</v>
      </c>
      <c r="F2600">
        <v>987</v>
      </c>
      <c r="G2600">
        <v>1750</v>
      </c>
      <c r="H2600">
        <f>CONVERT(G2600,"HP","kW")</f>
        <v>1304.974775268973</v>
      </c>
      <c r="I2600">
        <v>0</v>
      </c>
      <c r="J2600">
        <v>0</v>
      </c>
      <c r="K2600">
        <v>0.42499999999999999</v>
      </c>
      <c r="L2600">
        <v>0.33160000000000001</v>
      </c>
      <c r="M2600">
        <v>0.2374</v>
      </c>
      <c r="N2600">
        <f>CONVERT(O2600,"lbf","N")</f>
        <v>14333.504510853911</v>
      </c>
      <c r="O2600">
        <v>3222.3</v>
      </c>
      <c r="P2600">
        <f t="shared" si="40"/>
        <v>0.71592279855247287</v>
      </c>
    </row>
    <row r="2601" spans="1:16" hidden="1" x14ac:dyDescent="0.25">
      <c r="A2601">
        <v>0</v>
      </c>
      <c r="B2601">
        <v>10000</v>
      </c>
      <c r="C2601">
        <f>1.225 * (1 - 0.00000687559 * B2601) ^ 4.2561</f>
        <v>0.90462252368600637</v>
      </c>
      <c r="D2601">
        <f>E2601*(SQRT($C$2/C2601))</f>
        <v>46.547283141308135</v>
      </c>
      <c r="E2601">
        <v>40</v>
      </c>
      <c r="F2601">
        <v>987</v>
      </c>
      <c r="G2601">
        <v>1750</v>
      </c>
      <c r="H2601">
        <f>CONVERT(G2601,"HP","kW")</f>
        <v>1304.974775268973</v>
      </c>
      <c r="I2601">
        <v>0.3014</v>
      </c>
      <c r="J2601">
        <v>0.3674</v>
      </c>
      <c r="K2601">
        <v>0.43590000000000001</v>
      </c>
      <c r="L2601">
        <v>0.33169999999999999</v>
      </c>
      <c r="M2601">
        <v>0.2722</v>
      </c>
      <c r="N2601">
        <f>CONVERT(O2601,"lbf","N")</f>
        <v>16427.282425157027</v>
      </c>
      <c r="O2601">
        <v>3693</v>
      </c>
      <c r="P2601">
        <f t="shared" si="40"/>
        <v>0.82062104311124506</v>
      </c>
    </row>
    <row r="2602" spans="1:16" hidden="1" x14ac:dyDescent="0.25">
      <c r="A2602">
        <v>0</v>
      </c>
      <c r="B2602">
        <v>10000</v>
      </c>
      <c r="C2602">
        <f>1.225 * (1 - 0.00000687559 * B2602) ^ 4.2561</f>
        <v>0.90462252368600637</v>
      </c>
      <c r="D2602">
        <f>E2602*(SQRT($C$2/C2602))</f>
        <v>23.273641570654068</v>
      </c>
      <c r="E2602">
        <v>20</v>
      </c>
      <c r="F2602">
        <v>987</v>
      </c>
      <c r="G2602">
        <v>1750</v>
      </c>
      <c r="H2602">
        <f>CONVERT(G2602,"HP","kW")</f>
        <v>1304.974775268973</v>
      </c>
      <c r="I2602">
        <v>0.1404</v>
      </c>
      <c r="J2602">
        <v>0.1837</v>
      </c>
      <c r="K2602">
        <v>0.42949999999999999</v>
      </c>
      <c r="L2602">
        <v>0.33179999999999998</v>
      </c>
      <c r="M2602">
        <v>0.25359999999999999</v>
      </c>
      <c r="N2602">
        <f>CONVERT(O2602,"lbf","N")</f>
        <v>15303.216822980699</v>
      </c>
      <c r="O2602">
        <v>3440.3</v>
      </c>
      <c r="P2602">
        <f t="shared" si="40"/>
        <v>0.76431585292344784</v>
      </c>
    </row>
    <row r="2603" spans="1:16" hidden="1" x14ac:dyDescent="0.25">
      <c r="A2603">
        <v>0</v>
      </c>
      <c r="B2603">
        <v>10000</v>
      </c>
      <c r="C2603">
        <f>1.225 * (1 - 0.00000687559 * B2603) ^ 4.2561</f>
        <v>0.90462252368600637</v>
      </c>
      <c r="D2603">
        <f>E2603*(SQRT($C$2/C2603))</f>
        <v>69.820924711962206</v>
      </c>
      <c r="E2603">
        <v>60</v>
      </c>
      <c r="F2603">
        <v>987</v>
      </c>
      <c r="G2603">
        <v>1750</v>
      </c>
      <c r="H2603">
        <f>CONVERT(G2603,"HP","kW")</f>
        <v>1304.974775268973</v>
      </c>
      <c r="I2603">
        <v>0.48899999999999999</v>
      </c>
      <c r="J2603">
        <v>0.55110000000000003</v>
      </c>
      <c r="K2603">
        <v>0.44469999999999998</v>
      </c>
      <c r="L2603">
        <v>0.33179999999999998</v>
      </c>
      <c r="M2603">
        <v>0.29449999999999998</v>
      </c>
      <c r="N2603">
        <f>CONVERT(O2603,"lbf","N")</f>
        <v>17767.086775673488</v>
      </c>
      <c r="O2603">
        <v>3994.2</v>
      </c>
      <c r="P2603">
        <f t="shared" si="40"/>
        <v>0.88758288125376728</v>
      </c>
    </row>
    <row r="2604" spans="1:16" hidden="1" x14ac:dyDescent="0.25">
      <c r="A2604">
        <v>0</v>
      </c>
      <c r="B2604">
        <v>10000</v>
      </c>
      <c r="C2604">
        <f>1.225 * (1 - 0.00000687559 * B2604) ^ 4.2561</f>
        <v>0.90462252368600637</v>
      </c>
      <c r="D2604">
        <f>E2604*(SQRT($C$2/C2604))</f>
        <v>139.64184942392441</v>
      </c>
      <c r="E2604">
        <v>120</v>
      </c>
      <c r="F2604">
        <v>987</v>
      </c>
      <c r="G2604">
        <v>1750</v>
      </c>
      <c r="H2604">
        <f>CONVERT(G2604,"HP","kW")</f>
        <v>1304.974775268973</v>
      </c>
      <c r="I2604">
        <v>0.79569999999999996</v>
      </c>
      <c r="J2604">
        <v>1.1021000000000001</v>
      </c>
      <c r="K2604">
        <v>0.4864</v>
      </c>
      <c r="L2604">
        <v>0.33179999999999998</v>
      </c>
      <c r="M2604">
        <v>0.23949999999999999</v>
      </c>
      <c r="N2604">
        <f>CONVERT(O2604,"lbf","N")</f>
        <v>14454.496138788996</v>
      </c>
      <c r="O2604">
        <v>3249.5</v>
      </c>
      <c r="P2604">
        <f t="shared" si="40"/>
        <v>0.7218203737191079</v>
      </c>
    </row>
    <row r="2605" spans="1:16" hidden="1" x14ac:dyDescent="0.25">
      <c r="A2605">
        <v>0</v>
      </c>
      <c r="B2605">
        <v>10000</v>
      </c>
      <c r="C2605">
        <f>1.225 * (1 - 0.00000687559 * B2605) ^ 4.2561</f>
        <v>0.90462252368600637</v>
      </c>
      <c r="D2605">
        <f>E2605*(SQRT($C$2/C2605))</f>
        <v>162.91549099457848</v>
      </c>
      <c r="E2605">
        <v>140</v>
      </c>
      <c r="F2605">
        <v>987</v>
      </c>
      <c r="G2605">
        <v>1750</v>
      </c>
      <c r="H2605">
        <f>CONVERT(G2605,"HP","kW")</f>
        <v>1304.974775268973</v>
      </c>
      <c r="I2605">
        <v>0.8327</v>
      </c>
      <c r="J2605">
        <v>1.2858000000000001</v>
      </c>
      <c r="K2605">
        <v>0.50439999999999996</v>
      </c>
      <c r="L2605">
        <v>0.33179999999999998</v>
      </c>
      <c r="M2605">
        <v>0.21490000000000001</v>
      </c>
      <c r="N2605">
        <f>CONVERT(O2605,"lbf","N")</f>
        <v>12965.676364161305</v>
      </c>
      <c r="O2605">
        <v>2914.8</v>
      </c>
      <c r="P2605">
        <f t="shared" si="40"/>
        <v>0.64767932489451485</v>
      </c>
    </row>
    <row r="2606" spans="1:16" hidden="1" x14ac:dyDescent="0.25">
      <c r="A2606">
        <v>0</v>
      </c>
      <c r="B2606">
        <v>10000</v>
      </c>
      <c r="C2606">
        <f>1.225 * (1 - 0.00000687559 * B2606) ^ 4.2561</f>
        <v>0.90462252368600637</v>
      </c>
      <c r="D2606">
        <f>E2606*(SQRT($C$2/C2606))</f>
        <v>186.18913256523254</v>
      </c>
      <c r="E2606">
        <v>160</v>
      </c>
      <c r="F2606">
        <v>987</v>
      </c>
      <c r="G2606">
        <v>1750</v>
      </c>
      <c r="H2606">
        <f>CONVERT(G2606,"HP","kW")</f>
        <v>1304.974775268973</v>
      </c>
      <c r="I2606">
        <v>0.85809999999999997</v>
      </c>
      <c r="J2606">
        <v>1.4695</v>
      </c>
      <c r="K2606">
        <v>0.52410000000000001</v>
      </c>
      <c r="L2606">
        <v>0.33179999999999998</v>
      </c>
      <c r="M2606">
        <v>0.19370000000000001</v>
      </c>
      <c r="N2606">
        <f>CONVERT(O2606,"lbf","N")</f>
        <v>11690.816049227646</v>
      </c>
      <c r="O2606">
        <v>2628.2</v>
      </c>
      <c r="P2606">
        <f t="shared" si="40"/>
        <v>0.58378541289933705</v>
      </c>
    </row>
    <row r="2607" spans="1:16" hidden="1" x14ac:dyDescent="0.25">
      <c r="A2607">
        <v>0</v>
      </c>
      <c r="B2607">
        <v>10000</v>
      </c>
      <c r="C2607">
        <f>1.225 * (1 - 0.00000687559 * B2607) ^ 4.2561</f>
        <v>0.90462252368600637</v>
      </c>
      <c r="D2607">
        <f>E2607*(SQRT($C$2/C2607))</f>
        <v>209.4627741358866</v>
      </c>
      <c r="E2607">
        <v>180</v>
      </c>
      <c r="F2607">
        <v>987</v>
      </c>
      <c r="G2607">
        <v>1750</v>
      </c>
      <c r="H2607">
        <f>CONVERT(G2607,"HP","kW")</f>
        <v>1304.974775268973</v>
      </c>
      <c r="I2607">
        <v>0.87519999999999998</v>
      </c>
      <c r="J2607">
        <v>1.6532</v>
      </c>
      <c r="K2607">
        <v>0.5454</v>
      </c>
      <c r="L2607">
        <v>0.33179999999999998</v>
      </c>
      <c r="M2607">
        <v>0.17560000000000001</v>
      </c>
      <c r="N2607">
        <f>CONVERT(O2607,"lbf","N")</f>
        <v>10598.777642681192</v>
      </c>
      <c r="O2607">
        <v>2382.6999999999998</v>
      </c>
      <c r="P2607">
        <f t="shared" si="40"/>
        <v>0.52923447860156725</v>
      </c>
    </row>
    <row r="2608" spans="1:16" hidden="1" x14ac:dyDescent="0.25">
      <c r="A2608">
        <v>0</v>
      </c>
      <c r="B2608">
        <v>10000</v>
      </c>
      <c r="C2608">
        <f>1.225 * (1 - 0.00000687559 * B2608) ^ 4.2561</f>
        <v>0.90462252368600637</v>
      </c>
      <c r="D2608">
        <f>E2608*(SQRT($C$2/C2608))</f>
        <v>232.73641570654067</v>
      </c>
      <c r="E2608">
        <v>200</v>
      </c>
      <c r="F2608">
        <v>987</v>
      </c>
      <c r="G2608">
        <v>1750</v>
      </c>
      <c r="H2608">
        <f>CONVERT(G2608,"HP","kW")</f>
        <v>1304.974775268973</v>
      </c>
      <c r="I2608">
        <v>0.8861</v>
      </c>
      <c r="J2608">
        <v>1.8368</v>
      </c>
      <c r="K2608">
        <v>0.56830000000000003</v>
      </c>
      <c r="L2608">
        <v>0.33179999999999998</v>
      </c>
      <c r="M2608">
        <v>0.16</v>
      </c>
      <c r="N2608">
        <f>CONVERT(O2608,"lbf","N")</f>
        <v>9657.9787710535966</v>
      </c>
      <c r="O2608">
        <v>2171.1999999999998</v>
      </c>
      <c r="P2608">
        <f t="shared" si="40"/>
        <v>0.4822182037371911</v>
      </c>
    </row>
    <row r="2609" spans="1:16" hidden="1" x14ac:dyDescent="0.25">
      <c r="A2609">
        <v>0</v>
      </c>
      <c r="B2609">
        <v>10000</v>
      </c>
      <c r="C2609">
        <f>1.225 * (1 - 0.00000687559 * B2609) ^ 4.2561</f>
        <v>0.90462252368600637</v>
      </c>
      <c r="D2609">
        <f>E2609*(SQRT($C$2/C2609))</f>
        <v>256.01005727719473</v>
      </c>
      <c r="E2609">
        <v>220</v>
      </c>
      <c r="F2609">
        <v>987</v>
      </c>
      <c r="G2609">
        <v>1750</v>
      </c>
      <c r="H2609">
        <f>CONVERT(G2609,"HP","kW")</f>
        <v>1304.974775268973</v>
      </c>
      <c r="I2609">
        <v>0.8921</v>
      </c>
      <c r="J2609">
        <v>2.0205000000000002</v>
      </c>
      <c r="K2609">
        <v>0.59240000000000004</v>
      </c>
      <c r="L2609">
        <v>0.33179999999999998</v>
      </c>
      <c r="M2609">
        <v>0.14649999999999999</v>
      </c>
      <c r="N2609">
        <f>CONVERT(O2609,"lbf","N")</f>
        <v>8839.9508160071928</v>
      </c>
      <c r="O2609">
        <v>1987.3</v>
      </c>
      <c r="P2609">
        <f t="shared" si="40"/>
        <v>0.44153104279686556</v>
      </c>
    </row>
    <row r="2610" spans="1:16" hidden="1" x14ac:dyDescent="0.25">
      <c r="A2610">
        <v>0</v>
      </c>
      <c r="B2610">
        <v>10000</v>
      </c>
      <c r="C2610">
        <f>1.225 * (1 - 0.00000687559 * B2610) ^ 4.2561</f>
        <v>0.90462252368600637</v>
      </c>
      <c r="D2610">
        <f>E2610*(SQRT($C$2/C2610))</f>
        <v>279.28369884784883</v>
      </c>
      <c r="E2610">
        <v>240</v>
      </c>
      <c r="F2610">
        <v>987</v>
      </c>
      <c r="G2610">
        <v>1750</v>
      </c>
      <c r="H2610">
        <f>CONVERT(G2610,"HP","kW")</f>
        <v>1304.974775268973</v>
      </c>
      <c r="I2610">
        <v>0.89400000000000002</v>
      </c>
      <c r="J2610">
        <v>2.2042000000000002</v>
      </c>
      <c r="K2610">
        <v>0.61780000000000002</v>
      </c>
      <c r="L2610">
        <v>0.33179999999999998</v>
      </c>
      <c r="M2610">
        <v>0.1346</v>
      </c>
      <c r="N2610">
        <f>CONVERT(O2610,"lbf","N")</f>
        <v>8120.2285586580429</v>
      </c>
      <c r="O2610">
        <v>1825.5</v>
      </c>
      <c r="P2610">
        <f t="shared" si="40"/>
        <v>0.40566606389391202</v>
      </c>
    </row>
    <row r="2611" spans="1:16" hidden="1" x14ac:dyDescent="0.25">
      <c r="A2611">
        <v>0</v>
      </c>
      <c r="B2611">
        <v>10000</v>
      </c>
      <c r="C2611">
        <f>1.225 * (1 - 0.00000687559 * B2611) ^ 4.2561</f>
        <v>0.90462252368600637</v>
      </c>
      <c r="D2611">
        <f>E2611*(SQRT($C$2/C2611))</f>
        <v>302.55734041850286</v>
      </c>
      <c r="E2611">
        <v>260</v>
      </c>
      <c r="F2611">
        <v>987</v>
      </c>
      <c r="G2611">
        <v>1750</v>
      </c>
      <c r="H2611">
        <f>CONVERT(G2611,"HP","kW")</f>
        <v>1304.974775268973</v>
      </c>
      <c r="I2611">
        <v>0.89149999999999996</v>
      </c>
      <c r="J2611">
        <v>2.3879000000000001</v>
      </c>
      <c r="K2611">
        <v>0.64410000000000001</v>
      </c>
      <c r="L2611">
        <v>0.33179999999999998</v>
      </c>
      <c r="M2611">
        <v>0.1239</v>
      </c>
      <c r="N2611">
        <f>CONVERT(O2611,"lbf","N")</f>
        <v>7474.3467801222178</v>
      </c>
      <c r="O2611">
        <v>1680.3</v>
      </c>
      <c r="P2611">
        <f t="shared" si="40"/>
        <v>0.37341772151898733</v>
      </c>
    </row>
    <row r="2612" spans="1:16" hidden="1" x14ac:dyDescent="0.25">
      <c r="A2612">
        <v>0</v>
      </c>
      <c r="B2612">
        <v>10000</v>
      </c>
      <c r="C2612">
        <f>1.225 * (1 - 0.00000687559 * B2612) ^ 4.2561</f>
        <v>0.90462252368600637</v>
      </c>
      <c r="D2612">
        <f>E2612*(SQRT($C$2/C2612))</f>
        <v>116.36820785327033</v>
      </c>
      <c r="E2612">
        <v>100</v>
      </c>
      <c r="F2612">
        <v>987</v>
      </c>
      <c r="G2612">
        <v>1750</v>
      </c>
      <c r="H2612">
        <f>CONVERT(G2612,"HP","kW")</f>
        <v>1304.974775268973</v>
      </c>
      <c r="I2612">
        <v>0.74199999999999999</v>
      </c>
      <c r="J2612">
        <v>0.91839999999999999</v>
      </c>
      <c r="K2612">
        <v>0.4703</v>
      </c>
      <c r="L2612">
        <v>0.33189999999999997</v>
      </c>
      <c r="M2612">
        <v>0.26819999999999999</v>
      </c>
      <c r="N2612">
        <f>CONVERT(O2612,"lbf","N")</f>
        <v>16175.513081733285</v>
      </c>
      <c r="O2612">
        <v>3636.4</v>
      </c>
      <c r="P2612">
        <f t="shared" si="40"/>
        <v>0.80807472130159697</v>
      </c>
    </row>
    <row r="2613" spans="1:16" hidden="1" x14ac:dyDescent="0.25">
      <c r="A2613">
        <v>0</v>
      </c>
      <c r="B2613">
        <v>10000</v>
      </c>
      <c r="C2613">
        <f>1.225 * (1 - 0.00000687559 * B2613) ^ 4.2561</f>
        <v>0.90462252368600637</v>
      </c>
      <c r="D2613">
        <f>E2613*(SQRT($C$2/C2613))</f>
        <v>93.09456628261627</v>
      </c>
      <c r="E2613">
        <v>80</v>
      </c>
      <c r="F2613">
        <v>987</v>
      </c>
      <c r="G2613">
        <v>1750</v>
      </c>
      <c r="H2613">
        <f>CONVERT(G2613,"HP","kW")</f>
        <v>1304.974775268973</v>
      </c>
      <c r="I2613">
        <v>0.65369999999999995</v>
      </c>
      <c r="J2613">
        <v>0.73470000000000002</v>
      </c>
      <c r="K2613">
        <v>0.45619999999999999</v>
      </c>
      <c r="L2613">
        <v>0.3322</v>
      </c>
      <c r="M2613">
        <v>0.29549999999999998</v>
      </c>
      <c r="N2613">
        <f>CONVERT(O2613,"lbf","N")</f>
        <v>17811.568991826094</v>
      </c>
      <c r="O2613">
        <v>4004.2</v>
      </c>
      <c r="P2613">
        <f t="shared" si="40"/>
        <v>0.88952438290186631</v>
      </c>
    </row>
    <row r="2614" spans="1:16" hidden="1" x14ac:dyDescent="0.25">
      <c r="A2614">
        <v>0</v>
      </c>
      <c r="B2614">
        <v>20000</v>
      </c>
      <c r="C2614">
        <f>1.225 * (1 - 0.00000687559 * B2614) ^ 4.2561</f>
        <v>0.65267221054298263</v>
      </c>
      <c r="D2614">
        <f>E2614*(SQRT($C$2/C2614))</f>
        <v>0</v>
      </c>
      <c r="E2614">
        <v>0</v>
      </c>
      <c r="F2614">
        <v>1150</v>
      </c>
      <c r="G2614">
        <v>2000</v>
      </c>
      <c r="H2614">
        <f>CONVERT(G2614,"HP","kW")</f>
        <v>1491.3997431645405</v>
      </c>
      <c r="I2614">
        <v>0</v>
      </c>
      <c r="J2614">
        <v>0</v>
      </c>
      <c r="K2614">
        <v>0.51429999999999998</v>
      </c>
      <c r="L2614">
        <v>0.3322</v>
      </c>
      <c r="M2614">
        <v>0.24060000000000001</v>
      </c>
      <c r="N2614">
        <f>CONVERT(O2614,"lbf","N")</f>
        <v>14223.188614795448</v>
      </c>
      <c r="O2614">
        <v>3197.5</v>
      </c>
      <c r="P2614">
        <f t="shared" si="40"/>
        <v>0.72426249247441299</v>
      </c>
    </row>
    <row r="2615" spans="1:16" hidden="1" x14ac:dyDescent="0.25">
      <c r="A2615">
        <v>0</v>
      </c>
      <c r="B2615">
        <v>20000</v>
      </c>
      <c r="C2615">
        <f>1.225 * (1 - 0.00000687559 * B2615) ^ 4.2561</f>
        <v>0.65267221054298263</v>
      </c>
      <c r="D2615">
        <f>E2615*(SQRT($C$2/C2615))</f>
        <v>54.799989443328272</v>
      </c>
      <c r="E2615">
        <v>40</v>
      </c>
      <c r="F2615">
        <v>1150</v>
      </c>
      <c r="G2615">
        <v>2000</v>
      </c>
      <c r="H2615">
        <f>CONVERT(G2615,"HP","kW")</f>
        <v>1491.3997431645405</v>
      </c>
      <c r="I2615">
        <v>0.30370000000000003</v>
      </c>
      <c r="J2615">
        <v>0.37119999999999997</v>
      </c>
      <c r="K2615">
        <v>0.52790000000000004</v>
      </c>
      <c r="L2615">
        <v>0.3322</v>
      </c>
      <c r="M2615">
        <v>0.27179999999999999</v>
      </c>
      <c r="N2615">
        <f>CONVERT(O2615,"lbf","N")</f>
        <v>16067.421296482451</v>
      </c>
      <c r="O2615">
        <v>3612.1</v>
      </c>
      <c r="P2615">
        <f t="shared" si="40"/>
        <v>0.81818181818181812</v>
      </c>
    </row>
    <row r="2616" spans="1:16" hidden="1" x14ac:dyDescent="0.25">
      <c r="A2616">
        <v>0</v>
      </c>
      <c r="B2616">
        <v>20000</v>
      </c>
      <c r="C2616">
        <f>1.225 * (1 - 0.00000687559 * B2616) ^ 4.2561</f>
        <v>0.65267221054298263</v>
      </c>
      <c r="D2616">
        <f>E2616*(SQRT($C$2/C2616))</f>
        <v>82.199984164992401</v>
      </c>
      <c r="E2616">
        <v>60</v>
      </c>
      <c r="F2616">
        <v>1150</v>
      </c>
      <c r="G2616">
        <v>2000</v>
      </c>
      <c r="H2616">
        <f>CONVERT(G2616,"HP","kW")</f>
        <v>1491.3997431645405</v>
      </c>
      <c r="I2616">
        <v>0.4914</v>
      </c>
      <c r="J2616">
        <v>0.55679999999999996</v>
      </c>
      <c r="K2616">
        <v>0.53879999999999995</v>
      </c>
      <c r="L2616">
        <v>0.3322</v>
      </c>
      <c r="M2616">
        <v>0.29320000000000002</v>
      </c>
      <c r="N2616">
        <f>CONVERT(O2616,"lbf","N")</f>
        <v>17331.161057377962</v>
      </c>
      <c r="O2616">
        <v>3896.2</v>
      </c>
      <c r="P2616">
        <f t="shared" si="40"/>
        <v>0.88260084286574358</v>
      </c>
    </row>
    <row r="2617" spans="1:16" hidden="1" x14ac:dyDescent="0.25">
      <c r="A2617">
        <v>0</v>
      </c>
      <c r="B2617">
        <v>20000</v>
      </c>
      <c r="C2617">
        <f>1.225 * (1 - 0.00000687559 * B2617) ^ 4.2561</f>
        <v>0.65267221054298263</v>
      </c>
      <c r="D2617">
        <f>E2617*(SQRT($C$2/C2617))</f>
        <v>109.59997888665654</v>
      </c>
      <c r="E2617">
        <v>80</v>
      </c>
      <c r="F2617">
        <v>1150</v>
      </c>
      <c r="G2617">
        <v>2000</v>
      </c>
      <c r="H2617">
        <f>CONVERT(G2617,"HP","kW")</f>
        <v>1491.3997431645405</v>
      </c>
      <c r="I2617">
        <v>0.6512</v>
      </c>
      <c r="J2617">
        <v>0.74239999999999995</v>
      </c>
      <c r="K2617">
        <v>0.55300000000000005</v>
      </c>
      <c r="L2617">
        <v>0.3322</v>
      </c>
      <c r="M2617">
        <v>0.29139999999999999</v>
      </c>
      <c r="N2617">
        <f>CONVERT(O2617,"lbf","N")</f>
        <v>17223.958916450181</v>
      </c>
      <c r="O2617">
        <v>3872.1</v>
      </c>
      <c r="P2617">
        <f t="shared" si="40"/>
        <v>0.87718242022877779</v>
      </c>
    </row>
    <row r="2618" spans="1:16" hidden="1" x14ac:dyDescent="0.25">
      <c r="A2618">
        <v>0</v>
      </c>
      <c r="B2618">
        <v>20000</v>
      </c>
      <c r="C2618">
        <f>1.225 * (1 - 0.00000687559 * B2618) ^ 4.2561</f>
        <v>0.65267221054298263</v>
      </c>
      <c r="D2618">
        <f>E2618*(SQRT($C$2/C2618))</f>
        <v>164.3999683299848</v>
      </c>
      <c r="E2618">
        <v>120</v>
      </c>
      <c r="F2618">
        <v>1150</v>
      </c>
      <c r="G2618">
        <v>2000</v>
      </c>
      <c r="H2618">
        <f>CONVERT(G2618,"HP","kW")</f>
        <v>1491.3997431645405</v>
      </c>
      <c r="I2618">
        <v>0.79579999999999995</v>
      </c>
      <c r="J2618">
        <v>1.1135999999999999</v>
      </c>
      <c r="K2618">
        <v>0.59009999999999996</v>
      </c>
      <c r="L2618">
        <v>0.3322</v>
      </c>
      <c r="M2618">
        <v>0.2374</v>
      </c>
      <c r="N2618">
        <f>CONVERT(O2618,"lbf","N")</f>
        <v>14033.249551823827</v>
      </c>
      <c r="O2618">
        <v>3154.8</v>
      </c>
      <c r="P2618">
        <f t="shared" si="40"/>
        <v>0.71462974111980737</v>
      </c>
    </row>
    <row r="2619" spans="1:16" hidden="1" x14ac:dyDescent="0.25">
      <c r="A2619">
        <v>0</v>
      </c>
      <c r="B2619">
        <v>20000</v>
      </c>
      <c r="C2619">
        <f>1.225 * (1 - 0.00000687559 * B2619) ^ 4.2561</f>
        <v>0.65267221054298263</v>
      </c>
      <c r="D2619">
        <f>E2619*(SQRT($C$2/C2619))</f>
        <v>191.79996305164894</v>
      </c>
      <c r="E2619">
        <v>140</v>
      </c>
      <c r="F2619">
        <v>1150</v>
      </c>
      <c r="G2619">
        <v>2000</v>
      </c>
      <c r="H2619">
        <f>CONVERT(G2619,"HP","kW")</f>
        <v>1491.3997431645405</v>
      </c>
      <c r="I2619">
        <v>0.83250000000000002</v>
      </c>
      <c r="J2619">
        <v>1.2991999999999999</v>
      </c>
      <c r="K2619">
        <v>0.61219999999999997</v>
      </c>
      <c r="L2619">
        <v>0.3322</v>
      </c>
      <c r="M2619">
        <v>0.21290000000000001</v>
      </c>
      <c r="N2619">
        <f>CONVERT(O2619,"lbf","N")</f>
        <v>12583.574127410429</v>
      </c>
      <c r="O2619">
        <v>2828.9</v>
      </c>
      <c r="P2619">
        <f t="shared" si="40"/>
        <v>0.64087898856110781</v>
      </c>
    </row>
    <row r="2620" spans="1:16" hidden="1" x14ac:dyDescent="0.25">
      <c r="A2620">
        <v>0</v>
      </c>
      <c r="B2620">
        <v>20000</v>
      </c>
      <c r="C2620">
        <f>1.225 * (1 - 0.00000687559 * B2620) ^ 4.2561</f>
        <v>0.65267221054298263</v>
      </c>
      <c r="D2620">
        <f>E2620*(SQRT($C$2/C2620))</f>
        <v>219.19995777331309</v>
      </c>
      <c r="E2620">
        <v>160</v>
      </c>
      <c r="F2620">
        <v>1150</v>
      </c>
      <c r="G2620">
        <v>2000</v>
      </c>
      <c r="H2620">
        <f>CONVERT(G2620,"HP","kW")</f>
        <v>1491.3997431645405</v>
      </c>
      <c r="I2620">
        <v>0.85780000000000001</v>
      </c>
      <c r="J2620">
        <v>1.4847999999999999</v>
      </c>
      <c r="K2620">
        <v>0.63649999999999995</v>
      </c>
      <c r="L2620">
        <v>0.3322</v>
      </c>
      <c r="M2620">
        <v>0.19189999999999999</v>
      </c>
      <c r="N2620">
        <f>CONVERT(O2620,"lbf","N")</f>
        <v>11345.634051883431</v>
      </c>
      <c r="O2620">
        <v>2550.6</v>
      </c>
      <c r="P2620">
        <f t="shared" si="40"/>
        <v>0.57766405779650809</v>
      </c>
    </row>
    <row r="2621" spans="1:16" hidden="1" x14ac:dyDescent="0.25">
      <c r="A2621">
        <v>0</v>
      </c>
      <c r="B2621">
        <v>20000</v>
      </c>
      <c r="C2621">
        <f>1.225 * (1 - 0.00000687559 * B2621) ^ 4.2561</f>
        <v>0.65267221054298263</v>
      </c>
      <c r="D2621">
        <f>E2621*(SQRT($C$2/C2621))</f>
        <v>246.59995249497723</v>
      </c>
      <c r="E2621">
        <v>180</v>
      </c>
      <c r="F2621">
        <v>1150</v>
      </c>
      <c r="G2621">
        <v>2000</v>
      </c>
      <c r="H2621">
        <f>CONVERT(G2621,"HP","kW")</f>
        <v>1491.3997431645405</v>
      </c>
      <c r="I2621">
        <v>0.87490000000000001</v>
      </c>
      <c r="J2621">
        <v>1.6704000000000001</v>
      </c>
      <c r="K2621">
        <v>0.66279999999999994</v>
      </c>
      <c r="L2621">
        <v>0.3322</v>
      </c>
      <c r="M2621">
        <v>0.17399999999999999</v>
      </c>
      <c r="N2621">
        <f>CONVERT(O2621,"lbf","N")</f>
        <v>10286.06766312838</v>
      </c>
      <c r="O2621">
        <v>2312.4</v>
      </c>
      <c r="P2621">
        <f t="shared" si="40"/>
        <v>0.52378085490668269</v>
      </c>
    </row>
    <row r="2622" spans="1:16" hidden="1" x14ac:dyDescent="0.25">
      <c r="A2622">
        <v>0</v>
      </c>
      <c r="B2622">
        <v>20000</v>
      </c>
      <c r="C2622">
        <f>1.225 * (1 - 0.00000687559 * B2622) ^ 4.2561</f>
        <v>0.65267221054298263</v>
      </c>
      <c r="D2622">
        <f>E2622*(SQRT($C$2/C2622))</f>
        <v>273.99994721664137</v>
      </c>
      <c r="E2622">
        <v>200</v>
      </c>
      <c r="F2622">
        <v>1150</v>
      </c>
      <c r="G2622">
        <v>2000</v>
      </c>
      <c r="H2622">
        <f>CONVERT(G2622,"HP","kW")</f>
        <v>1491.3997431645405</v>
      </c>
      <c r="I2622">
        <v>0.88600000000000001</v>
      </c>
      <c r="J2622">
        <v>1.8560000000000001</v>
      </c>
      <c r="K2622">
        <v>0.69089999999999996</v>
      </c>
      <c r="L2622">
        <v>0.3322</v>
      </c>
      <c r="M2622">
        <v>0.15859999999999999</v>
      </c>
      <c r="N2622">
        <f>CONVERT(O2622,"lbf","N")</f>
        <v>9374.1822319999774</v>
      </c>
      <c r="O2622">
        <v>2107.4</v>
      </c>
      <c r="P2622">
        <f t="shared" si="40"/>
        <v>0.47742323901264294</v>
      </c>
    </row>
    <row r="2623" spans="1:16" hidden="1" x14ac:dyDescent="0.25">
      <c r="A2623">
        <v>0</v>
      </c>
      <c r="B2623">
        <v>20000</v>
      </c>
      <c r="C2623">
        <f>1.225 * (1 - 0.00000687559 * B2623) ^ 4.2561</f>
        <v>0.65267221054298263</v>
      </c>
      <c r="D2623">
        <f>E2623*(SQRT($C$2/C2623))</f>
        <v>301.39994193830552</v>
      </c>
      <c r="E2623">
        <v>220</v>
      </c>
      <c r="F2623">
        <v>1150</v>
      </c>
      <c r="G2623">
        <v>2000</v>
      </c>
      <c r="H2623">
        <f>CONVERT(G2623,"HP","kW")</f>
        <v>1491.3997431645405</v>
      </c>
      <c r="I2623">
        <v>0.88900000000000001</v>
      </c>
      <c r="J2623">
        <v>2.0415999999999999</v>
      </c>
      <c r="K2623">
        <v>0.72070000000000001</v>
      </c>
      <c r="L2623">
        <v>0.3322</v>
      </c>
      <c r="M2623">
        <v>0.1447</v>
      </c>
      <c r="N2623">
        <f>CONVERT(O2623,"lbf","N")</f>
        <v>8551.261233176785</v>
      </c>
      <c r="O2623">
        <v>1922.4</v>
      </c>
      <c r="P2623">
        <f t="shared" si="40"/>
        <v>0.43558097531607465</v>
      </c>
    </row>
    <row r="2624" spans="1:16" hidden="1" x14ac:dyDescent="0.25">
      <c r="A2624">
        <v>0</v>
      </c>
      <c r="B2624">
        <v>20000</v>
      </c>
      <c r="C2624">
        <f>1.225 * (1 - 0.00000687559 * B2624) ^ 4.2561</f>
        <v>0.65267221054298263</v>
      </c>
      <c r="D2624">
        <f>E2624*(SQRT($C$2/C2624))</f>
        <v>328.7999366599696</v>
      </c>
      <c r="E2624">
        <v>240</v>
      </c>
      <c r="F2624">
        <v>1150</v>
      </c>
      <c r="G2624">
        <v>2000</v>
      </c>
      <c r="H2624">
        <f>CONVERT(G2624,"HP","kW")</f>
        <v>1491.3997431645405</v>
      </c>
      <c r="I2624">
        <v>0.87219999999999998</v>
      </c>
      <c r="J2624">
        <v>2.2271999999999998</v>
      </c>
      <c r="K2624">
        <v>0.75180000000000002</v>
      </c>
      <c r="L2624">
        <v>0.3322</v>
      </c>
      <c r="M2624">
        <v>0.13009999999999999</v>
      </c>
      <c r="N2624">
        <f>CONVERT(O2624,"lbf","N")</f>
        <v>7690.9751727854045</v>
      </c>
      <c r="O2624">
        <v>1729</v>
      </c>
      <c r="P2624">
        <f t="shared" si="40"/>
        <v>0.39163154726068633</v>
      </c>
    </row>
    <row r="2625" spans="1:16" hidden="1" x14ac:dyDescent="0.25">
      <c r="A2625">
        <v>0</v>
      </c>
      <c r="B2625">
        <v>20000</v>
      </c>
      <c r="C2625">
        <f>1.225 * (1 - 0.00000687559 * B2625) ^ 4.2561</f>
        <v>0.65267221054298263</v>
      </c>
      <c r="D2625">
        <f>E2625*(SQRT($C$2/C2625))</f>
        <v>27.399994721664136</v>
      </c>
      <c r="E2625">
        <v>20</v>
      </c>
      <c r="F2625">
        <v>1150</v>
      </c>
      <c r="G2625">
        <v>2000</v>
      </c>
      <c r="H2625">
        <f>CONVERT(G2625,"HP","kW")</f>
        <v>1491.3997431645405</v>
      </c>
      <c r="I2625">
        <v>0.1421</v>
      </c>
      <c r="J2625">
        <v>0.18559999999999999</v>
      </c>
      <c r="K2625">
        <v>0.51990000000000003</v>
      </c>
      <c r="L2625">
        <v>0.33239999999999997</v>
      </c>
      <c r="M2625">
        <v>0.2545</v>
      </c>
      <c r="N2625">
        <f>CONVERT(O2625,"lbf","N")</f>
        <v>15035.433881742016</v>
      </c>
      <c r="O2625">
        <v>3380.1</v>
      </c>
      <c r="P2625">
        <f t="shared" si="40"/>
        <v>0.76564380264741283</v>
      </c>
    </row>
    <row r="2626" spans="1:16" hidden="1" x14ac:dyDescent="0.25">
      <c r="A2626">
        <v>0</v>
      </c>
      <c r="B2626">
        <v>20000</v>
      </c>
      <c r="C2626">
        <f>1.225 * (1 - 0.00000687559 * B2626) ^ 4.2561</f>
        <v>0.65267221054298263</v>
      </c>
      <c r="D2626">
        <f>E2626*(SQRT($C$2/C2626))</f>
        <v>136.99997360832069</v>
      </c>
      <c r="E2626">
        <v>100</v>
      </c>
      <c r="F2626">
        <v>1150</v>
      </c>
      <c r="G2626">
        <v>2000</v>
      </c>
      <c r="H2626">
        <f>CONVERT(G2626,"HP","kW")</f>
        <v>1491.3997431645405</v>
      </c>
      <c r="I2626">
        <v>0.74229999999999996</v>
      </c>
      <c r="J2626">
        <v>0.92800000000000005</v>
      </c>
      <c r="K2626">
        <v>0.57030000000000003</v>
      </c>
      <c r="L2626">
        <v>0.33239999999999997</v>
      </c>
      <c r="M2626">
        <v>0.26590000000000003</v>
      </c>
      <c r="N2626">
        <f>CONVERT(O2626,"lbf","N")</f>
        <v>15707.560167807876</v>
      </c>
      <c r="O2626">
        <v>3531.2</v>
      </c>
      <c r="P2626">
        <f t="shared" si="40"/>
        <v>0.7999398315282793</v>
      </c>
    </row>
    <row r="2627" spans="1:16" hidden="1" x14ac:dyDescent="0.25">
      <c r="A2627">
        <v>0</v>
      </c>
      <c r="B2627">
        <v>20000</v>
      </c>
      <c r="C2627">
        <f>1.225 * (1 - 0.00000687559 * B2627) ^ 4.2561</f>
        <v>0.65267221054298263</v>
      </c>
      <c r="D2627">
        <f>E2627*(SQRT($C$2/C2627))</f>
        <v>356.19993138163375</v>
      </c>
      <c r="E2627">
        <v>260</v>
      </c>
      <c r="F2627">
        <v>1150</v>
      </c>
      <c r="G2627">
        <v>2000</v>
      </c>
      <c r="H2627">
        <f>CONVERT(G2627,"HP","kW")</f>
        <v>1491.3997431645405</v>
      </c>
      <c r="I2627">
        <v>0.82920000000000005</v>
      </c>
      <c r="J2627">
        <v>2.4127999999999998</v>
      </c>
      <c r="K2627">
        <v>0.7843</v>
      </c>
      <c r="L2627">
        <v>0.33250000000000002</v>
      </c>
      <c r="M2627">
        <v>0.1143</v>
      </c>
      <c r="N2627">
        <f>CONVERT(O2627,"lbf","N")</f>
        <v>6749.2866568347563</v>
      </c>
      <c r="O2627">
        <v>1517.3</v>
      </c>
      <c r="P2627">
        <f t="shared" ref="P2627:P2690" si="41">M2627/L2627</f>
        <v>0.3437593984962406</v>
      </c>
    </row>
    <row r="2628" spans="1:16" hidden="1" x14ac:dyDescent="0.25">
      <c r="A2628">
        <v>0</v>
      </c>
      <c r="B2628">
        <v>15000</v>
      </c>
      <c r="C2628">
        <f>1.225 * (1 - 0.00000687559 * B2628) ^ 4.2561</f>
        <v>0.77079726910167001</v>
      </c>
      <c r="D2628">
        <f>E2628*(SQRT($C$2/C2628))</f>
        <v>50.426398555066115</v>
      </c>
      <c r="E2628">
        <v>40</v>
      </c>
      <c r="F2628">
        <v>987</v>
      </c>
      <c r="G2628">
        <v>1500</v>
      </c>
      <c r="H2628">
        <f>CONVERT(G2628,"HP","kW")</f>
        <v>1118.5498073734054</v>
      </c>
      <c r="I2628">
        <v>0.32840000000000003</v>
      </c>
      <c r="J2628">
        <v>0.39800000000000002</v>
      </c>
      <c r="K2628">
        <v>0.4456</v>
      </c>
      <c r="L2628">
        <v>0.33350000000000002</v>
      </c>
      <c r="M2628">
        <v>0.27529999999999999</v>
      </c>
      <c r="N2628">
        <f>CONVERT(O2628,"lbf","N")</f>
        <v>14161.803156504853</v>
      </c>
      <c r="O2628">
        <v>3183.7</v>
      </c>
      <c r="P2628">
        <f t="shared" si="41"/>
        <v>0.82548725637181397</v>
      </c>
    </row>
    <row r="2629" spans="1:16" hidden="1" x14ac:dyDescent="0.25">
      <c r="A2629">
        <v>0</v>
      </c>
      <c r="B2629">
        <v>15000</v>
      </c>
      <c r="C2629">
        <f>1.225 * (1 - 0.00000687559 * B2629) ^ 4.2561</f>
        <v>0.77079726910167001</v>
      </c>
      <c r="D2629">
        <f>E2629*(SQRT($C$2/C2629))</f>
        <v>0</v>
      </c>
      <c r="E2629">
        <v>0</v>
      </c>
      <c r="F2629">
        <v>987</v>
      </c>
      <c r="G2629">
        <v>1500</v>
      </c>
      <c r="H2629">
        <f>CONVERT(G2629,"HP","kW")</f>
        <v>1118.5498073734054</v>
      </c>
      <c r="I2629">
        <v>0</v>
      </c>
      <c r="J2629">
        <v>0</v>
      </c>
      <c r="K2629">
        <v>0.43319999999999997</v>
      </c>
      <c r="L2629">
        <v>0.33360000000000001</v>
      </c>
      <c r="M2629">
        <v>0.2366</v>
      </c>
      <c r="N2629">
        <f>CONVERT(O2629,"lbf","N")</f>
        <v>12173.448094483409</v>
      </c>
      <c r="O2629">
        <v>2736.7</v>
      </c>
      <c r="P2629">
        <f t="shared" si="41"/>
        <v>0.70923261390887293</v>
      </c>
    </row>
    <row r="2630" spans="1:16" hidden="1" x14ac:dyDescent="0.25">
      <c r="A2630">
        <v>0</v>
      </c>
      <c r="B2630">
        <v>15000</v>
      </c>
      <c r="C2630">
        <f>1.225 * (1 - 0.00000687559 * B2630) ^ 4.2561</f>
        <v>0.77079726910167001</v>
      </c>
      <c r="D2630">
        <f>E2630*(SQRT($C$2/C2630))</f>
        <v>25.213199277533057</v>
      </c>
      <c r="E2630">
        <v>20</v>
      </c>
      <c r="F2630">
        <v>987</v>
      </c>
      <c r="G2630">
        <v>1500</v>
      </c>
      <c r="H2630">
        <f>CONVERT(G2630,"HP","kW")</f>
        <v>1118.5498073734054</v>
      </c>
      <c r="I2630">
        <v>0.1517</v>
      </c>
      <c r="J2630">
        <v>0.19900000000000001</v>
      </c>
      <c r="K2630">
        <v>0.43809999999999999</v>
      </c>
      <c r="L2630">
        <v>0.3337</v>
      </c>
      <c r="M2630">
        <v>0.25440000000000002</v>
      </c>
      <c r="N2630">
        <f>CONVERT(O2630,"lbf","N")</f>
        <v>13082.664592642655</v>
      </c>
      <c r="O2630">
        <v>2941.1</v>
      </c>
      <c r="P2630">
        <f t="shared" si="41"/>
        <v>0.762361402457297</v>
      </c>
    </row>
    <row r="2631" spans="1:16" hidden="1" x14ac:dyDescent="0.25">
      <c r="A2631">
        <v>0</v>
      </c>
      <c r="B2631">
        <v>15000</v>
      </c>
      <c r="C2631">
        <f>1.225 * (1 - 0.00000687559 * B2631) ^ 4.2561</f>
        <v>0.77079726910167001</v>
      </c>
      <c r="D2631">
        <f>E2631*(SQRT($C$2/C2631))</f>
        <v>75.639597832599179</v>
      </c>
      <c r="E2631">
        <v>60</v>
      </c>
      <c r="F2631">
        <v>987</v>
      </c>
      <c r="G2631">
        <v>1500</v>
      </c>
      <c r="H2631">
        <f>CONVERT(G2631,"HP","kW")</f>
        <v>1118.5498073734054</v>
      </c>
      <c r="I2631">
        <v>0.53549999999999998</v>
      </c>
      <c r="J2631">
        <v>0.59699999999999998</v>
      </c>
      <c r="K2631">
        <v>0.45579999999999998</v>
      </c>
      <c r="L2631">
        <v>0.3337</v>
      </c>
      <c r="M2631">
        <v>0.2994</v>
      </c>
      <c r="N2631">
        <f>CONVERT(O2631,"lbf","N")</f>
        <v>15394.405366093541</v>
      </c>
      <c r="O2631">
        <v>3460.8</v>
      </c>
      <c r="P2631">
        <f t="shared" si="41"/>
        <v>0.89721306562780945</v>
      </c>
    </row>
    <row r="2632" spans="1:16" hidden="1" x14ac:dyDescent="0.25">
      <c r="A2632">
        <v>0</v>
      </c>
      <c r="B2632">
        <v>15000</v>
      </c>
      <c r="C2632">
        <f>1.225 * (1 - 0.00000687559 * B2632) ^ 4.2561</f>
        <v>0.77079726910167001</v>
      </c>
      <c r="D2632">
        <f>E2632*(SQRT($C$2/C2632))</f>
        <v>126.06599638766529</v>
      </c>
      <c r="E2632">
        <v>100</v>
      </c>
      <c r="F2632">
        <v>987</v>
      </c>
      <c r="G2632">
        <v>1500</v>
      </c>
      <c r="H2632">
        <f>CONVERT(G2632,"HP","kW")</f>
        <v>1118.5498073734054</v>
      </c>
      <c r="I2632">
        <v>0.76600000000000001</v>
      </c>
      <c r="J2632">
        <v>0.995</v>
      </c>
      <c r="K2632">
        <v>0.48580000000000001</v>
      </c>
      <c r="L2632">
        <v>0.3337</v>
      </c>
      <c r="M2632">
        <v>0.25690000000000002</v>
      </c>
      <c r="N2632">
        <f>CONVERT(O2632,"lbf","N")</f>
        <v>13211.218197323684</v>
      </c>
      <c r="O2632">
        <v>2970</v>
      </c>
      <c r="P2632">
        <f t="shared" si="41"/>
        <v>0.76985316152232552</v>
      </c>
    </row>
    <row r="2633" spans="1:16" hidden="1" x14ac:dyDescent="0.25">
      <c r="A2633">
        <v>0</v>
      </c>
      <c r="B2633">
        <v>15000</v>
      </c>
      <c r="C2633">
        <f>1.225 * (1 - 0.00000687559 * B2633) ^ 4.2561</f>
        <v>0.77079726910167001</v>
      </c>
      <c r="D2633">
        <f>E2633*(SQRT($C$2/C2633))</f>
        <v>151.27919566519836</v>
      </c>
      <c r="E2633">
        <v>120</v>
      </c>
      <c r="F2633">
        <v>987</v>
      </c>
      <c r="G2633">
        <v>1500</v>
      </c>
      <c r="H2633">
        <f>CONVERT(G2633,"HP","kW")</f>
        <v>1118.5498073734054</v>
      </c>
      <c r="I2633">
        <v>0.81520000000000004</v>
      </c>
      <c r="J2633">
        <v>1.1939</v>
      </c>
      <c r="K2633">
        <v>0.50449999999999995</v>
      </c>
      <c r="L2633">
        <v>0.3337</v>
      </c>
      <c r="M2633">
        <v>0.22789999999999999</v>
      </c>
      <c r="N2633">
        <f>CONVERT(O2633,"lbf","N")</f>
        <v>11716.615734596156</v>
      </c>
      <c r="O2633">
        <v>2634</v>
      </c>
      <c r="P2633">
        <f t="shared" si="41"/>
        <v>0.68294875636799524</v>
      </c>
    </row>
    <row r="2634" spans="1:16" hidden="1" x14ac:dyDescent="0.25">
      <c r="A2634">
        <v>0</v>
      </c>
      <c r="B2634">
        <v>15000</v>
      </c>
      <c r="C2634">
        <f>1.225 * (1 - 0.00000687559 * B2634) ^ 4.2561</f>
        <v>0.77079726910167001</v>
      </c>
      <c r="D2634">
        <f>E2634*(SQRT($C$2/C2634))</f>
        <v>176.49239494273141</v>
      </c>
      <c r="E2634">
        <v>140</v>
      </c>
      <c r="F2634">
        <v>987</v>
      </c>
      <c r="G2634">
        <v>1500</v>
      </c>
      <c r="H2634">
        <f>CONVERT(G2634,"HP","kW")</f>
        <v>1118.5498073734054</v>
      </c>
      <c r="I2634">
        <v>0.84809999999999997</v>
      </c>
      <c r="J2634">
        <v>1.3929</v>
      </c>
      <c r="K2634">
        <v>0.52539999999999998</v>
      </c>
      <c r="L2634">
        <v>0.3337</v>
      </c>
      <c r="M2634">
        <v>0.20319999999999999</v>
      </c>
      <c r="N2634">
        <f>CONVERT(O2634,"lbf","N")</f>
        <v>10447.982929923863</v>
      </c>
      <c r="O2634">
        <v>2348.8000000000002</v>
      </c>
      <c r="P2634">
        <f t="shared" si="41"/>
        <v>0.60893017680551387</v>
      </c>
    </row>
    <row r="2635" spans="1:16" hidden="1" x14ac:dyDescent="0.25">
      <c r="A2635">
        <v>0</v>
      </c>
      <c r="B2635">
        <v>15000</v>
      </c>
      <c r="C2635">
        <f>1.225 * (1 - 0.00000687559 * B2635) ^ 4.2561</f>
        <v>0.77079726910167001</v>
      </c>
      <c r="D2635">
        <f>E2635*(SQRT($C$2/C2635))</f>
        <v>201.70559422026446</v>
      </c>
      <c r="E2635">
        <v>160</v>
      </c>
      <c r="F2635">
        <v>987</v>
      </c>
      <c r="G2635">
        <v>1500</v>
      </c>
      <c r="H2635">
        <f>CONVERT(G2635,"HP","kW")</f>
        <v>1118.5498073734054</v>
      </c>
      <c r="I2635">
        <v>0.86980000000000002</v>
      </c>
      <c r="J2635">
        <v>1.5919000000000001</v>
      </c>
      <c r="K2635">
        <v>0.5484</v>
      </c>
      <c r="L2635">
        <v>0.3337</v>
      </c>
      <c r="M2635">
        <v>0.18229999999999999</v>
      </c>
      <c r="N2635">
        <f>CONVERT(O2635,"lbf","N")</f>
        <v>9376.4063428076097</v>
      </c>
      <c r="O2635">
        <v>2107.9</v>
      </c>
      <c r="P2635">
        <f t="shared" si="41"/>
        <v>0.54629907102187591</v>
      </c>
    </row>
    <row r="2636" spans="1:16" hidden="1" x14ac:dyDescent="0.25">
      <c r="A2636">
        <v>0</v>
      </c>
      <c r="B2636">
        <v>15000</v>
      </c>
      <c r="C2636">
        <f>1.225 * (1 - 0.00000687559 * B2636) ^ 4.2561</f>
        <v>0.77079726910167001</v>
      </c>
      <c r="D2636">
        <f>E2636*(SQRT($C$2/C2636))</f>
        <v>226.91879349779754</v>
      </c>
      <c r="E2636">
        <v>180</v>
      </c>
      <c r="F2636">
        <v>987</v>
      </c>
      <c r="G2636">
        <v>1500</v>
      </c>
      <c r="H2636">
        <f>CONVERT(G2636,"HP","kW")</f>
        <v>1118.5498073734054</v>
      </c>
      <c r="I2636">
        <v>0.88349999999999995</v>
      </c>
      <c r="J2636">
        <v>1.7908999999999999</v>
      </c>
      <c r="K2636">
        <v>0.57310000000000005</v>
      </c>
      <c r="L2636">
        <v>0.3337</v>
      </c>
      <c r="M2636">
        <v>0.1646</v>
      </c>
      <c r="N2636">
        <f>CONVERT(O2636,"lbf","N")</f>
        <v>8465.8553781637838</v>
      </c>
      <c r="O2636">
        <v>1903.2</v>
      </c>
      <c r="P2636">
        <f t="shared" si="41"/>
        <v>0.49325741684147439</v>
      </c>
    </row>
    <row r="2637" spans="1:16" hidden="1" x14ac:dyDescent="0.25">
      <c r="A2637" s="4">
        <v>0</v>
      </c>
      <c r="B2637" s="4">
        <v>15000</v>
      </c>
      <c r="C2637" s="4">
        <f>1.225 * (1 - 0.00000687559 * B2637) ^ 4.2561</f>
        <v>0.77079726910167001</v>
      </c>
      <c r="D2637" s="4">
        <f>E2637*(SQRT($C$2/C2637))</f>
        <v>252.13199277533059</v>
      </c>
      <c r="E2637" s="4">
        <v>200</v>
      </c>
      <c r="F2637" s="4">
        <v>987</v>
      </c>
      <c r="G2637" s="4">
        <v>1500</v>
      </c>
      <c r="H2637" s="4">
        <f>CONVERT(G2637,"HP","kW")</f>
        <v>1118.5498073734054</v>
      </c>
      <c r="I2637" s="4">
        <v>0.89119999999999999</v>
      </c>
      <c r="J2637" s="4">
        <v>1.9899</v>
      </c>
      <c r="K2637" s="4">
        <v>0.59950000000000003</v>
      </c>
      <c r="L2637" s="4">
        <v>0.3337</v>
      </c>
      <c r="M2637" s="4">
        <v>0.14949999999999999</v>
      </c>
      <c r="N2637" s="4">
        <f>CONVERT(O2637,"lbf","N")</f>
        <v>7685.6373068470921</v>
      </c>
      <c r="O2637" s="4">
        <v>1727.8</v>
      </c>
      <c r="P2637">
        <f t="shared" si="41"/>
        <v>0.44800719208870243</v>
      </c>
    </row>
    <row r="2638" spans="1:16" hidden="1" x14ac:dyDescent="0.25">
      <c r="A2638">
        <v>0</v>
      </c>
      <c r="B2638">
        <v>15000</v>
      </c>
      <c r="C2638">
        <f>1.225 * (1 - 0.00000687559 * B2638) ^ 4.2561</f>
        <v>0.77079726910167001</v>
      </c>
      <c r="D2638">
        <f>E2638*(SQRT($C$2/C2638))</f>
        <v>277.34519205286364</v>
      </c>
      <c r="E2638">
        <v>220</v>
      </c>
      <c r="F2638">
        <v>987</v>
      </c>
      <c r="G2638">
        <v>1500</v>
      </c>
      <c r="H2638">
        <f>CONVERT(G2638,"HP","kW")</f>
        <v>1118.5498073734054</v>
      </c>
      <c r="I2638">
        <v>0.89390000000000003</v>
      </c>
      <c r="J2638">
        <v>2.1888999999999998</v>
      </c>
      <c r="K2638">
        <v>0.62729999999999997</v>
      </c>
      <c r="L2638">
        <v>0.3337</v>
      </c>
      <c r="M2638">
        <v>0.1363</v>
      </c>
      <c r="N2638">
        <f>CONVERT(O2638,"lbf","N")</f>
        <v>7007.7283326813922</v>
      </c>
      <c r="O2638">
        <v>1575.4</v>
      </c>
      <c r="P2638">
        <f t="shared" si="41"/>
        <v>0.40845070422535212</v>
      </c>
    </row>
    <row r="2639" spans="1:16" hidden="1" x14ac:dyDescent="0.25">
      <c r="A2639">
        <v>0</v>
      </c>
      <c r="B2639">
        <v>15000</v>
      </c>
      <c r="C2639">
        <f>1.225 * (1 - 0.00000687559 * B2639) ^ 4.2561</f>
        <v>0.77079726910167001</v>
      </c>
      <c r="D2639">
        <f>E2639*(SQRT($C$2/C2639))</f>
        <v>302.55839133039672</v>
      </c>
      <c r="E2639">
        <v>240</v>
      </c>
      <c r="F2639">
        <v>987</v>
      </c>
      <c r="G2639">
        <v>1500</v>
      </c>
      <c r="H2639">
        <f>CONVERT(G2639,"HP","kW")</f>
        <v>1118.5498073734054</v>
      </c>
      <c r="I2639">
        <v>0.89139999999999997</v>
      </c>
      <c r="J2639">
        <v>2.3879000000000001</v>
      </c>
      <c r="K2639">
        <v>0.65639999999999998</v>
      </c>
      <c r="L2639">
        <v>0.3337</v>
      </c>
      <c r="M2639">
        <v>0.1246</v>
      </c>
      <c r="N2639">
        <f>CONVERT(O2639,"lbf","N")</f>
        <v>6405.8839481366458</v>
      </c>
      <c r="O2639">
        <v>1440.1</v>
      </c>
      <c r="P2639">
        <f t="shared" si="41"/>
        <v>0.37338927180101888</v>
      </c>
    </row>
    <row r="2640" spans="1:16" hidden="1" x14ac:dyDescent="0.25">
      <c r="A2640">
        <v>0</v>
      </c>
      <c r="B2640">
        <v>15000</v>
      </c>
      <c r="C2640">
        <f>1.225 * (1 - 0.00000687559 * B2640) ^ 4.2561</f>
        <v>0.77079726910167001</v>
      </c>
      <c r="D2640">
        <f>E2640*(SQRT($C$2/C2640))</f>
        <v>327.77159060792974</v>
      </c>
      <c r="E2640">
        <v>260</v>
      </c>
      <c r="F2640">
        <v>987</v>
      </c>
      <c r="G2640">
        <v>1500</v>
      </c>
      <c r="H2640">
        <f>CONVERT(G2640,"HP","kW")</f>
        <v>1118.5498073734054</v>
      </c>
      <c r="I2640">
        <v>0.87790000000000001</v>
      </c>
      <c r="J2640">
        <v>2.5869</v>
      </c>
      <c r="K2640">
        <v>0.68659999999999999</v>
      </c>
      <c r="L2640">
        <v>0.3337</v>
      </c>
      <c r="M2640">
        <v>0.1132</v>
      </c>
      <c r="N2640">
        <f>CONVERT(O2640,"lbf","N")</f>
        <v>5823.6117386990463</v>
      </c>
      <c r="O2640">
        <v>1309.2</v>
      </c>
      <c r="P2640">
        <f t="shared" si="41"/>
        <v>0.33922685046448903</v>
      </c>
    </row>
    <row r="2641" spans="1:16" hidden="1" x14ac:dyDescent="0.25">
      <c r="A2641">
        <v>0</v>
      </c>
      <c r="B2641">
        <v>15000</v>
      </c>
      <c r="C2641">
        <f>1.225 * (1 - 0.00000687559 * B2641) ^ 4.2561</f>
        <v>0.77079726910167001</v>
      </c>
      <c r="D2641">
        <f>E2641*(SQRT($C$2/C2641))</f>
        <v>100.85279711013223</v>
      </c>
      <c r="E2641">
        <v>80</v>
      </c>
      <c r="F2641">
        <v>987</v>
      </c>
      <c r="G2641">
        <v>1500</v>
      </c>
      <c r="H2641">
        <f>CONVERT(G2641,"HP","kW")</f>
        <v>1118.5498073734054</v>
      </c>
      <c r="I2641">
        <v>0.68820000000000003</v>
      </c>
      <c r="J2641">
        <v>0.79600000000000004</v>
      </c>
      <c r="K2641">
        <v>0.46939999999999998</v>
      </c>
      <c r="L2641">
        <v>0.33389999999999997</v>
      </c>
      <c r="M2641">
        <v>0.28870000000000001</v>
      </c>
      <c r="N2641">
        <f>CONVERT(O2641,"lbf","N")</f>
        <v>14837.932842024451</v>
      </c>
      <c r="O2641">
        <v>3335.7</v>
      </c>
      <c r="P2641">
        <f t="shared" si="41"/>
        <v>0.86463012878107226</v>
      </c>
    </row>
    <row r="2642" spans="1:16" hidden="1" x14ac:dyDescent="0.25">
      <c r="A2642">
        <v>0</v>
      </c>
      <c r="B2642">
        <v>25000</v>
      </c>
      <c r="C2642">
        <f>1.225 * (1 - 0.00000687559 * B2642) ^ 4.2561</f>
        <v>0.54892259437885793</v>
      </c>
      <c r="D2642">
        <f>E2642*(SQRT($C$2/C2642))</f>
        <v>388.40591818366875</v>
      </c>
      <c r="E2642">
        <v>260</v>
      </c>
      <c r="F2642">
        <v>1215</v>
      </c>
      <c r="G2642">
        <v>2000</v>
      </c>
      <c r="H2642">
        <f>CONVERT(G2642,"HP","kW")</f>
        <v>1491.3997431645405</v>
      </c>
      <c r="I2642">
        <v>0.67710000000000004</v>
      </c>
      <c r="J2642">
        <v>2.4902000000000002</v>
      </c>
      <c r="K2642">
        <v>0.86050000000000004</v>
      </c>
      <c r="L2642">
        <v>0.33460000000000001</v>
      </c>
      <c r="M2642">
        <v>9.0999999999999998E-2</v>
      </c>
      <c r="N2642">
        <f>CONVERT(O2642,"lbf","N")</f>
        <v>5054.0693992589804</v>
      </c>
      <c r="O2642">
        <v>1136.2</v>
      </c>
      <c r="P2642">
        <f t="shared" si="41"/>
        <v>0.27196652719665271</v>
      </c>
    </row>
    <row r="2643" spans="1:16" hidden="1" x14ac:dyDescent="0.25">
      <c r="A2643">
        <v>0</v>
      </c>
      <c r="B2643">
        <v>25000</v>
      </c>
      <c r="C2643">
        <f>1.225 * (1 - 0.00000687559 * B2643) ^ 4.2561</f>
        <v>0.54892259437885793</v>
      </c>
      <c r="D2643">
        <f>E2643*(SQRT($C$2/C2643))</f>
        <v>298.77378321820675</v>
      </c>
      <c r="E2643">
        <v>200</v>
      </c>
      <c r="F2643">
        <v>1215</v>
      </c>
      <c r="G2643">
        <v>2000</v>
      </c>
      <c r="H2643">
        <f>CONVERT(G2643,"HP","kW")</f>
        <v>1491.3997431645405</v>
      </c>
      <c r="I2643">
        <v>0.86670000000000003</v>
      </c>
      <c r="J2643">
        <v>1.9155</v>
      </c>
      <c r="K2643">
        <v>0.755</v>
      </c>
      <c r="L2643">
        <v>0.33479999999999999</v>
      </c>
      <c r="M2643">
        <v>0.1515</v>
      </c>
      <c r="N2643">
        <f>CONVERT(O2643,"lbf","N")</f>
        <v>8410.2526079730269</v>
      </c>
      <c r="O2643">
        <v>1890.7</v>
      </c>
      <c r="P2643">
        <f t="shared" si="41"/>
        <v>0.45250896057347673</v>
      </c>
    </row>
    <row r="2644" spans="1:16" hidden="1" x14ac:dyDescent="0.25">
      <c r="A2644">
        <v>0</v>
      </c>
      <c r="B2644">
        <v>25000</v>
      </c>
      <c r="C2644">
        <f>1.225 * (1 - 0.00000687559 * B2644) ^ 4.2561</f>
        <v>0.54892259437885793</v>
      </c>
      <c r="D2644">
        <f>E2644*(SQRT($C$2/C2644))</f>
        <v>59.754756643641343</v>
      </c>
      <c r="E2644">
        <v>40</v>
      </c>
      <c r="F2644">
        <v>1215</v>
      </c>
      <c r="G2644">
        <v>2000</v>
      </c>
      <c r="H2644">
        <f>CONVERT(G2644,"HP","kW")</f>
        <v>1491.3997431645405</v>
      </c>
      <c r="I2644">
        <v>0.30909999999999999</v>
      </c>
      <c r="J2644">
        <v>0.3831</v>
      </c>
      <c r="K2644">
        <v>0.56979999999999997</v>
      </c>
      <c r="L2644">
        <v>0.33489999999999998</v>
      </c>
      <c r="M2644">
        <v>0.2702</v>
      </c>
      <c r="N2644">
        <f>CONVERT(O2644,"lbf","N")</f>
        <v>14994.510242881621</v>
      </c>
      <c r="O2644">
        <v>3370.9</v>
      </c>
      <c r="P2644">
        <f t="shared" si="41"/>
        <v>0.80680800238877282</v>
      </c>
    </row>
    <row r="2645" spans="1:16" hidden="1" x14ac:dyDescent="0.25">
      <c r="A2645">
        <v>0</v>
      </c>
      <c r="B2645">
        <v>25000</v>
      </c>
      <c r="C2645">
        <f>1.225 * (1 - 0.00000687559 * B2645) ^ 4.2561</f>
        <v>0.54892259437885793</v>
      </c>
      <c r="D2645">
        <f>E2645*(SQRT($C$2/C2645))</f>
        <v>179.26426993092403</v>
      </c>
      <c r="E2645">
        <v>120</v>
      </c>
      <c r="F2645">
        <v>1215</v>
      </c>
      <c r="G2645">
        <v>2000</v>
      </c>
      <c r="H2645">
        <f>CONVERT(G2645,"HP","kW")</f>
        <v>1491.3997431645405</v>
      </c>
      <c r="I2645">
        <v>0.80169999999999997</v>
      </c>
      <c r="J2645">
        <v>1.1493</v>
      </c>
      <c r="K2645">
        <v>0.64070000000000005</v>
      </c>
      <c r="L2645">
        <v>0.33489999999999998</v>
      </c>
      <c r="M2645">
        <v>0.2336</v>
      </c>
      <c r="N2645">
        <f>CONVERT(O2645,"lbf","N")</f>
        <v>12965.676364161305</v>
      </c>
      <c r="O2645">
        <v>2914.8</v>
      </c>
      <c r="P2645">
        <f t="shared" si="41"/>
        <v>0.69752164825320995</v>
      </c>
    </row>
    <row r="2646" spans="1:16" hidden="1" x14ac:dyDescent="0.25">
      <c r="A2646">
        <v>0</v>
      </c>
      <c r="B2646">
        <v>25000</v>
      </c>
      <c r="C2646">
        <f>1.225 * (1 - 0.00000687559 * B2646) ^ 4.2561</f>
        <v>0.54892259437885793</v>
      </c>
      <c r="D2646">
        <f>E2646*(SQRT($C$2/C2646))</f>
        <v>209.14164825274472</v>
      </c>
      <c r="E2646">
        <v>140</v>
      </c>
      <c r="F2646">
        <v>1215</v>
      </c>
      <c r="G2646">
        <v>2000</v>
      </c>
      <c r="H2646">
        <f>CONVERT(G2646,"HP","kW")</f>
        <v>1491.3997431645405</v>
      </c>
      <c r="I2646">
        <v>0.83709999999999996</v>
      </c>
      <c r="J2646">
        <v>1.3409</v>
      </c>
      <c r="K2646">
        <v>0.66579999999999995</v>
      </c>
      <c r="L2646">
        <v>0.33489999999999998</v>
      </c>
      <c r="M2646">
        <v>0.20910000000000001</v>
      </c>
      <c r="N2646">
        <f>CONVERT(O2646,"lbf","N")</f>
        <v>11603.63090556854</v>
      </c>
      <c r="O2646">
        <v>2608.6</v>
      </c>
      <c r="P2646">
        <f t="shared" si="41"/>
        <v>0.62436548223350263</v>
      </c>
    </row>
    <row r="2647" spans="1:16" hidden="1" x14ac:dyDescent="0.25">
      <c r="A2647">
        <v>0</v>
      </c>
      <c r="B2647">
        <v>25000</v>
      </c>
      <c r="C2647">
        <f>1.225 * (1 - 0.00000687559 * B2647) ^ 4.2561</f>
        <v>0.54892259437885793</v>
      </c>
      <c r="D2647">
        <f>E2647*(SQRT($C$2/C2647))</f>
        <v>239.01902657456537</v>
      </c>
      <c r="E2647">
        <v>160</v>
      </c>
      <c r="F2647">
        <v>1215</v>
      </c>
      <c r="G2647">
        <v>2000</v>
      </c>
      <c r="H2647">
        <f>CONVERT(G2647,"HP","kW")</f>
        <v>1491.3997431645405</v>
      </c>
      <c r="I2647">
        <v>0.86119999999999997</v>
      </c>
      <c r="J2647">
        <v>1.5324</v>
      </c>
      <c r="K2647">
        <v>0.69340000000000002</v>
      </c>
      <c r="L2647">
        <v>0.33489999999999998</v>
      </c>
      <c r="M2647">
        <v>0.18820000000000001</v>
      </c>
      <c r="N2647">
        <f>CONVERT(O2647,"lbf","N")</f>
        <v>10445.758819116234</v>
      </c>
      <c r="O2647">
        <v>2348.3000000000002</v>
      </c>
      <c r="P2647">
        <f t="shared" si="41"/>
        <v>0.56195879366975221</v>
      </c>
    </row>
    <row r="2648" spans="1:16" hidden="1" x14ac:dyDescent="0.25">
      <c r="A2648">
        <v>0</v>
      </c>
      <c r="B2648">
        <v>25000</v>
      </c>
      <c r="C2648">
        <f>1.225 * (1 - 0.00000687559 * B2648) ^ 4.2561</f>
        <v>0.54892259437885793</v>
      </c>
      <c r="D2648">
        <f>E2648*(SQRT($C$2/C2648))</f>
        <v>328.65116154002743</v>
      </c>
      <c r="E2648">
        <v>220</v>
      </c>
      <c r="F2648">
        <v>1215</v>
      </c>
      <c r="G2648">
        <v>2000</v>
      </c>
      <c r="H2648">
        <f>CONVERT(G2648,"HP","kW")</f>
        <v>1491.3997431645405</v>
      </c>
      <c r="I2648">
        <v>0.84399999999999997</v>
      </c>
      <c r="J2648">
        <v>2.1071</v>
      </c>
      <c r="K2648">
        <v>0.78869999999999996</v>
      </c>
      <c r="L2648">
        <v>0.33489999999999998</v>
      </c>
      <c r="M2648">
        <v>0.13420000000000001</v>
      </c>
      <c r="N2648">
        <f>CONVERT(O2648,"lbf","N")</f>
        <v>7445.433339623024</v>
      </c>
      <c r="O2648">
        <v>1673.8</v>
      </c>
      <c r="P2648">
        <f t="shared" si="41"/>
        <v>0.40071663183039719</v>
      </c>
    </row>
    <row r="2649" spans="1:16" hidden="1" x14ac:dyDescent="0.25">
      <c r="A2649">
        <v>0</v>
      </c>
      <c r="B2649">
        <v>25000</v>
      </c>
      <c r="C2649">
        <f>1.225 * (1 - 0.00000687559 * B2649) ^ 4.2561</f>
        <v>0.54892259437885793</v>
      </c>
      <c r="D2649">
        <f>E2649*(SQRT($C$2/C2649))</f>
        <v>0</v>
      </c>
      <c r="E2649">
        <v>0</v>
      </c>
      <c r="F2649">
        <v>1215</v>
      </c>
      <c r="G2649">
        <v>2000</v>
      </c>
      <c r="H2649">
        <f>CONVERT(G2649,"HP","kW")</f>
        <v>1491.3997431645405</v>
      </c>
      <c r="I2649">
        <v>0</v>
      </c>
      <c r="J2649">
        <v>0</v>
      </c>
      <c r="K2649">
        <v>0.55420000000000003</v>
      </c>
      <c r="L2649">
        <v>0.33500000000000002</v>
      </c>
      <c r="M2649">
        <v>0.2409</v>
      </c>
      <c r="N2649">
        <f>CONVERT(O2649,"lbf","N")</f>
        <v>13365.571487373223</v>
      </c>
      <c r="O2649">
        <v>3004.7</v>
      </c>
      <c r="P2649">
        <f t="shared" si="41"/>
        <v>0.7191044776119403</v>
      </c>
    </row>
    <row r="2650" spans="1:16" hidden="1" x14ac:dyDescent="0.25">
      <c r="A2650">
        <v>0</v>
      </c>
      <c r="B2650">
        <v>25000</v>
      </c>
      <c r="C2650">
        <f>1.225 * (1 - 0.00000687559 * B2650) ^ 4.2561</f>
        <v>0.54892259437885793</v>
      </c>
      <c r="D2650">
        <f>E2650*(SQRT($C$2/C2650))</f>
        <v>29.877378321820672</v>
      </c>
      <c r="E2650">
        <v>20</v>
      </c>
      <c r="F2650">
        <v>1215</v>
      </c>
      <c r="G2650">
        <v>2000</v>
      </c>
      <c r="H2650">
        <f>CONVERT(G2650,"HP","kW")</f>
        <v>1491.3997431645405</v>
      </c>
      <c r="I2650">
        <v>0.1449</v>
      </c>
      <c r="J2650">
        <v>0.19159999999999999</v>
      </c>
      <c r="K2650">
        <v>0.56059999999999999</v>
      </c>
      <c r="L2650">
        <v>0.33500000000000002</v>
      </c>
      <c r="M2650">
        <v>0.25340000000000001</v>
      </c>
      <c r="N2650">
        <f>CONVERT(O2650,"lbf","N")</f>
        <v>14059.049237192336</v>
      </c>
      <c r="O2650">
        <v>3160.6</v>
      </c>
      <c r="P2650">
        <f t="shared" si="41"/>
        <v>0.75641791044776119</v>
      </c>
    </row>
    <row r="2651" spans="1:16" hidden="1" x14ac:dyDescent="0.25">
      <c r="A2651">
        <v>0</v>
      </c>
      <c r="B2651">
        <v>25000</v>
      </c>
      <c r="C2651">
        <f>1.225 * (1 - 0.00000687559 * B2651) ^ 4.2561</f>
        <v>0.54892259437885793</v>
      </c>
      <c r="D2651">
        <f>E2651*(SQRT($C$2/C2651))</f>
        <v>119.50951328728269</v>
      </c>
      <c r="E2651">
        <v>80</v>
      </c>
      <c r="F2651">
        <v>1215</v>
      </c>
      <c r="G2651">
        <v>2000</v>
      </c>
      <c r="H2651">
        <f>CONVERT(G2651,"HP","kW")</f>
        <v>1491.3997431645405</v>
      </c>
      <c r="I2651">
        <v>0.65739999999999998</v>
      </c>
      <c r="J2651">
        <v>0.76619999999999999</v>
      </c>
      <c r="K2651">
        <v>0.59840000000000004</v>
      </c>
      <c r="L2651">
        <v>0.33500000000000002</v>
      </c>
      <c r="M2651">
        <v>0.28739999999999999</v>
      </c>
      <c r="N2651">
        <f>CONVERT(O2651,"lbf","N")</f>
        <v>15946.429668547367</v>
      </c>
      <c r="O2651">
        <v>3584.9</v>
      </c>
      <c r="P2651">
        <f t="shared" si="41"/>
        <v>0.85791044776119396</v>
      </c>
    </row>
    <row r="2652" spans="1:16" hidden="1" x14ac:dyDescent="0.25">
      <c r="A2652">
        <v>0</v>
      </c>
      <c r="B2652">
        <v>25000</v>
      </c>
      <c r="C2652">
        <f>1.225 * (1 - 0.00000687559 * B2652) ^ 4.2561</f>
        <v>0.54892259437885793</v>
      </c>
      <c r="D2652">
        <f>E2652*(SQRT($C$2/C2652))</f>
        <v>149.38689160910337</v>
      </c>
      <c r="E2652">
        <v>100</v>
      </c>
      <c r="F2652">
        <v>1215</v>
      </c>
      <c r="G2652">
        <v>2000</v>
      </c>
      <c r="H2652">
        <f>CONVERT(G2652,"HP","kW")</f>
        <v>1491.3997431645405</v>
      </c>
      <c r="I2652">
        <v>0.74839999999999995</v>
      </c>
      <c r="J2652">
        <v>0.95779999999999998</v>
      </c>
      <c r="K2652">
        <v>0.61809999999999998</v>
      </c>
      <c r="L2652">
        <v>0.33500000000000002</v>
      </c>
      <c r="M2652">
        <v>0.26169999999999999</v>
      </c>
      <c r="N2652">
        <f>CONVERT(O2652,"lbf","N")</f>
        <v>14522.998751664007</v>
      </c>
      <c r="O2652">
        <v>3264.9</v>
      </c>
      <c r="P2652">
        <f t="shared" si="41"/>
        <v>0.78119402985074615</v>
      </c>
    </row>
    <row r="2653" spans="1:16" hidden="1" x14ac:dyDescent="0.25">
      <c r="A2653">
        <v>0</v>
      </c>
      <c r="B2653">
        <v>25000</v>
      </c>
      <c r="C2653">
        <f>1.225 * (1 - 0.00000687559 * B2653) ^ 4.2561</f>
        <v>0.54892259437885793</v>
      </c>
      <c r="D2653">
        <f>E2653*(SQRT($C$2/C2653))</f>
        <v>268.89640489638606</v>
      </c>
      <c r="E2653">
        <v>180</v>
      </c>
      <c r="F2653">
        <v>1215</v>
      </c>
      <c r="G2653">
        <v>2000</v>
      </c>
      <c r="H2653">
        <f>CONVERT(G2653,"HP","kW")</f>
        <v>1491.3997431645405</v>
      </c>
      <c r="I2653">
        <v>0.87150000000000005</v>
      </c>
      <c r="J2653">
        <v>1.724</v>
      </c>
      <c r="K2653">
        <v>0.72319999999999995</v>
      </c>
      <c r="L2653">
        <v>0.33500000000000002</v>
      </c>
      <c r="M2653">
        <v>0.16930000000000001</v>
      </c>
      <c r="N2653">
        <f>CONVERT(O2653,"lbf","N")</f>
        <v>9395.9785179147548</v>
      </c>
      <c r="O2653">
        <v>2112.3000000000002</v>
      </c>
      <c r="P2653">
        <f t="shared" si="41"/>
        <v>0.50537313432835818</v>
      </c>
    </row>
    <row r="2654" spans="1:16" hidden="1" x14ac:dyDescent="0.25">
      <c r="A2654">
        <v>0</v>
      </c>
      <c r="B2654">
        <v>25000</v>
      </c>
      <c r="C2654">
        <f>1.225 * (1 - 0.00000687559 * B2654) ^ 4.2561</f>
        <v>0.54892259437885793</v>
      </c>
      <c r="D2654">
        <f>E2654*(SQRT($C$2/C2654))</f>
        <v>358.52853986184806</v>
      </c>
      <c r="E2654">
        <v>240</v>
      </c>
      <c r="F2654">
        <v>1215</v>
      </c>
      <c r="G2654">
        <v>2000</v>
      </c>
      <c r="H2654">
        <f>CONVERT(G2654,"HP","kW")</f>
        <v>1491.3997431645405</v>
      </c>
      <c r="I2654">
        <v>0.7893</v>
      </c>
      <c r="J2654">
        <v>2.2986</v>
      </c>
      <c r="K2654">
        <v>0.82389999999999997</v>
      </c>
      <c r="L2654">
        <v>0.33500000000000002</v>
      </c>
      <c r="M2654">
        <v>0.115</v>
      </c>
      <c r="N2654">
        <f>CONVERT(O2654,"lbf","N")</f>
        <v>6382.7531957372912</v>
      </c>
      <c r="O2654">
        <v>1434.9</v>
      </c>
      <c r="P2654">
        <f t="shared" si="41"/>
        <v>0.34328358208955223</v>
      </c>
    </row>
    <row r="2655" spans="1:16" hidden="1" x14ac:dyDescent="0.25">
      <c r="A2655">
        <v>0</v>
      </c>
      <c r="B2655">
        <v>25000</v>
      </c>
      <c r="C2655">
        <f>1.225 * (1 - 0.00000687559 * B2655) ^ 4.2561</f>
        <v>0.54892259437885793</v>
      </c>
      <c r="D2655">
        <f>E2655*(SQRT($C$2/C2655))</f>
        <v>89.632134965462015</v>
      </c>
      <c r="E2655">
        <v>60</v>
      </c>
      <c r="F2655">
        <v>1215</v>
      </c>
      <c r="G2655">
        <v>2000</v>
      </c>
      <c r="H2655">
        <f>CONVERT(G2655,"HP","kW")</f>
        <v>1491.3997431645405</v>
      </c>
      <c r="I2655">
        <v>0.49830000000000002</v>
      </c>
      <c r="J2655">
        <v>0.57469999999999999</v>
      </c>
      <c r="K2655">
        <v>0.58220000000000005</v>
      </c>
      <c r="L2655">
        <v>0.33510000000000001</v>
      </c>
      <c r="M2655">
        <v>0.29060000000000002</v>
      </c>
      <c r="N2655">
        <f>CONVERT(O2655,"lbf","N")</f>
        <v>16118.131022896423</v>
      </c>
      <c r="O2655">
        <v>3623.5</v>
      </c>
      <c r="P2655">
        <f t="shared" si="41"/>
        <v>0.86720381975529692</v>
      </c>
    </row>
    <row r="2656" spans="1:16" hidden="1" x14ac:dyDescent="0.25">
      <c r="A2656">
        <v>0</v>
      </c>
      <c r="B2656">
        <v>25000</v>
      </c>
      <c r="C2656">
        <f>1.225 * (1 - 0.00000687559 * B2656) ^ 4.2561</f>
        <v>0.54892259437885793</v>
      </c>
      <c r="D2656">
        <f>E2656*(SQRT($C$2/C2656))</f>
        <v>239.01902657456537</v>
      </c>
      <c r="E2656">
        <v>160</v>
      </c>
      <c r="F2656">
        <v>1150</v>
      </c>
      <c r="G2656">
        <v>1750</v>
      </c>
      <c r="H2656">
        <f>CONVERT(G2656,"HP","kW")</f>
        <v>1304.974775268973</v>
      </c>
      <c r="I2656">
        <v>0.86770000000000003</v>
      </c>
      <c r="J2656">
        <v>1.619</v>
      </c>
      <c r="K2656">
        <v>0.66879999999999995</v>
      </c>
      <c r="L2656">
        <v>0.34539999999999998</v>
      </c>
      <c r="M2656">
        <v>0.18509999999999999</v>
      </c>
      <c r="N2656">
        <f>CONVERT(O2656,"lbf","N")</f>
        <v>9208.7083879122856</v>
      </c>
      <c r="O2656">
        <v>2070.1999999999998</v>
      </c>
      <c r="P2656">
        <f t="shared" si="41"/>
        <v>0.53590040532715688</v>
      </c>
    </row>
    <row r="2657" spans="1:16" hidden="1" x14ac:dyDescent="0.25">
      <c r="A2657">
        <v>0</v>
      </c>
      <c r="B2657">
        <v>25000</v>
      </c>
      <c r="C2657">
        <f>1.225 * (1 - 0.00000687559 * B2657) ^ 4.2561</f>
        <v>0.54892259437885793</v>
      </c>
      <c r="D2657">
        <f>E2657*(SQRT($C$2/C2657))</f>
        <v>268.89640489638606</v>
      </c>
      <c r="E2657">
        <v>180</v>
      </c>
      <c r="F2657">
        <v>1150</v>
      </c>
      <c r="G2657">
        <v>1750</v>
      </c>
      <c r="H2657">
        <f>CONVERT(G2657,"HP","kW")</f>
        <v>1304.974775268973</v>
      </c>
      <c r="I2657">
        <v>0.88190000000000002</v>
      </c>
      <c r="J2657">
        <v>1.8213999999999999</v>
      </c>
      <c r="K2657">
        <v>0.6996</v>
      </c>
      <c r="L2657">
        <v>0.34539999999999998</v>
      </c>
      <c r="M2657">
        <v>0.1673</v>
      </c>
      <c r="N2657">
        <f>CONVERT(O2657,"lbf","N")</f>
        <v>8319.5088870217132</v>
      </c>
      <c r="O2657">
        <v>1870.3</v>
      </c>
      <c r="P2657">
        <f t="shared" si="41"/>
        <v>0.48436595251881881</v>
      </c>
    </row>
    <row r="2658" spans="1:16" hidden="1" x14ac:dyDescent="0.25">
      <c r="A2658">
        <v>0</v>
      </c>
      <c r="B2658">
        <v>25000</v>
      </c>
      <c r="C2658">
        <f>1.225 * (1 - 0.00000687559 * B2658) ^ 4.2561</f>
        <v>0.54892259437885793</v>
      </c>
      <c r="D2658">
        <f>E2658*(SQRT($C$2/C2658))</f>
        <v>149.38689160910337</v>
      </c>
      <c r="E2658">
        <v>100</v>
      </c>
      <c r="F2658">
        <v>1150</v>
      </c>
      <c r="G2658">
        <v>1750</v>
      </c>
      <c r="H2658">
        <f>CONVERT(G2658,"HP","kW")</f>
        <v>1304.974775268973</v>
      </c>
      <c r="I2658">
        <v>0.76259999999999994</v>
      </c>
      <c r="J2658">
        <v>1.0119</v>
      </c>
      <c r="K2658">
        <v>0.5907</v>
      </c>
      <c r="L2658">
        <v>0.34549999999999997</v>
      </c>
      <c r="M2658">
        <v>0.26040000000000002</v>
      </c>
      <c r="N2658">
        <f>CONVERT(O2658,"lbf","N")</f>
        <v>12949.217944184842</v>
      </c>
      <c r="O2658">
        <v>2911.1</v>
      </c>
      <c r="P2658">
        <f t="shared" si="41"/>
        <v>0.75369030390738068</v>
      </c>
    </row>
    <row r="2659" spans="1:16" hidden="1" x14ac:dyDescent="0.25">
      <c r="A2659">
        <v>0</v>
      </c>
      <c r="B2659">
        <v>25000</v>
      </c>
      <c r="C2659">
        <f>1.225 * (1 - 0.00000687559 * B2659) ^ 4.2561</f>
        <v>0.54892259437885793</v>
      </c>
      <c r="D2659">
        <f>E2659*(SQRT($C$2/C2659))</f>
        <v>209.14164825274472</v>
      </c>
      <c r="E2659">
        <v>140</v>
      </c>
      <c r="F2659">
        <v>1150</v>
      </c>
      <c r="G2659">
        <v>1750</v>
      </c>
      <c r="H2659">
        <f>CONVERT(G2659,"HP","kW")</f>
        <v>1304.974775268973</v>
      </c>
      <c r="I2659">
        <v>0.84560000000000002</v>
      </c>
      <c r="J2659">
        <v>1.4166000000000001</v>
      </c>
      <c r="K2659">
        <v>0.64019999999999999</v>
      </c>
      <c r="L2659">
        <v>0.34549999999999997</v>
      </c>
      <c r="M2659">
        <v>0.20619999999999999</v>
      </c>
      <c r="N2659">
        <f>CONVERT(O2659,"lbf","N")</f>
        <v>10256.709400467662</v>
      </c>
      <c r="O2659">
        <v>2305.8000000000002</v>
      </c>
      <c r="P2659">
        <f t="shared" si="41"/>
        <v>0.59681620839363247</v>
      </c>
    </row>
    <row r="2660" spans="1:16" hidden="1" x14ac:dyDescent="0.25">
      <c r="A2660">
        <v>0</v>
      </c>
      <c r="B2660">
        <v>25000</v>
      </c>
      <c r="C2660">
        <f>1.225 * (1 - 0.00000687559 * B2660) ^ 4.2561</f>
        <v>0.54892259437885793</v>
      </c>
      <c r="D2660">
        <f>E2660*(SQRT($C$2/C2660))</f>
        <v>298.77378321820675</v>
      </c>
      <c r="E2660">
        <v>200</v>
      </c>
      <c r="F2660">
        <v>1150</v>
      </c>
      <c r="G2660">
        <v>1750</v>
      </c>
      <c r="H2660">
        <f>CONVERT(G2660,"HP","kW")</f>
        <v>1304.974775268973</v>
      </c>
      <c r="I2660">
        <v>0.88249999999999995</v>
      </c>
      <c r="J2660">
        <v>2.0238</v>
      </c>
      <c r="K2660">
        <v>0.73250000000000004</v>
      </c>
      <c r="L2660">
        <v>0.34549999999999997</v>
      </c>
      <c r="M2660">
        <v>0.1507</v>
      </c>
      <c r="N2660">
        <f>CONVERT(O2660,"lbf","N")</f>
        <v>7493.0293109063123</v>
      </c>
      <c r="O2660">
        <v>1684.5</v>
      </c>
      <c r="P2660">
        <f t="shared" si="41"/>
        <v>0.43617945007235892</v>
      </c>
    </row>
    <row r="2661" spans="1:16" hidden="1" x14ac:dyDescent="0.25">
      <c r="A2661">
        <v>0</v>
      </c>
      <c r="B2661">
        <v>25000</v>
      </c>
      <c r="C2661">
        <f>1.225 * (1 - 0.00000687559 * B2661) ^ 4.2561</f>
        <v>0.54892259437885793</v>
      </c>
      <c r="D2661">
        <f>E2661*(SQRT($C$2/C2661))</f>
        <v>0</v>
      </c>
      <c r="E2661">
        <v>0</v>
      </c>
      <c r="F2661">
        <v>1150</v>
      </c>
      <c r="G2661">
        <v>1750</v>
      </c>
      <c r="H2661">
        <f>CONVERT(G2661,"HP","kW")</f>
        <v>1304.974775268973</v>
      </c>
      <c r="I2661">
        <v>0</v>
      </c>
      <c r="J2661">
        <v>0</v>
      </c>
      <c r="K2661">
        <v>0.52510000000000001</v>
      </c>
      <c r="L2661">
        <v>0.34560000000000002</v>
      </c>
      <c r="M2661">
        <v>0.2351</v>
      </c>
      <c r="N2661">
        <f>CONVERT(O2661,"lbf","N")</f>
        <v>11691.260871389171</v>
      </c>
      <c r="O2661">
        <v>2628.3</v>
      </c>
      <c r="P2661">
        <f t="shared" si="41"/>
        <v>0.68026620370370372</v>
      </c>
    </row>
    <row r="2662" spans="1:16" hidden="1" x14ac:dyDescent="0.25">
      <c r="A2662">
        <v>0</v>
      </c>
      <c r="B2662">
        <v>25000</v>
      </c>
      <c r="C2662">
        <f>1.225 * (1 - 0.00000687559 * B2662) ^ 4.2561</f>
        <v>0.54892259437885793</v>
      </c>
      <c r="D2662">
        <f>E2662*(SQRT($C$2/C2662))</f>
        <v>59.754756643641343</v>
      </c>
      <c r="E2662">
        <v>40</v>
      </c>
      <c r="F2662">
        <v>1150</v>
      </c>
      <c r="G2662">
        <v>1750</v>
      </c>
      <c r="H2662">
        <f>CONVERT(G2662,"HP","kW")</f>
        <v>1304.974775268973</v>
      </c>
      <c r="I2662">
        <v>0.31719999999999998</v>
      </c>
      <c r="J2662">
        <v>0.40479999999999999</v>
      </c>
      <c r="K2662">
        <v>0.54059999999999997</v>
      </c>
      <c r="L2662">
        <v>0.34560000000000002</v>
      </c>
      <c r="M2662">
        <v>0.27079999999999999</v>
      </c>
      <c r="N2662">
        <f>CONVERT(O2662,"lbf","N")</f>
        <v>13464.322007232007</v>
      </c>
      <c r="O2662">
        <v>3026.9</v>
      </c>
      <c r="P2662">
        <f t="shared" si="41"/>
        <v>0.78356481481481477</v>
      </c>
    </row>
    <row r="2663" spans="1:16" hidden="1" x14ac:dyDescent="0.25">
      <c r="A2663">
        <v>0</v>
      </c>
      <c r="B2663">
        <v>25000</v>
      </c>
      <c r="C2663">
        <f>1.225 * (1 - 0.00000687559 * B2663) ^ 4.2561</f>
        <v>0.54892259437885793</v>
      </c>
      <c r="D2663">
        <f>E2663*(SQRT($C$2/C2663))</f>
        <v>119.50951328728269</v>
      </c>
      <c r="E2663">
        <v>80</v>
      </c>
      <c r="F2663">
        <v>1150</v>
      </c>
      <c r="G2663">
        <v>1750</v>
      </c>
      <c r="H2663">
        <f>CONVERT(G2663,"HP","kW")</f>
        <v>1304.974775268973</v>
      </c>
      <c r="I2663">
        <v>0.67659999999999998</v>
      </c>
      <c r="J2663">
        <v>0.8095</v>
      </c>
      <c r="K2663">
        <v>0.57020000000000004</v>
      </c>
      <c r="L2663">
        <v>0.34560000000000002</v>
      </c>
      <c r="M2663">
        <v>0.28889999999999999</v>
      </c>
      <c r="N2663">
        <f>CONVERT(O2663,"lbf","N")</f>
        <v>14361.083484868524</v>
      </c>
      <c r="O2663">
        <v>3228.5</v>
      </c>
      <c r="P2663">
        <f t="shared" si="41"/>
        <v>0.83593749999999989</v>
      </c>
    </row>
    <row r="2664" spans="1:16" hidden="1" x14ac:dyDescent="0.25">
      <c r="A2664">
        <v>0</v>
      </c>
      <c r="B2664">
        <v>25000</v>
      </c>
      <c r="C2664">
        <f>1.225 * (1 - 0.00000687559 * B2664) ^ 4.2561</f>
        <v>0.54892259437885793</v>
      </c>
      <c r="D2664">
        <f>E2664*(SQRT($C$2/C2664))</f>
        <v>179.26426993092403</v>
      </c>
      <c r="E2664">
        <v>120</v>
      </c>
      <c r="F2664">
        <v>1150</v>
      </c>
      <c r="G2664">
        <v>1750</v>
      </c>
      <c r="H2664">
        <f>CONVERT(G2664,"HP","kW")</f>
        <v>1304.974775268973</v>
      </c>
      <c r="I2664">
        <v>0.81240000000000001</v>
      </c>
      <c r="J2664">
        <v>1.2142999999999999</v>
      </c>
      <c r="K2664">
        <v>0.61409999999999998</v>
      </c>
      <c r="L2664">
        <v>0.34560000000000002</v>
      </c>
      <c r="M2664">
        <v>0.23119999999999999</v>
      </c>
      <c r="N2664">
        <f>CONVERT(O2664,"lbf","N")</f>
        <v>11496.428764640763</v>
      </c>
      <c r="O2664">
        <v>2584.5</v>
      </c>
      <c r="P2664">
        <f t="shared" si="41"/>
        <v>0.6689814814814814</v>
      </c>
    </row>
    <row r="2665" spans="1:16" hidden="1" x14ac:dyDescent="0.25">
      <c r="A2665">
        <v>0</v>
      </c>
      <c r="B2665">
        <v>25000</v>
      </c>
      <c r="C2665">
        <f>1.225 * (1 - 0.00000687559 * B2665) ^ 4.2561</f>
        <v>0.54892259437885793</v>
      </c>
      <c r="D2665">
        <f>E2665*(SQRT($C$2/C2665))</f>
        <v>328.65116154002743</v>
      </c>
      <c r="E2665">
        <v>220</v>
      </c>
      <c r="F2665">
        <v>1150</v>
      </c>
      <c r="G2665">
        <v>1750</v>
      </c>
      <c r="H2665">
        <f>CONVERT(G2665,"HP","kW")</f>
        <v>1304.974775268973</v>
      </c>
      <c r="I2665">
        <v>0.8629</v>
      </c>
      <c r="J2665">
        <v>2.2262</v>
      </c>
      <c r="K2665">
        <v>0.7671</v>
      </c>
      <c r="L2665">
        <v>0.34560000000000002</v>
      </c>
      <c r="M2665">
        <v>0.13400000000000001</v>
      </c>
      <c r="N2665">
        <f>CONVERT(O2665,"lbf","N")</f>
        <v>6660.3222245295465</v>
      </c>
      <c r="O2665">
        <v>1497.3</v>
      </c>
      <c r="P2665">
        <f t="shared" si="41"/>
        <v>0.38773148148148151</v>
      </c>
    </row>
    <row r="2666" spans="1:16" hidden="1" x14ac:dyDescent="0.25">
      <c r="A2666">
        <v>0</v>
      </c>
      <c r="B2666">
        <v>25000</v>
      </c>
      <c r="C2666">
        <f>1.225 * (1 - 0.00000687559 * B2666) ^ 4.2561</f>
        <v>0.54892259437885793</v>
      </c>
      <c r="D2666">
        <f>E2666*(SQRT($C$2/C2666))</f>
        <v>29.877378321820672</v>
      </c>
      <c r="E2666">
        <v>20</v>
      </c>
      <c r="F2666">
        <v>1150</v>
      </c>
      <c r="G2666">
        <v>1750</v>
      </c>
      <c r="H2666">
        <f>CONVERT(G2666,"HP","kW")</f>
        <v>1304.974775268973</v>
      </c>
      <c r="I2666">
        <v>0.14680000000000001</v>
      </c>
      <c r="J2666">
        <v>0.2024</v>
      </c>
      <c r="K2666">
        <v>0.53129999999999999</v>
      </c>
      <c r="L2666">
        <v>0.34570000000000001</v>
      </c>
      <c r="M2666">
        <v>0.25069999999999998</v>
      </c>
      <c r="N2666">
        <f>CONVERT(O2666,"lbf","N")</f>
        <v>12463.472143798397</v>
      </c>
      <c r="O2666">
        <v>2801.9</v>
      </c>
      <c r="P2666">
        <f t="shared" si="41"/>
        <v>0.72519525600231405</v>
      </c>
    </row>
    <row r="2667" spans="1:16" hidden="1" x14ac:dyDescent="0.25">
      <c r="A2667">
        <v>0</v>
      </c>
      <c r="B2667">
        <v>25000</v>
      </c>
      <c r="C2667">
        <f>1.225 * (1 - 0.00000687559 * B2667) ^ 4.2561</f>
        <v>0.54892259437885793</v>
      </c>
      <c r="D2667">
        <f>E2667*(SQRT($C$2/C2667))</f>
        <v>89.632134965462015</v>
      </c>
      <c r="E2667">
        <v>60</v>
      </c>
      <c r="F2667">
        <v>1150</v>
      </c>
      <c r="G2667">
        <v>1750</v>
      </c>
      <c r="H2667">
        <f>CONVERT(G2667,"HP","kW")</f>
        <v>1304.974775268973</v>
      </c>
      <c r="I2667">
        <v>0.51829999999999998</v>
      </c>
      <c r="J2667">
        <v>0.60709999999999997</v>
      </c>
      <c r="K2667">
        <v>0.55330000000000001</v>
      </c>
      <c r="L2667">
        <v>0.34570000000000001</v>
      </c>
      <c r="M2667">
        <v>0.29509999999999997</v>
      </c>
      <c r="N2667">
        <f>CONVERT(O2667,"lbf","N")</f>
        <v>14669.790064967603</v>
      </c>
      <c r="O2667">
        <v>3297.9</v>
      </c>
      <c r="P2667">
        <f t="shared" si="41"/>
        <v>0.85363031530228517</v>
      </c>
    </row>
    <row r="2668" spans="1:16" hidden="1" x14ac:dyDescent="0.25">
      <c r="A2668">
        <v>0</v>
      </c>
      <c r="B2668">
        <v>25000</v>
      </c>
      <c r="C2668">
        <f>1.225 * (1 - 0.00000687559 * B2668) ^ 4.2561</f>
        <v>0.54892259437885793</v>
      </c>
      <c r="D2668">
        <f>E2668*(SQRT($C$2/C2668))</f>
        <v>358.52853986184806</v>
      </c>
      <c r="E2668">
        <v>240</v>
      </c>
      <c r="F2668">
        <v>1150</v>
      </c>
      <c r="G2668">
        <v>1750</v>
      </c>
      <c r="H2668">
        <f>CONVERT(G2668,"HP","kW")</f>
        <v>1304.974775268973</v>
      </c>
      <c r="I2668">
        <v>0.80410000000000004</v>
      </c>
      <c r="J2668">
        <v>2.4285000000000001</v>
      </c>
      <c r="K2668">
        <v>0.80320000000000003</v>
      </c>
      <c r="L2668">
        <v>0.34570000000000001</v>
      </c>
      <c r="M2668">
        <v>0.1144</v>
      </c>
      <c r="N2668">
        <f>CONVERT(O2668,"lbf","N")</f>
        <v>5689.2754459181797</v>
      </c>
      <c r="O2668">
        <v>1279</v>
      </c>
      <c r="P2668">
        <f t="shared" si="41"/>
        <v>0.33092276540352905</v>
      </c>
    </row>
    <row r="2669" spans="1:16" hidden="1" x14ac:dyDescent="0.25">
      <c r="A2669">
        <v>0</v>
      </c>
      <c r="B2669">
        <v>25000</v>
      </c>
      <c r="C2669">
        <f>1.225 * (1 - 0.00000687559 * B2669) ^ 4.2561</f>
        <v>0.54892259437885793</v>
      </c>
      <c r="D2669">
        <f>E2669*(SQRT($C$2/C2669))</f>
        <v>388.40591818366875</v>
      </c>
      <c r="E2669">
        <v>260</v>
      </c>
      <c r="F2669">
        <v>1150</v>
      </c>
      <c r="G2669">
        <v>1750</v>
      </c>
      <c r="H2669">
        <f>CONVERT(G2669,"HP","kW")</f>
        <v>1304.974775268973</v>
      </c>
      <c r="I2669">
        <v>0.68940000000000001</v>
      </c>
      <c r="J2669">
        <v>2.6309</v>
      </c>
      <c r="K2669">
        <v>0.8407</v>
      </c>
      <c r="L2669">
        <v>0.34570000000000001</v>
      </c>
      <c r="M2669">
        <v>9.06E-2</v>
      </c>
      <c r="N2669">
        <f>CONVERT(O2669,"lbf","N")</f>
        <v>4502.4899189666785</v>
      </c>
      <c r="O2669">
        <v>1012.2</v>
      </c>
      <c r="P2669">
        <f t="shared" si="41"/>
        <v>0.26207694532831932</v>
      </c>
    </row>
    <row r="2670" spans="1:16" hidden="1" x14ac:dyDescent="0.25">
      <c r="A2670">
        <v>0</v>
      </c>
      <c r="B2670">
        <v>0</v>
      </c>
      <c r="C2670">
        <f>1.225 * (1 - 0.00000687559 * B2670) ^ 4.2561</f>
        <v>1.2250000000000001</v>
      </c>
      <c r="D2670">
        <f>E2670*(SQRT($C$2/C2670))</f>
        <v>60</v>
      </c>
      <c r="E2670">
        <v>60</v>
      </c>
      <c r="F2670">
        <v>987</v>
      </c>
      <c r="G2670">
        <v>2500</v>
      </c>
      <c r="H2670">
        <f>CONVERT(G2670,"HP","kW")</f>
        <v>1864.2496789556756</v>
      </c>
      <c r="I2670">
        <v>0.37719999999999998</v>
      </c>
      <c r="J2670">
        <v>0.47349999999999998</v>
      </c>
      <c r="K2670">
        <v>0.4254</v>
      </c>
      <c r="L2670">
        <v>0.34960000000000002</v>
      </c>
      <c r="M2670">
        <v>0.27850000000000003</v>
      </c>
      <c r="N2670">
        <f>CONVERT(O2670,"lbf","N")</f>
        <v>22779.787713910551</v>
      </c>
      <c r="O2670">
        <v>5121.1000000000004</v>
      </c>
      <c r="P2670">
        <f t="shared" si="41"/>
        <v>0.79662471395881007</v>
      </c>
    </row>
    <row r="2671" spans="1:16" hidden="1" x14ac:dyDescent="0.25">
      <c r="A2671">
        <v>0</v>
      </c>
      <c r="B2671">
        <v>0</v>
      </c>
      <c r="C2671">
        <f>1.225 * (1 - 0.00000687559 * B2671) ^ 4.2561</f>
        <v>1.2250000000000001</v>
      </c>
      <c r="D2671">
        <f>E2671*(SQRT($C$2/C2671))</f>
        <v>100</v>
      </c>
      <c r="E2671">
        <v>100</v>
      </c>
      <c r="F2671">
        <v>987</v>
      </c>
      <c r="G2671">
        <v>2500</v>
      </c>
      <c r="H2671">
        <f>CONVERT(G2671,"HP","kW")</f>
        <v>1864.2496789556756</v>
      </c>
      <c r="I2671">
        <v>0.67149999999999999</v>
      </c>
      <c r="J2671">
        <v>0.78920000000000001</v>
      </c>
      <c r="K2671">
        <v>0.44379999999999997</v>
      </c>
      <c r="L2671">
        <v>0.3498</v>
      </c>
      <c r="M2671">
        <v>0.29759999999999998</v>
      </c>
      <c r="N2671">
        <f>CONVERT(O2671,"lbf","N")</f>
        <v>24334.441168444093</v>
      </c>
      <c r="O2671">
        <v>5470.6</v>
      </c>
      <c r="P2671">
        <f t="shared" si="41"/>
        <v>0.85077186963979412</v>
      </c>
    </row>
    <row r="2672" spans="1:16" hidden="1" x14ac:dyDescent="0.25">
      <c r="A2672">
        <v>0</v>
      </c>
      <c r="B2672">
        <v>0</v>
      </c>
      <c r="C2672">
        <f>1.225 * (1 - 0.00000687559 * B2672) ^ 4.2561</f>
        <v>1.2250000000000001</v>
      </c>
      <c r="D2672">
        <f>E2672*(SQRT($C$2/C2672))</f>
        <v>0</v>
      </c>
      <c r="E2672">
        <v>0</v>
      </c>
      <c r="F2672">
        <v>987</v>
      </c>
      <c r="G2672">
        <v>2500</v>
      </c>
      <c r="H2672">
        <f>CONVERT(G2672,"HP","kW")</f>
        <v>1864.2496789556756</v>
      </c>
      <c r="I2672">
        <v>0</v>
      </c>
      <c r="J2672">
        <v>0</v>
      </c>
      <c r="K2672">
        <v>0.41060000000000002</v>
      </c>
      <c r="L2672">
        <v>0.35</v>
      </c>
      <c r="M2672">
        <v>0.22570000000000001</v>
      </c>
      <c r="N2672">
        <f>CONVERT(O2672,"lbf","N")</f>
        <v>18447.664682808343</v>
      </c>
      <c r="O2672">
        <v>4147.2</v>
      </c>
      <c r="P2672">
        <f t="shared" si="41"/>
        <v>0.64485714285714291</v>
      </c>
    </row>
    <row r="2673" spans="1:16" hidden="1" x14ac:dyDescent="0.25">
      <c r="A2673">
        <v>0</v>
      </c>
      <c r="B2673">
        <v>0</v>
      </c>
      <c r="C2673">
        <f>1.225 * (1 - 0.00000687559 * B2673) ^ 4.2561</f>
        <v>1.2250000000000001</v>
      </c>
      <c r="D2673">
        <f>E2673*(SQRT($C$2/C2673))</f>
        <v>20</v>
      </c>
      <c r="E2673">
        <v>20</v>
      </c>
      <c r="F2673">
        <v>987</v>
      </c>
      <c r="G2673">
        <v>2500</v>
      </c>
      <c r="H2673">
        <f>CONVERT(G2673,"HP","kW")</f>
        <v>1864.2496789556756</v>
      </c>
      <c r="I2673">
        <v>0.1091</v>
      </c>
      <c r="J2673">
        <v>0.1578</v>
      </c>
      <c r="K2673">
        <v>0.41399999999999998</v>
      </c>
      <c r="L2673">
        <v>0.35</v>
      </c>
      <c r="M2673">
        <v>0.2419</v>
      </c>
      <c r="N2673">
        <f>CONVERT(O2673,"lbf","N")</f>
        <v>19770.120969025291</v>
      </c>
      <c r="O2673">
        <v>4444.5</v>
      </c>
      <c r="P2673">
        <f t="shared" si="41"/>
        <v>0.69114285714285717</v>
      </c>
    </row>
    <row r="2674" spans="1:16" hidden="1" x14ac:dyDescent="0.25">
      <c r="A2674">
        <v>0</v>
      </c>
      <c r="B2674">
        <v>0</v>
      </c>
      <c r="C2674">
        <f>1.225 * (1 - 0.00000687559 * B2674) ^ 4.2561</f>
        <v>1.2250000000000001</v>
      </c>
      <c r="D2674">
        <f>E2674*(SQRT($C$2/C2674))</f>
        <v>40</v>
      </c>
      <c r="E2674">
        <v>40</v>
      </c>
      <c r="F2674">
        <v>987</v>
      </c>
      <c r="G2674">
        <v>2500</v>
      </c>
      <c r="H2674">
        <f>CONVERT(G2674,"HP","kW")</f>
        <v>1864.2496789556756</v>
      </c>
      <c r="I2674">
        <v>0.23380000000000001</v>
      </c>
      <c r="J2674">
        <v>0.31569999999999998</v>
      </c>
      <c r="K2674">
        <v>0.41880000000000001</v>
      </c>
      <c r="L2674">
        <v>0.35</v>
      </c>
      <c r="M2674">
        <v>0.25919999999999999</v>
      </c>
      <c r="N2674">
        <f>CONVERT(O2674,"lbf","N")</f>
        <v>21183.765798355082</v>
      </c>
      <c r="O2674">
        <v>4762.3</v>
      </c>
      <c r="P2674">
        <f t="shared" si="41"/>
        <v>0.74057142857142855</v>
      </c>
    </row>
    <row r="2675" spans="1:16" hidden="1" x14ac:dyDescent="0.25">
      <c r="A2675">
        <v>0</v>
      </c>
      <c r="B2675">
        <v>0</v>
      </c>
      <c r="C2675">
        <f>1.225 * (1 - 0.00000687559 * B2675) ^ 4.2561</f>
        <v>1.2250000000000001</v>
      </c>
      <c r="D2675">
        <f>E2675*(SQRT($C$2/C2675))</f>
        <v>80</v>
      </c>
      <c r="E2675">
        <v>80</v>
      </c>
      <c r="F2675">
        <v>987</v>
      </c>
      <c r="G2675">
        <v>2500</v>
      </c>
      <c r="H2675">
        <f>CONVERT(G2675,"HP","kW")</f>
        <v>1864.2496789556756</v>
      </c>
      <c r="I2675">
        <v>0.54059999999999997</v>
      </c>
      <c r="J2675">
        <v>0.63139999999999996</v>
      </c>
      <c r="K2675">
        <v>0.43359999999999999</v>
      </c>
      <c r="L2675">
        <v>0.35</v>
      </c>
      <c r="M2675">
        <v>0.29959999999999998</v>
      </c>
      <c r="N2675">
        <f>CONVERT(O2675,"lbf","N")</f>
        <v>24487.459992009055</v>
      </c>
      <c r="O2675">
        <v>5505</v>
      </c>
      <c r="P2675">
        <f t="shared" si="41"/>
        <v>0.85599999999999998</v>
      </c>
    </row>
    <row r="2676" spans="1:16" hidden="1" x14ac:dyDescent="0.25">
      <c r="A2676">
        <v>0</v>
      </c>
      <c r="B2676">
        <v>0</v>
      </c>
      <c r="C2676">
        <f>1.225 * (1 - 0.00000687559 * B2676) ^ 4.2561</f>
        <v>1.2250000000000001</v>
      </c>
      <c r="D2676">
        <f>E2676*(SQRT($C$2/C2676))</f>
        <v>120</v>
      </c>
      <c r="E2676">
        <v>120</v>
      </c>
      <c r="F2676">
        <v>987</v>
      </c>
      <c r="G2676">
        <v>2500</v>
      </c>
      <c r="H2676">
        <f>CONVERT(G2676,"HP","kW")</f>
        <v>1864.2496789556756</v>
      </c>
      <c r="I2676">
        <v>0.74409999999999998</v>
      </c>
      <c r="J2676">
        <v>0.94710000000000005</v>
      </c>
      <c r="K2676">
        <v>0.45600000000000002</v>
      </c>
      <c r="L2676">
        <v>0.35</v>
      </c>
      <c r="M2676">
        <v>0.27500000000000002</v>
      </c>
      <c r="N2676">
        <f>CONVERT(O2676,"lbf","N")</f>
        <v>22470.191489488414</v>
      </c>
      <c r="O2676">
        <v>5051.5</v>
      </c>
      <c r="P2676">
        <f t="shared" si="41"/>
        <v>0.78571428571428581</v>
      </c>
    </row>
    <row r="2677" spans="1:16" hidden="1" x14ac:dyDescent="0.25">
      <c r="A2677">
        <v>0</v>
      </c>
      <c r="B2677">
        <v>0</v>
      </c>
      <c r="C2677">
        <f>1.225 * (1 - 0.00000687559 * B2677) ^ 4.2561</f>
        <v>1.2250000000000001</v>
      </c>
      <c r="D2677">
        <f>E2677*(SQRT($C$2/C2677))</f>
        <v>140</v>
      </c>
      <c r="E2677">
        <v>140</v>
      </c>
      <c r="F2677">
        <v>987</v>
      </c>
      <c r="G2677">
        <v>2500</v>
      </c>
      <c r="H2677">
        <f>CONVERT(G2677,"HP","kW")</f>
        <v>1864.2496789556756</v>
      </c>
      <c r="I2677">
        <v>0.78969999999999996</v>
      </c>
      <c r="J2677">
        <v>1.1049</v>
      </c>
      <c r="K2677">
        <v>0.46949999999999997</v>
      </c>
      <c r="L2677">
        <v>0.35</v>
      </c>
      <c r="M2677">
        <v>0.25009999999999999</v>
      </c>
      <c r="N2677">
        <f>CONVERT(O2677,"lbf","N")</f>
        <v>20440.023144283525</v>
      </c>
      <c r="O2677">
        <v>4595.1000000000004</v>
      </c>
      <c r="P2677">
        <f t="shared" si="41"/>
        <v>0.71457142857142864</v>
      </c>
    </row>
    <row r="2678" spans="1:16" hidden="1" x14ac:dyDescent="0.25">
      <c r="A2678">
        <v>0</v>
      </c>
      <c r="B2678">
        <v>0</v>
      </c>
      <c r="C2678">
        <f>1.225 * (1 - 0.00000687559 * B2678) ^ 4.2561</f>
        <v>1.2250000000000001</v>
      </c>
      <c r="D2678">
        <f>E2678*(SQRT($C$2/C2678))</f>
        <v>160</v>
      </c>
      <c r="E2678">
        <v>160</v>
      </c>
      <c r="F2678">
        <v>987</v>
      </c>
      <c r="G2678">
        <v>2500</v>
      </c>
      <c r="H2678">
        <f>CONVERT(G2678,"HP","kW")</f>
        <v>1864.2496789556756</v>
      </c>
      <c r="I2678">
        <v>0.82299999999999995</v>
      </c>
      <c r="J2678">
        <v>1.2627999999999999</v>
      </c>
      <c r="K2678">
        <v>0.48430000000000001</v>
      </c>
      <c r="L2678">
        <v>0.35</v>
      </c>
      <c r="M2678">
        <v>0.2281</v>
      </c>
      <c r="N2678">
        <f>CONVERT(O2678,"lbf","N")</f>
        <v>18640.717500910654</v>
      </c>
      <c r="O2678">
        <v>4190.6000000000004</v>
      </c>
      <c r="P2678">
        <f t="shared" si="41"/>
        <v>0.6517142857142858</v>
      </c>
    </row>
    <row r="2679" spans="1:16" hidden="1" x14ac:dyDescent="0.25">
      <c r="A2679">
        <v>0</v>
      </c>
      <c r="B2679">
        <v>0</v>
      </c>
      <c r="C2679">
        <f>1.225 * (1 - 0.00000687559 * B2679) ^ 4.2561</f>
        <v>1.2250000000000001</v>
      </c>
      <c r="D2679">
        <f>E2679*(SQRT($C$2/C2679))</f>
        <v>180</v>
      </c>
      <c r="E2679">
        <v>180</v>
      </c>
      <c r="F2679">
        <v>987</v>
      </c>
      <c r="G2679">
        <v>2500</v>
      </c>
      <c r="H2679">
        <f>CONVERT(G2679,"HP","kW")</f>
        <v>1864.2496789556756</v>
      </c>
      <c r="I2679">
        <v>0.84750000000000003</v>
      </c>
      <c r="J2679">
        <v>1.4206000000000001</v>
      </c>
      <c r="K2679">
        <v>0.50039999999999996</v>
      </c>
      <c r="L2679">
        <v>0.35</v>
      </c>
      <c r="M2679">
        <v>0.20880000000000001</v>
      </c>
      <c r="N2679">
        <f>CONVERT(O2679,"lbf","N")</f>
        <v>17061.154005331646</v>
      </c>
      <c r="O2679">
        <v>3835.5</v>
      </c>
      <c r="P2679">
        <f t="shared" si="41"/>
        <v>0.59657142857142864</v>
      </c>
    </row>
    <row r="2680" spans="1:16" hidden="1" x14ac:dyDescent="0.25">
      <c r="A2680">
        <v>0</v>
      </c>
      <c r="B2680">
        <v>0</v>
      </c>
      <c r="C2680">
        <f>1.225 * (1 - 0.00000687559 * B2680) ^ 4.2561</f>
        <v>1.2250000000000001</v>
      </c>
      <c r="D2680">
        <f>E2680*(SQRT($C$2/C2680))</f>
        <v>200</v>
      </c>
      <c r="E2680">
        <v>200</v>
      </c>
      <c r="F2680">
        <v>987</v>
      </c>
      <c r="G2680">
        <v>2500</v>
      </c>
      <c r="H2680">
        <f>CONVERT(G2680,"HP","kW")</f>
        <v>1864.2496789556756</v>
      </c>
      <c r="I2680">
        <v>0.86509999999999998</v>
      </c>
      <c r="J2680">
        <v>1.5785</v>
      </c>
      <c r="K2680">
        <v>0.51770000000000005</v>
      </c>
      <c r="L2680">
        <v>0.35</v>
      </c>
      <c r="M2680">
        <v>0.1918</v>
      </c>
      <c r="N2680">
        <f>CONVERT(O2680,"lbf","N")</f>
        <v>15675.977794339527</v>
      </c>
      <c r="O2680">
        <v>3524.1</v>
      </c>
      <c r="P2680">
        <f t="shared" si="41"/>
        <v>0.54800000000000004</v>
      </c>
    </row>
    <row r="2681" spans="1:16" hidden="1" x14ac:dyDescent="0.25">
      <c r="A2681">
        <v>0</v>
      </c>
      <c r="B2681">
        <v>0</v>
      </c>
      <c r="C2681">
        <f>1.225 * (1 - 0.00000687559 * B2681) ^ 4.2561</f>
        <v>1.2250000000000001</v>
      </c>
      <c r="D2681">
        <f>E2681*(SQRT($C$2/C2681))</f>
        <v>220</v>
      </c>
      <c r="E2681">
        <v>220</v>
      </c>
      <c r="F2681">
        <v>987</v>
      </c>
      <c r="G2681">
        <v>2500</v>
      </c>
      <c r="H2681">
        <f>CONVERT(G2681,"HP","kW")</f>
        <v>1864.2496789556756</v>
      </c>
      <c r="I2681">
        <v>0.87760000000000005</v>
      </c>
      <c r="J2681">
        <v>1.7363</v>
      </c>
      <c r="K2681">
        <v>0.53610000000000002</v>
      </c>
      <c r="L2681">
        <v>0.35</v>
      </c>
      <c r="M2681">
        <v>0.1769</v>
      </c>
      <c r="N2681">
        <f>CONVERT(O2681,"lbf","N")</f>
        <v>14456.275427435101</v>
      </c>
      <c r="O2681">
        <v>3249.9</v>
      </c>
      <c r="P2681">
        <f t="shared" si="41"/>
        <v>0.50542857142857145</v>
      </c>
    </row>
    <row r="2682" spans="1:16" hidden="1" x14ac:dyDescent="0.25">
      <c r="A2682">
        <v>0</v>
      </c>
      <c r="B2682">
        <v>0</v>
      </c>
      <c r="C2682">
        <f>1.225 * (1 - 0.00000687559 * B2682) ^ 4.2561</f>
        <v>1.2250000000000001</v>
      </c>
      <c r="D2682">
        <f>E2682*(SQRT($C$2/C2682))</f>
        <v>240</v>
      </c>
      <c r="E2682">
        <v>240</v>
      </c>
      <c r="F2682">
        <v>987</v>
      </c>
      <c r="G2682">
        <v>2500</v>
      </c>
      <c r="H2682">
        <f>CONVERT(G2682,"HP","kW")</f>
        <v>1864.2496789556756</v>
      </c>
      <c r="I2682">
        <v>0.88600000000000001</v>
      </c>
      <c r="J2682">
        <v>1.8942000000000001</v>
      </c>
      <c r="K2682">
        <v>0.55549999999999999</v>
      </c>
      <c r="L2682">
        <v>0.35</v>
      </c>
      <c r="M2682">
        <v>0.16370000000000001</v>
      </c>
      <c r="N2682">
        <f>CONVERT(O2682,"lbf","N")</f>
        <v>13378.47133005748</v>
      </c>
      <c r="O2682">
        <v>3007.6</v>
      </c>
      <c r="P2682">
        <f t="shared" si="41"/>
        <v>0.4677142857142858</v>
      </c>
    </row>
    <row r="2683" spans="1:16" hidden="1" x14ac:dyDescent="0.25">
      <c r="A2683">
        <v>0</v>
      </c>
      <c r="B2683">
        <v>0</v>
      </c>
      <c r="C2683">
        <f>1.225 * (1 - 0.00000687559 * B2683) ^ 4.2561</f>
        <v>1.2250000000000001</v>
      </c>
      <c r="D2683">
        <f>E2683*(SQRT($C$2/C2683))</f>
        <v>260</v>
      </c>
      <c r="E2683">
        <v>260</v>
      </c>
      <c r="F2683">
        <v>987</v>
      </c>
      <c r="G2683">
        <v>2500</v>
      </c>
      <c r="H2683">
        <f>CONVERT(G2683,"HP","kW")</f>
        <v>1864.2496789556756</v>
      </c>
      <c r="I2683">
        <v>0.89100000000000001</v>
      </c>
      <c r="J2683">
        <v>2.052</v>
      </c>
      <c r="K2683">
        <v>0.57579999999999998</v>
      </c>
      <c r="L2683">
        <v>0.35</v>
      </c>
      <c r="M2683">
        <v>0.152</v>
      </c>
      <c r="N2683">
        <f>CONVERT(O2683,"lbf","N")</f>
        <v>12418.545105484263</v>
      </c>
      <c r="O2683">
        <v>2791.8</v>
      </c>
      <c r="P2683">
        <f t="shared" si="41"/>
        <v>0.43428571428571427</v>
      </c>
    </row>
    <row r="2684" spans="1:16" hidden="1" x14ac:dyDescent="0.25">
      <c r="A2684">
        <v>0</v>
      </c>
      <c r="B2684">
        <v>30000</v>
      </c>
      <c r="C2684">
        <f>1.225 * (1 - 0.00000687559 * B2684) ^ 4.2561</f>
        <v>0.45828836225470948</v>
      </c>
      <c r="D2684">
        <f>E2684*(SQRT($C$2/C2684))</f>
        <v>196.19135918703881</v>
      </c>
      <c r="E2684">
        <v>120</v>
      </c>
      <c r="F2684">
        <v>1215</v>
      </c>
      <c r="G2684">
        <v>1750</v>
      </c>
      <c r="H2684">
        <f>CONVERT(G2684,"HP","kW")</f>
        <v>1304.974775268973</v>
      </c>
      <c r="I2684">
        <v>0.81769999999999998</v>
      </c>
      <c r="J2684">
        <v>1.2578</v>
      </c>
      <c r="K2684">
        <v>0.66849999999999998</v>
      </c>
      <c r="L2684">
        <v>0.35070000000000001</v>
      </c>
      <c r="M2684">
        <v>0.22800000000000001</v>
      </c>
      <c r="N2684">
        <f>CONVERT(O2684,"lbf","N")</f>
        <v>10572.977957312683</v>
      </c>
      <c r="O2684">
        <v>2376.9</v>
      </c>
      <c r="P2684">
        <f t="shared" si="41"/>
        <v>0.65012831479897348</v>
      </c>
    </row>
    <row r="2685" spans="1:16" hidden="1" x14ac:dyDescent="0.25">
      <c r="A2685">
        <v>0</v>
      </c>
      <c r="B2685">
        <v>30000</v>
      </c>
      <c r="C2685">
        <f>1.225 * (1 - 0.00000687559 * B2685) ^ 4.2561</f>
        <v>0.45828836225470948</v>
      </c>
      <c r="D2685">
        <f>E2685*(SQRT($C$2/C2685))</f>
        <v>98.095679593519407</v>
      </c>
      <c r="E2685">
        <v>60</v>
      </c>
      <c r="F2685">
        <v>1215</v>
      </c>
      <c r="G2685">
        <v>1750</v>
      </c>
      <c r="H2685">
        <f>CONVERT(G2685,"HP","kW")</f>
        <v>1304.974775268973</v>
      </c>
      <c r="I2685">
        <v>0.52110000000000001</v>
      </c>
      <c r="J2685">
        <v>0.62890000000000001</v>
      </c>
      <c r="K2685">
        <v>0.5988</v>
      </c>
      <c r="L2685">
        <v>0.35089999999999999</v>
      </c>
      <c r="M2685">
        <v>0.2908</v>
      </c>
      <c r="N2685">
        <f>CONVERT(O2685,"lbf","N")</f>
        <v>13475.887383431686</v>
      </c>
      <c r="O2685">
        <v>3029.5</v>
      </c>
      <c r="P2685">
        <f t="shared" si="41"/>
        <v>0.82872613280136798</v>
      </c>
    </row>
    <row r="2686" spans="1:16" hidden="1" x14ac:dyDescent="0.25">
      <c r="A2686">
        <v>0</v>
      </c>
      <c r="B2686">
        <v>30000</v>
      </c>
      <c r="C2686">
        <f>1.225 * (1 - 0.00000687559 * B2686) ^ 4.2561</f>
        <v>0.45828836225470948</v>
      </c>
      <c r="D2686">
        <f>E2686*(SQRT($C$2/C2686))</f>
        <v>261.58847891605171</v>
      </c>
      <c r="E2686">
        <v>160</v>
      </c>
      <c r="F2686">
        <v>1215</v>
      </c>
      <c r="G2686">
        <v>1750</v>
      </c>
      <c r="H2686">
        <f>CONVERT(G2686,"HP","kW")</f>
        <v>1304.974775268973</v>
      </c>
      <c r="I2686">
        <v>0.8609</v>
      </c>
      <c r="J2686">
        <v>1.6771</v>
      </c>
      <c r="K2686">
        <v>0.73099999999999998</v>
      </c>
      <c r="L2686">
        <v>0.35089999999999999</v>
      </c>
      <c r="M2686">
        <v>0.18010000000000001</v>
      </c>
      <c r="N2686">
        <f>CONVERT(O2686,"lbf","N")</f>
        <v>8348.8671496824336</v>
      </c>
      <c r="O2686">
        <v>1876.9</v>
      </c>
      <c r="P2686">
        <f t="shared" si="41"/>
        <v>0.51325163864348822</v>
      </c>
    </row>
    <row r="2687" spans="1:16" hidden="1" x14ac:dyDescent="0.25">
      <c r="A2687">
        <v>0</v>
      </c>
      <c r="B2687">
        <v>30000</v>
      </c>
      <c r="C2687">
        <f>1.225 * (1 - 0.00000687559 * B2687) ^ 4.2561</f>
        <v>0.45828836225470948</v>
      </c>
      <c r="D2687">
        <f>E2687*(SQRT($C$2/C2687))</f>
        <v>326.98559864506467</v>
      </c>
      <c r="E2687">
        <v>200</v>
      </c>
      <c r="F2687">
        <v>1215</v>
      </c>
      <c r="G2687">
        <v>1750</v>
      </c>
      <c r="H2687">
        <f>CONVERT(G2687,"HP","kW")</f>
        <v>1304.974775268973</v>
      </c>
      <c r="I2687">
        <v>0.83160000000000001</v>
      </c>
      <c r="J2687">
        <v>2.0964</v>
      </c>
      <c r="K2687">
        <v>0.80359999999999998</v>
      </c>
      <c r="L2687">
        <v>0.35089999999999999</v>
      </c>
      <c r="M2687">
        <v>0.13919999999999999</v>
      </c>
      <c r="N2687">
        <f>CONVERT(O2687,"lbf","N")</f>
        <v>6451.7006307738293</v>
      </c>
      <c r="O2687">
        <v>1450.4</v>
      </c>
      <c r="P2687">
        <f t="shared" si="41"/>
        <v>0.39669421487603307</v>
      </c>
    </row>
    <row r="2688" spans="1:16" hidden="1" x14ac:dyDescent="0.25">
      <c r="A2688">
        <v>0</v>
      </c>
      <c r="B2688">
        <v>30000</v>
      </c>
      <c r="C2688">
        <f>1.225 * (1 - 0.00000687559 * B2688) ^ 4.2561</f>
        <v>0.45828836225470948</v>
      </c>
      <c r="D2688">
        <f>E2688*(SQRT($C$2/C2688))</f>
        <v>425.08127823858405</v>
      </c>
      <c r="E2688">
        <v>260</v>
      </c>
      <c r="F2688">
        <v>1215</v>
      </c>
      <c r="G2688">
        <v>1750</v>
      </c>
      <c r="H2688">
        <f>CONVERT(G2688,"HP","kW")</f>
        <v>1304.974775268973</v>
      </c>
      <c r="I2688">
        <v>0.39269999999999999</v>
      </c>
      <c r="J2688">
        <v>2.7252999999999998</v>
      </c>
      <c r="K2688">
        <v>0.92659999999999998</v>
      </c>
      <c r="L2688">
        <v>0.35089999999999999</v>
      </c>
      <c r="M2688">
        <v>5.0599999999999999E-2</v>
      </c>
      <c r="N2688">
        <f>CONVERT(O2688,"lbf","N")</f>
        <v>2343.323146919231</v>
      </c>
      <c r="O2688">
        <v>526.79999999999995</v>
      </c>
      <c r="P2688">
        <f t="shared" si="41"/>
        <v>0.14420062695924765</v>
      </c>
    </row>
    <row r="2689" spans="1:16" hidden="1" x14ac:dyDescent="0.25">
      <c r="A2689">
        <v>0</v>
      </c>
      <c r="B2689">
        <v>30000</v>
      </c>
      <c r="C2689">
        <f>1.225 * (1 - 0.00000687559 * B2689) ^ 4.2561</f>
        <v>0.45828836225470948</v>
      </c>
      <c r="D2689">
        <f>E2689*(SQRT($C$2/C2689))</f>
        <v>0</v>
      </c>
      <c r="E2689">
        <v>0</v>
      </c>
      <c r="F2689">
        <v>1215</v>
      </c>
      <c r="G2689">
        <v>1750</v>
      </c>
      <c r="H2689">
        <f>CONVERT(G2689,"HP","kW")</f>
        <v>1304.974775268973</v>
      </c>
      <c r="I2689">
        <v>0</v>
      </c>
      <c r="J2689">
        <v>0</v>
      </c>
      <c r="K2689">
        <v>0.56630000000000003</v>
      </c>
      <c r="L2689">
        <v>0.35099999999999998</v>
      </c>
      <c r="M2689">
        <v>0.2354</v>
      </c>
      <c r="N2689">
        <f>CONVERT(O2689,"lbf","N")</f>
        <v>10907.039400618747</v>
      </c>
      <c r="O2689">
        <v>2452</v>
      </c>
      <c r="P2689">
        <f t="shared" si="41"/>
        <v>0.67065527065527064</v>
      </c>
    </row>
    <row r="2690" spans="1:16" hidden="1" x14ac:dyDescent="0.25">
      <c r="A2690">
        <v>0</v>
      </c>
      <c r="B2690">
        <v>30000</v>
      </c>
      <c r="C2690">
        <f>1.225 * (1 - 0.00000687559 * B2690) ^ 4.2561</f>
        <v>0.45828836225470948</v>
      </c>
      <c r="D2690">
        <f>E2690*(SQRT($C$2/C2690))</f>
        <v>32.698559864506464</v>
      </c>
      <c r="E2690">
        <v>20</v>
      </c>
      <c r="F2690">
        <v>1215</v>
      </c>
      <c r="G2690">
        <v>1750</v>
      </c>
      <c r="H2690">
        <f>CONVERT(G2690,"HP","kW")</f>
        <v>1304.974775268973</v>
      </c>
      <c r="I2690">
        <v>0.14879999999999999</v>
      </c>
      <c r="J2690">
        <v>0.20960000000000001</v>
      </c>
      <c r="K2690">
        <v>0.5736</v>
      </c>
      <c r="L2690">
        <v>0.35099999999999998</v>
      </c>
      <c r="M2690">
        <v>0.24909999999999999</v>
      </c>
      <c r="N2690">
        <f>CONVERT(O2690,"lbf","N")</f>
        <v>11542.245447277946</v>
      </c>
      <c r="O2690">
        <v>2594.8000000000002</v>
      </c>
      <c r="P2690">
        <f t="shared" si="41"/>
        <v>0.70968660968660968</v>
      </c>
    </row>
    <row r="2691" spans="1:16" hidden="1" x14ac:dyDescent="0.25">
      <c r="A2691">
        <v>0</v>
      </c>
      <c r="B2691">
        <v>30000</v>
      </c>
      <c r="C2691">
        <f>1.225 * (1 - 0.00000687559 * B2691) ^ 4.2561</f>
        <v>0.45828836225470948</v>
      </c>
      <c r="D2691">
        <f>E2691*(SQRT($C$2/C2691))</f>
        <v>65.397119729012928</v>
      </c>
      <c r="E2691">
        <v>40</v>
      </c>
      <c r="F2691">
        <v>1215</v>
      </c>
      <c r="G2691">
        <v>1750</v>
      </c>
      <c r="H2691">
        <f>CONVERT(G2691,"HP","kW")</f>
        <v>1304.974775268973</v>
      </c>
      <c r="I2691">
        <v>0.3201</v>
      </c>
      <c r="J2691">
        <v>0.41930000000000001</v>
      </c>
      <c r="K2691">
        <v>0.58420000000000005</v>
      </c>
      <c r="L2691">
        <v>0.35099999999999998</v>
      </c>
      <c r="M2691">
        <v>0.26800000000000002</v>
      </c>
      <c r="N2691">
        <f>CONVERT(O2691,"lbf","N")</f>
        <v>12417.65546116121</v>
      </c>
      <c r="O2691">
        <v>2791.6</v>
      </c>
      <c r="P2691">
        <f t="shared" ref="P2691:P2754" si="42">M2691/L2691</f>
        <v>0.76353276353276367</v>
      </c>
    </row>
    <row r="2692" spans="1:16" hidden="1" x14ac:dyDescent="0.25">
      <c r="A2692">
        <v>0</v>
      </c>
      <c r="B2692">
        <v>30000</v>
      </c>
      <c r="C2692">
        <f>1.225 * (1 - 0.00000687559 * B2692) ^ 4.2561</f>
        <v>0.45828836225470948</v>
      </c>
      <c r="D2692">
        <f>E2692*(SQRT($C$2/C2692))</f>
        <v>163.49279932253233</v>
      </c>
      <c r="E2692">
        <v>100</v>
      </c>
      <c r="F2692">
        <v>1215</v>
      </c>
      <c r="G2692">
        <v>1750</v>
      </c>
      <c r="H2692">
        <f>CONVERT(G2692,"HP","kW")</f>
        <v>1304.974775268973</v>
      </c>
      <c r="I2692">
        <v>0.76849999999999996</v>
      </c>
      <c r="J2692">
        <v>1.0482</v>
      </c>
      <c r="K2692">
        <v>0.64170000000000005</v>
      </c>
      <c r="L2692">
        <v>0.35099999999999998</v>
      </c>
      <c r="M2692">
        <v>0.25740000000000002</v>
      </c>
      <c r="N2692">
        <f>CONVERT(O2692,"lbf","N")</f>
        <v>11924.79250619035</v>
      </c>
      <c r="O2692">
        <v>2680.8</v>
      </c>
      <c r="P2692">
        <f t="shared" si="42"/>
        <v>0.73333333333333339</v>
      </c>
    </row>
    <row r="2693" spans="1:16" hidden="1" x14ac:dyDescent="0.25">
      <c r="A2693">
        <v>0</v>
      </c>
      <c r="B2693">
        <v>30000</v>
      </c>
      <c r="C2693">
        <f>1.225 * (1 - 0.00000687559 * B2693) ^ 4.2561</f>
        <v>0.45828836225470948</v>
      </c>
      <c r="D2693">
        <f>E2693*(SQRT($C$2/C2693))</f>
        <v>294.28703878055819</v>
      </c>
      <c r="E2693">
        <v>180</v>
      </c>
      <c r="F2693">
        <v>1215</v>
      </c>
      <c r="G2693">
        <v>1750</v>
      </c>
      <c r="H2693">
        <f>CONVERT(G2693,"HP","kW")</f>
        <v>1304.974775268973</v>
      </c>
      <c r="I2693">
        <v>0.85780000000000001</v>
      </c>
      <c r="J2693">
        <v>1.8867</v>
      </c>
      <c r="K2693">
        <v>0.7661</v>
      </c>
      <c r="L2693">
        <v>0.35099999999999998</v>
      </c>
      <c r="M2693">
        <v>0.15959999999999999</v>
      </c>
      <c r="N2693">
        <f>CONVERT(O2693,"lbf","N")</f>
        <v>7394.278791047529</v>
      </c>
      <c r="O2693">
        <v>1662.3</v>
      </c>
      <c r="P2693">
        <f t="shared" si="42"/>
        <v>0.4547008547008547</v>
      </c>
    </row>
    <row r="2694" spans="1:16" hidden="1" x14ac:dyDescent="0.25">
      <c r="A2694">
        <v>0</v>
      </c>
      <c r="B2694">
        <v>30000</v>
      </c>
      <c r="C2694">
        <f>1.225 * (1 - 0.00000687559 * B2694) ^ 4.2561</f>
        <v>0.45828836225470948</v>
      </c>
      <c r="D2694">
        <f>E2694*(SQRT($C$2/C2694))</f>
        <v>359.68415850957115</v>
      </c>
      <c r="E2694">
        <v>220</v>
      </c>
      <c r="F2694">
        <v>1215</v>
      </c>
      <c r="G2694">
        <v>1750</v>
      </c>
      <c r="H2694">
        <f>CONVERT(G2694,"HP","kW")</f>
        <v>1304.974775268973</v>
      </c>
      <c r="I2694">
        <v>0.76180000000000003</v>
      </c>
      <c r="J2694">
        <v>2.306</v>
      </c>
      <c r="K2694">
        <v>0.84289999999999998</v>
      </c>
      <c r="L2694">
        <v>0.35099999999999998</v>
      </c>
      <c r="M2694">
        <v>0.1159</v>
      </c>
      <c r="N2694">
        <f>CONVERT(O2694,"lbf","N")</f>
        <v>5372.5620669116315</v>
      </c>
      <c r="O2694">
        <v>1207.8</v>
      </c>
      <c r="P2694">
        <f t="shared" si="42"/>
        <v>0.33019943019943021</v>
      </c>
    </row>
    <row r="2695" spans="1:16" hidden="1" x14ac:dyDescent="0.25">
      <c r="A2695">
        <v>0</v>
      </c>
      <c r="B2695">
        <v>30000</v>
      </c>
      <c r="C2695">
        <f>1.225 * (1 - 0.00000687559 * B2695) ^ 4.2561</f>
        <v>0.45828836225470948</v>
      </c>
      <c r="D2695">
        <f>E2695*(SQRT($C$2/C2695))</f>
        <v>392.38271837407763</v>
      </c>
      <c r="E2695">
        <v>240</v>
      </c>
      <c r="F2695">
        <v>1215</v>
      </c>
      <c r="G2695">
        <v>1750</v>
      </c>
      <c r="H2695">
        <f>CONVERT(G2695,"HP","kW")</f>
        <v>1304.974775268973</v>
      </c>
      <c r="I2695">
        <v>0.62309999999999999</v>
      </c>
      <c r="J2695">
        <v>2.5156999999999998</v>
      </c>
      <c r="K2695">
        <v>0.8841</v>
      </c>
      <c r="L2695">
        <v>0.35099999999999998</v>
      </c>
      <c r="M2695">
        <v>8.6999999999999994E-2</v>
      </c>
      <c r="N2695">
        <f>CONVERT(O2695,"lbf","N")</f>
        <v>4028.3094947799091</v>
      </c>
      <c r="O2695">
        <v>905.6</v>
      </c>
      <c r="P2695">
        <f t="shared" si="42"/>
        <v>0.24786324786324787</v>
      </c>
    </row>
    <row r="2696" spans="1:16" hidden="1" x14ac:dyDescent="0.25">
      <c r="A2696">
        <v>0</v>
      </c>
      <c r="B2696">
        <v>30000</v>
      </c>
      <c r="C2696">
        <f>1.225 * (1 - 0.00000687559 * B2696) ^ 4.2561</f>
        <v>0.45828836225470948</v>
      </c>
      <c r="D2696">
        <f>E2696*(SQRT($C$2/C2696))</f>
        <v>228.88991905154526</v>
      </c>
      <c r="E2696">
        <v>140</v>
      </c>
      <c r="F2696">
        <v>1215</v>
      </c>
      <c r="G2696">
        <v>1750</v>
      </c>
      <c r="H2696">
        <f>CONVERT(G2696,"HP","kW")</f>
        <v>1304.974775268973</v>
      </c>
      <c r="I2696">
        <v>0.8488</v>
      </c>
      <c r="J2696">
        <v>1.4675</v>
      </c>
      <c r="K2696">
        <v>0.69830000000000003</v>
      </c>
      <c r="L2696">
        <v>0.35110000000000002</v>
      </c>
      <c r="M2696">
        <v>0.2031</v>
      </c>
      <c r="N2696">
        <f>CONVERT(O2696,"lbf","N")</f>
        <v>9407.0990719529073</v>
      </c>
      <c r="O2696">
        <v>2114.8000000000002</v>
      </c>
      <c r="P2696">
        <f t="shared" si="42"/>
        <v>0.57846767302762747</v>
      </c>
    </row>
    <row r="2697" spans="1:16" hidden="1" x14ac:dyDescent="0.25">
      <c r="A2697">
        <v>0</v>
      </c>
      <c r="B2697">
        <v>15000</v>
      </c>
      <c r="C2697">
        <f>1.225 * (1 - 0.00000687559 * B2697) ^ 4.2561</f>
        <v>0.77079726910167001</v>
      </c>
      <c r="D2697">
        <f>E2697*(SQRT($C$2/C2697))</f>
        <v>0</v>
      </c>
      <c r="E2697">
        <v>0</v>
      </c>
      <c r="F2697">
        <v>1150</v>
      </c>
      <c r="G2697">
        <v>2500</v>
      </c>
      <c r="H2697">
        <f>CONVERT(G2697,"HP","kW")</f>
        <v>1864.2496789556756</v>
      </c>
      <c r="I2697">
        <v>0</v>
      </c>
      <c r="J2697">
        <v>0</v>
      </c>
      <c r="K2697">
        <v>0.505</v>
      </c>
      <c r="L2697">
        <v>0.3513</v>
      </c>
      <c r="M2697">
        <v>0.2306</v>
      </c>
      <c r="N2697">
        <f>CONVERT(O2697,"lbf","N")</f>
        <v>16114.572445604212</v>
      </c>
      <c r="O2697">
        <v>3622.7</v>
      </c>
      <c r="P2697">
        <f t="shared" si="42"/>
        <v>0.65641901508682032</v>
      </c>
    </row>
    <row r="2698" spans="1:16" hidden="1" x14ac:dyDescent="0.25">
      <c r="A2698">
        <v>0</v>
      </c>
      <c r="B2698">
        <v>15000</v>
      </c>
      <c r="C2698">
        <f>1.225 * (1 - 0.00000687559 * B2698) ^ 4.2561</f>
        <v>0.77079726910167001</v>
      </c>
      <c r="D2698">
        <f>E2698*(SQRT($C$2/C2698))</f>
        <v>151.27919566519836</v>
      </c>
      <c r="E2698">
        <v>120</v>
      </c>
      <c r="F2698">
        <v>1150</v>
      </c>
      <c r="G2698">
        <v>2500</v>
      </c>
      <c r="H2698">
        <f>CONVERT(G2698,"HP","kW")</f>
        <v>1864.2496789556756</v>
      </c>
      <c r="I2698">
        <v>0.76539999999999997</v>
      </c>
      <c r="J2698">
        <v>1.0246999999999999</v>
      </c>
      <c r="K2698">
        <v>0.56889999999999996</v>
      </c>
      <c r="L2698">
        <v>0.3513</v>
      </c>
      <c r="M2698">
        <v>0.26240000000000002</v>
      </c>
      <c r="N2698">
        <f>CONVERT(O2698,"lbf","N")</f>
        <v>18335.569498103781</v>
      </c>
      <c r="O2698">
        <v>4122</v>
      </c>
      <c r="P2698">
        <f t="shared" si="42"/>
        <v>0.7469399373754626</v>
      </c>
    </row>
    <row r="2699" spans="1:16" hidden="1" x14ac:dyDescent="0.25">
      <c r="A2699">
        <v>0</v>
      </c>
      <c r="B2699">
        <v>30000</v>
      </c>
      <c r="C2699">
        <f>1.225 * (1 - 0.00000687559 * B2699) ^ 4.2561</f>
        <v>0.45828836225470948</v>
      </c>
      <c r="D2699">
        <f>E2699*(SQRT($C$2/C2699))</f>
        <v>130.79423945802586</v>
      </c>
      <c r="E2699">
        <v>80</v>
      </c>
      <c r="F2699">
        <v>1215</v>
      </c>
      <c r="G2699">
        <v>1750</v>
      </c>
      <c r="H2699">
        <f>CONVERT(G2699,"HP","kW")</f>
        <v>1304.974775268973</v>
      </c>
      <c r="I2699">
        <v>0.68149999999999999</v>
      </c>
      <c r="J2699">
        <v>0.83860000000000001</v>
      </c>
      <c r="K2699">
        <v>0.61819999999999997</v>
      </c>
      <c r="L2699">
        <v>0.35139999999999999</v>
      </c>
      <c r="M2699">
        <v>0.28549999999999998</v>
      </c>
      <c r="N2699">
        <f>CONVERT(O2699,"lbf","N")</f>
        <v>13217.445707585051</v>
      </c>
      <c r="O2699">
        <v>2971.4</v>
      </c>
      <c r="P2699">
        <f t="shared" si="42"/>
        <v>0.81246442800227658</v>
      </c>
    </row>
    <row r="2700" spans="1:16" hidden="1" x14ac:dyDescent="0.25">
      <c r="A2700">
        <v>0</v>
      </c>
      <c r="B2700">
        <v>15000</v>
      </c>
      <c r="C2700">
        <f>1.225 * (1 - 0.00000687559 * B2700) ^ 4.2561</f>
        <v>0.77079726910167001</v>
      </c>
      <c r="D2700">
        <f>E2700*(SQRT($C$2/C2700))</f>
        <v>75.639597832599179</v>
      </c>
      <c r="E2700">
        <v>60</v>
      </c>
      <c r="F2700">
        <v>1150</v>
      </c>
      <c r="G2700">
        <v>2500</v>
      </c>
      <c r="H2700">
        <f>CONVERT(G2700,"HP","kW")</f>
        <v>1864.2496789556756</v>
      </c>
      <c r="I2700">
        <v>0.41160000000000002</v>
      </c>
      <c r="J2700">
        <v>0.51239999999999997</v>
      </c>
      <c r="K2700">
        <v>0.52559999999999996</v>
      </c>
      <c r="L2700">
        <v>0.35149999999999998</v>
      </c>
      <c r="M2700">
        <v>0.28239999999999998</v>
      </c>
      <c r="N2700">
        <f>CONVERT(O2700,"lbf","N")</f>
        <v>19722.080175580479</v>
      </c>
      <c r="O2700">
        <v>4433.7</v>
      </c>
      <c r="P2700">
        <f t="shared" si="42"/>
        <v>0.80341394025604551</v>
      </c>
    </row>
    <row r="2701" spans="1:16" hidden="1" x14ac:dyDescent="0.25">
      <c r="A2701">
        <v>0</v>
      </c>
      <c r="B2701">
        <v>15000</v>
      </c>
      <c r="C2701">
        <f>1.225 * (1 - 0.00000687559 * B2701) ^ 4.2561</f>
        <v>0.77079726910167001</v>
      </c>
      <c r="D2701">
        <f>E2701*(SQRT($C$2/C2701))</f>
        <v>25.213199277533057</v>
      </c>
      <c r="E2701">
        <v>20</v>
      </c>
      <c r="F2701">
        <v>1150</v>
      </c>
      <c r="G2701">
        <v>2500</v>
      </c>
      <c r="H2701">
        <f>CONVERT(G2701,"HP","kW")</f>
        <v>1864.2496789556756</v>
      </c>
      <c r="I2701">
        <v>0.1193</v>
      </c>
      <c r="J2701">
        <v>0.17080000000000001</v>
      </c>
      <c r="K2701">
        <v>0.50970000000000004</v>
      </c>
      <c r="L2701">
        <v>0.35160000000000002</v>
      </c>
      <c r="M2701">
        <v>0.2455</v>
      </c>
      <c r="N2701">
        <f>CONVERT(O2701,"lbf","N")</f>
        <v>17140.777172244812</v>
      </c>
      <c r="O2701">
        <v>3853.4</v>
      </c>
      <c r="P2701">
        <f t="shared" si="42"/>
        <v>0.69823663253697377</v>
      </c>
    </row>
    <row r="2702" spans="1:16" hidden="1" x14ac:dyDescent="0.25">
      <c r="A2702">
        <v>0</v>
      </c>
      <c r="B2702">
        <v>15000</v>
      </c>
      <c r="C2702">
        <f>1.225 * (1 - 0.00000687559 * B2702) ^ 4.2561</f>
        <v>0.77079726910167001</v>
      </c>
      <c r="D2702">
        <f>E2702*(SQRT($C$2/C2702))</f>
        <v>126.06599638766529</v>
      </c>
      <c r="E2702">
        <v>100</v>
      </c>
      <c r="F2702">
        <v>1150</v>
      </c>
      <c r="G2702">
        <v>2500</v>
      </c>
      <c r="H2702">
        <f>CONVERT(G2702,"HP","kW")</f>
        <v>1864.2496789556756</v>
      </c>
      <c r="I2702">
        <v>0.6986</v>
      </c>
      <c r="J2702">
        <v>0.85389999999999999</v>
      </c>
      <c r="K2702">
        <v>0.55189999999999995</v>
      </c>
      <c r="L2702">
        <v>0.35160000000000002</v>
      </c>
      <c r="M2702">
        <v>0.28770000000000001</v>
      </c>
      <c r="N2702">
        <f>CONVERT(O2702,"lbf","N")</f>
        <v>20082.386126416579</v>
      </c>
      <c r="O2702">
        <v>4514.7</v>
      </c>
      <c r="P2702">
        <f t="shared" si="42"/>
        <v>0.81825938566552903</v>
      </c>
    </row>
    <row r="2703" spans="1:16" hidden="1" x14ac:dyDescent="0.25">
      <c r="A2703">
        <v>0</v>
      </c>
      <c r="B2703">
        <v>15000</v>
      </c>
      <c r="C2703">
        <f>1.225 * (1 - 0.00000687559 * B2703) ^ 4.2561</f>
        <v>0.77079726910167001</v>
      </c>
      <c r="D2703">
        <f>E2703*(SQRT($C$2/C2703))</f>
        <v>176.49239494273141</v>
      </c>
      <c r="E2703">
        <v>140</v>
      </c>
      <c r="F2703">
        <v>1150</v>
      </c>
      <c r="G2703">
        <v>2500</v>
      </c>
      <c r="H2703">
        <f>CONVERT(G2703,"HP","kW")</f>
        <v>1864.2496789556756</v>
      </c>
      <c r="I2703">
        <v>0.80730000000000002</v>
      </c>
      <c r="J2703">
        <v>1.1955</v>
      </c>
      <c r="K2703">
        <v>0.58779999999999999</v>
      </c>
      <c r="L2703">
        <v>0.35160000000000002</v>
      </c>
      <c r="M2703">
        <v>0.23749999999999999</v>
      </c>
      <c r="N2703">
        <f>CONVERT(O2703,"lbf","N")</f>
        <v>16575.853027106728</v>
      </c>
      <c r="O2703">
        <v>3726.4</v>
      </c>
      <c r="P2703">
        <f t="shared" si="42"/>
        <v>0.67548350398179746</v>
      </c>
    </row>
    <row r="2704" spans="1:16" hidden="1" x14ac:dyDescent="0.25">
      <c r="A2704">
        <v>0</v>
      </c>
      <c r="B2704">
        <v>15000</v>
      </c>
      <c r="C2704">
        <f>1.225 * (1 - 0.00000687559 * B2704) ^ 4.2561</f>
        <v>0.77079726910167001</v>
      </c>
      <c r="D2704">
        <f>E2704*(SQRT($C$2/C2704))</f>
        <v>201.70559422026446</v>
      </c>
      <c r="E2704">
        <v>160</v>
      </c>
      <c r="F2704">
        <v>1150</v>
      </c>
      <c r="G2704">
        <v>2500</v>
      </c>
      <c r="H2704">
        <f>CONVERT(G2704,"HP","kW")</f>
        <v>1864.2496789556756</v>
      </c>
      <c r="I2704">
        <v>0.83740000000000003</v>
      </c>
      <c r="J2704">
        <v>1.3663000000000001</v>
      </c>
      <c r="K2704">
        <v>0.60860000000000003</v>
      </c>
      <c r="L2704">
        <v>0.35160000000000002</v>
      </c>
      <c r="M2704">
        <v>0.2155</v>
      </c>
      <c r="N2704">
        <f>CONVERT(O2704,"lbf","N")</f>
        <v>15044.330324972536</v>
      </c>
      <c r="O2704">
        <v>3382.1</v>
      </c>
      <c r="P2704">
        <f t="shared" si="42"/>
        <v>0.61291240045506257</v>
      </c>
    </row>
    <row r="2705" spans="1:16" hidden="1" x14ac:dyDescent="0.25">
      <c r="A2705">
        <v>0</v>
      </c>
      <c r="B2705">
        <v>15000</v>
      </c>
      <c r="C2705">
        <f>1.225 * (1 - 0.00000687559 * B2705) ^ 4.2561</f>
        <v>0.77079726910167001</v>
      </c>
      <c r="D2705">
        <f>E2705*(SQRT($C$2/C2705))</f>
        <v>226.91879349779754</v>
      </c>
      <c r="E2705">
        <v>180</v>
      </c>
      <c r="F2705">
        <v>1150</v>
      </c>
      <c r="G2705">
        <v>2500</v>
      </c>
      <c r="H2705">
        <f>CONVERT(G2705,"HP","kW")</f>
        <v>1864.2496789556756</v>
      </c>
      <c r="I2705">
        <v>0.8589</v>
      </c>
      <c r="J2705">
        <v>1.5370999999999999</v>
      </c>
      <c r="K2705">
        <v>0.63119999999999998</v>
      </c>
      <c r="L2705">
        <v>0.35160000000000002</v>
      </c>
      <c r="M2705">
        <v>0.19650000000000001</v>
      </c>
      <c r="N2705">
        <f>CONVERT(O2705,"lbf","N")</f>
        <v>13716.536172817277</v>
      </c>
      <c r="O2705">
        <v>3083.6</v>
      </c>
      <c r="P2705">
        <f t="shared" si="42"/>
        <v>0.5588737201365187</v>
      </c>
    </row>
    <row r="2706" spans="1:16" hidden="1" x14ac:dyDescent="0.25">
      <c r="A2706" s="4">
        <v>0</v>
      </c>
      <c r="B2706" s="4">
        <v>15000</v>
      </c>
      <c r="C2706" s="4">
        <f>1.225 * (1 - 0.00000687559 * B2706) ^ 4.2561</f>
        <v>0.77079726910167001</v>
      </c>
      <c r="D2706" s="4">
        <f>E2706*(SQRT($C$2/C2706))</f>
        <v>252.13199277533059</v>
      </c>
      <c r="E2706" s="4">
        <v>200</v>
      </c>
      <c r="F2706" s="4">
        <v>1150</v>
      </c>
      <c r="G2706" s="4">
        <v>2500</v>
      </c>
      <c r="H2706" s="4">
        <f>CONVERT(G2706,"HP","kW")</f>
        <v>1864.2496789556756</v>
      </c>
      <c r="I2706" s="4">
        <v>0.874</v>
      </c>
      <c r="J2706" s="4">
        <v>1.7079</v>
      </c>
      <c r="K2706" s="4">
        <v>0.65529999999999999</v>
      </c>
      <c r="L2706" s="4">
        <v>0.35160000000000002</v>
      </c>
      <c r="M2706" s="4">
        <v>0.1799</v>
      </c>
      <c r="N2706">
        <f>CONVERT(O2706,"lbf","N")</f>
        <v>12561.777841495652</v>
      </c>
      <c r="O2706" s="4">
        <v>2824</v>
      </c>
      <c r="P2706">
        <f t="shared" si="42"/>
        <v>0.51166097838452784</v>
      </c>
    </row>
    <row r="2707" spans="1:16" hidden="1" x14ac:dyDescent="0.25">
      <c r="A2707">
        <v>0</v>
      </c>
      <c r="B2707">
        <v>15000</v>
      </c>
      <c r="C2707">
        <f>1.225 * (1 - 0.00000687559 * B2707) ^ 4.2561</f>
        <v>0.77079726910167001</v>
      </c>
      <c r="D2707">
        <f>E2707*(SQRT($C$2/C2707))</f>
        <v>277.34519205286364</v>
      </c>
      <c r="E2707">
        <v>220</v>
      </c>
      <c r="F2707">
        <v>1150</v>
      </c>
      <c r="G2707">
        <v>2500</v>
      </c>
      <c r="H2707">
        <f>CONVERT(G2707,"HP","kW")</f>
        <v>1864.2496789556756</v>
      </c>
      <c r="I2707">
        <v>0.88400000000000001</v>
      </c>
      <c r="J2707">
        <v>1.8787</v>
      </c>
      <c r="K2707">
        <v>0.68100000000000005</v>
      </c>
      <c r="L2707">
        <v>0.35160000000000002</v>
      </c>
      <c r="M2707">
        <v>0.16539999999999999</v>
      </c>
      <c r="N2707">
        <f>CONVERT(O2707,"lbf","N")</f>
        <v>11551.141890508468</v>
      </c>
      <c r="O2707">
        <v>2596.8000000000002</v>
      </c>
      <c r="P2707">
        <f t="shared" si="42"/>
        <v>0.47042093287827069</v>
      </c>
    </row>
    <row r="2708" spans="1:16" hidden="1" x14ac:dyDescent="0.25">
      <c r="A2708">
        <v>0</v>
      </c>
      <c r="B2708">
        <v>15000</v>
      </c>
      <c r="C2708">
        <f>1.225 * (1 - 0.00000687559 * B2708) ^ 4.2561</f>
        <v>0.77079726910167001</v>
      </c>
      <c r="D2708">
        <f>E2708*(SQRT($C$2/C2708))</f>
        <v>302.55839133039672</v>
      </c>
      <c r="E2708">
        <v>240</v>
      </c>
      <c r="F2708">
        <v>1150</v>
      </c>
      <c r="G2708">
        <v>2500</v>
      </c>
      <c r="H2708">
        <f>CONVERT(G2708,"HP","kW")</f>
        <v>1864.2496789556756</v>
      </c>
      <c r="I2708">
        <v>0.88990000000000002</v>
      </c>
      <c r="J2708">
        <v>2.0493999999999999</v>
      </c>
      <c r="K2708">
        <v>0.70789999999999997</v>
      </c>
      <c r="L2708">
        <v>0.35160000000000002</v>
      </c>
      <c r="M2708">
        <v>0.1527</v>
      </c>
      <c r="N2708">
        <f>CONVERT(O2708,"lbf","N")</f>
        <v>10659.273456648738</v>
      </c>
      <c r="O2708">
        <v>2396.3000000000002</v>
      </c>
      <c r="P2708">
        <f t="shared" si="42"/>
        <v>0.43430034129692829</v>
      </c>
    </row>
    <row r="2709" spans="1:16" hidden="1" x14ac:dyDescent="0.25">
      <c r="A2709">
        <v>0</v>
      </c>
      <c r="B2709">
        <v>15000</v>
      </c>
      <c r="C2709">
        <f>1.225 * (1 - 0.00000687559 * B2709) ^ 4.2561</f>
        <v>0.77079726910167001</v>
      </c>
      <c r="D2709">
        <f>E2709*(SQRT($C$2/C2709))</f>
        <v>327.77159060792974</v>
      </c>
      <c r="E2709">
        <v>260</v>
      </c>
      <c r="F2709">
        <v>1150</v>
      </c>
      <c r="G2709">
        <v>2500</v>
      </c>
      <c r="H2709">
        <f>CONVERT(G2709,"HP","kW")</f>
        <v>1864.2496789556756</v>
      </c>
      <c r="I2709">
        <v>0.8831</v>
      </c>
      <c r="J2709">
        <v>2.2202000000000002</v>
      </c>
      <c r="K2709">
        <v>0.73609999999999998</v>
      </c>
      <c r="L2709">
        <v>0.35160000000000002</v>
      </c>
      <c r="M2709">
        <v>0.1399</v>
      </c>
      <c r="N2709">
        <f>CONVERT(O2709,"lbf","N")</f>
        <v>9763.4016233352722</v>
      </c>
      <c r="O2709">
        <v>2194.9</v>
      </c>
      <c r="P2709">
        <f t="shared" si="42"/>
        <v>0.39789533560864615</v>
      </c>
    </row>
    <row r="2710" spans="1:16" hidden="1" x14ac:dyDescent="0.25">
      <c r="A2710">
        <v>0</v>
      </c>
      <c r="B2710">
        <v>15000</v>
      </c>
      <c r="C2710">
        <f>1.225 * (1 - 0.00000687559 * B2710) ^ 4.2561</f>
        <v>0.77079726910167001</v>
      </c>
      <c r="D2710">
        <f>E2710*(SQRT($C$2/C2710))</f>
        <v>100.85279711013223</v>
      </c>
      <c r="E2710">
        <v>80</v>
      </c>
      <c r="F2710">
        <v>1150</v>
      </c>
      <c r="G2710">
        <v>2500</v>
      </c>
      <c r="H2710">
        <f>CONVERT(G2710,"HP","kW")</f>
        <v>1864.2496789556756</v>
      </c>
      <c r="I2710">
        <v>0.58679999999999999</v>
      </c>
      <c r="J2710">
        <v>0.68310000000000004</v>
      </c>
      <c r="K2710">
        <v>0.53720000000000001</v>
      </c>
      <c r="L2710">
        <v>0.35170000000000001</v>
      </c>
      <c r="M2710">
        <v>0.30199999999999999</v>
      </c>
      <c r="N2710">
        <f>CONVERT(O2710,"lbf","N")</f>
        <v>21084.125634173244</v>
      </c>
      <c r="O2710">
        <v>4739.8999999999996</v>
      </c>
      <c r="P2710">
        <f t="shared" si="42"/>
        <v>0.85868638043787315</v>
      </c>
    </row>
    <row r="2711" spans="1:16" hidden="1" x14ac:dyDescent="0.25">
      <c r="A2711">
        <v>0</v>
      </c>
      <c r="B2711">
        <v>20000</v>
      </c>
      <c r="C2711">
        <f>1.225 * (1 - 0.00000687559 * B2711) ^ 4.2561</f>
        <v>0.65267221054298263</v>
      </c>
      <c r="D2711">
        <f>E2711*(SQRT($C$2/C2711))</f>
        <v>356.19993138163375</v>
      </c>
      <c r="E2711">
        <v>260</v>
      </c>
      <c r="F2711">
        <v>1215</v>
      </c>
      <c r="G2711">
        <v>2500</v>
      </c>
      <c r="H2711">
        <f>CONVERT(G2711,"HP","kW")</f>
        <v>1864.2496789556756</v>
      </c>
      <c r="I2711">
        <v>0.82069999999999999</v>
      </c>
      <c r="J2711">
        <v>2.2837000000000001</v>
      </c>
      <c r="K2711">
        <v>0.80459999999999998</v>
      </c>
      <c r="L2711">
        <v>0.3518</v>
      </c>
      <c r="M2711">
        <v>0.12640000000000001</v>
      </c>
      <c r="N2711">
        <f>CONVERT(O2711,"lbf","N")</f>
        <v>8349.3119718439593</v>
      </c>
      <c r="O2711">
        <v>1877</v>
      </c>
      <c r="P2711">
        <f t="shared" si="42"/>
        <v>0.35929505400795908</v>
      </c>
    </row>
    <row r="2712" spans="1:16" hidden="1" x14ac:dyDescent="0.25">
      <c r="A2712">
        <v>0</v>
      </c>
      <c r="B2712">
        <v>20000</v>
      </c>
      <c r="C2712">
        <f>1.225 * (1 - 0.00000687559 * B2712) ^ 4.2561</f>
        <v>0.65267221054298263</v>
      </c>
      <c r="D2712">
        <f>E2712*(SQRT($C$2/C2712))</f>
        <v>27.399994721664136</v>
      </c>
      <c r="E2712">
        <v>20</v>
      </c>
      <c r="F2712">
        <v>1215</v>
      </c>
      <c r="G2712">
        <v>2500</v>
      </c>
      <c r="H2712">
        <f>CONVERT(G2712,"HP","kW")</f>
        <v>1864.2496789556756</v>
      </c>
      <c r="I2712">
        <v>0.123</v>
      </c>
      <c r="J2712">
        <v>0.1757</v>
      </c>
      <c r="K2712">
        <v>0.54900000000000004</v>
      </c>
      <c r="L2712">
        <v>0.35189999999999999</v>
      </c>
      <c r="M2712">
        <v>0.24629999999999999</v>
      </c>
      <c r="N2712">
        <f>CONVERT(O2712,"lbf","N")</f>
        <v>16266.256802684598</v>
      </c>
      <c r="O2712">
        <v>3656.8</v>
      </c>
      <c r="P2712">
        <f t="shared" si="42"/>
        <v>0.69991474850809887</v>
      </c>
    </row>
    <row r="2713" spans="1:16" hidden="1" x14ac:dyDescent="0.25">
      <c r="A2713">
        <v>0</v>
      </c>
      <c r="B2713">
        <v>20000</v>
      </c>
      <c r="C2713">
        <f>1.225 * (1 - 0.00000687559 * B2713) ^ 4.2561</f>
        <v>0.65267221054298263</v>
      </c>
      <c r="D2713">
        <f>E2713*(SQRT($C$2/C2713))</f>
        <v>301.39994193830552</v>
      </c>
      <c r="E2713">
        <v>220</v>
      </c>
      <c r="F2713">
        <v>1215</v>
      </c>
      <c r="G2713">
        <v>2500</v>
      </c>
      <c r="H2713">
        <f>CONVERT(G2713,"HP","kW")</f>
        <v>1864.2496789556756</v>
      </c>
      <c r="I2713">
        <v>0.87290000000000001</v>
      </c>
      <c r="J2713">
        <v>1.9323999999999999</v>
      </c>
      <c r="K2713">
        <v>0.74260000000000004</v>
      </c>
      <c r="L2713">
        <v>0.35189999999999999</v>
      </c>
      <c r="M2713">
        <v>0.159</v>
      </c>
      <c r="N2713">
        <f>CONVERT(O2713,"lbf","N")</f>
        <v>10496.023723368675</v>
      </c>
      <c r="O2713">
        <v>2359.6</v>
      </c>
      <c r="P2713">
        <f t="shared" si="42"/>
        <v>0.45183290707587387</v>
      </c>
    </row>
    <row r="2714" spans="1:16" hidden="1" x14ac:dyDescent="0.25">
      <c r="A2714">
        <v>0</v>
      </c>
      <c r="B2714">
        <v>15000</v>
      </c>
      <c r="C2714">
        <f>1.225 * (1 - 0.00000687559 * B2714) ^ 4.2561</f>
        <v>0.77079726910167001</v>
      </c>
      <c r="D2714">
        <f>E2714*(SQRT($C$2/C2714))</f>
        <v>50.426398555066115</v>
      </c>
      <c r="E2714">
        <v>40</v>
      </c>
      <c r="F2714">
        <v>1150</v>
      </c>
      <c r="G2714">
        <v>2500</v>
      </c>
      <c r="H2714">
        <f>CONVERT(G2714,"HP","kW")</f>
        <v>1864.2496789556756</v>
      </c>
      <c r="I2714">
        <v>0.25459999999999999</v>
      </c>
      <c r="J2714">
        <v>0.34160000000000001</v>
      </c>
      <c r="K2714">
        <v>0.51649999999999996</v>
      </c>
      <c r="L2714">
        <v>0.35199999999999998</v>
      </c>
      <c r="M2714">
        <v>0.26240000000000002</v>
      </c>
      <c r="N2714">
        <f>CONVERT(O2714,"lbf","N")</f>
        <v>18293.756214920333</v>
      </c>
      <c r="O2714">
        <v>4112.6000000000004</v>
      </c>
      <c r="P2714">
        <f t="shared" si="42"/>
        <v>0.74545454545454559</v>
      </c>
    </row>
    <row r="2715" spans="1:16" hidden="1" x14ac:dyDescent="0.25">
      <c r="A2715">
        <v>0</v>
      </c>
      <c r="B2715">
        <v>20000</v>
      </c>
      <c r="C2715">
        <f>1.225 * (1 - 0.00000687559 * B2715) ^ 4.2561</f>
        <v>0.65267221054298263</v>
      </c>
      <c r="D2715">
        <f>E2715*(SQRT($C$2/C2715))</f>
        <v>0</v>
      </c>
      <c r="E2715">
        <v>0</v>
      </c>
      <c r="F2715">
        <v>1215</v>
      </c>
      <c r="G2715">
        <v>2500</v>
      </c>
      <c r="H2715">
        <f>CONVERT(G2715,"HP","kW")</f>
        <v>1864.2496789556756</v>
      </c>
      <c r="I2715">
        <v>0</v>
      </c>
      <c r="J2715">
        <v>0</v>
      </c>
      <c r="K2715">
        <v>0.54349999999999998</v>
      </c>
      <c r="L2715">
        <v>0.35210000000000002</v>
      </c>
      <c r="M2715">
        <v>0.2339</v>
      </c>
      <c r="N2715">
        <f>CONVERT(O2715,"lbf","N")</f>
        <v>15432.215249823254</v>
      </c>
      <c r="O2715">
        <v>3469.3</v>
      </c>
      <c r="P2715">
        <f t="shared" si="42"/>
        <v>0.66429991479693262</v>
      </c>
    </row>
    <row r="2716" spans="1:16" hidden="1" x14ac:dyDescent="0.25">
      <c r="A2716">
        <v>0</v>
      </c>
      <c r="B2716">
        <v>20000</v>
      </c>
      <c r="C2716">
        <f>1.225 * (1 - 0.00000687559 * B2716) ^ 4.2561</f>
        <v>0.65267221054298263</v>
      </c>
      <c r="D2716">
        <f>E2716*(SQRT($C$2/C2716))</f>
        <v>82.199984164992401</v>
      </c>
      <c r="E2716">
        <v>60</v>
      </c>
      <c r="F2716">
        <v>1215</v>
      </c>
      <c r="G2716">
        <v>2500</v>
      </c>
      <c r="H2716">
        <f>CONVERT(G2716,"HP","kW")</f>
        <v>1864.2496789556756</v>
      </c>
      <c r="I2716">
        <v>0.42159999999999997</v>
      </c>
      <c r="J2716">
        <v>0.52700000000000002</v>
      </c>
      <c r="K2716">
        <v>0.56720000000000004</v>
      </c>
      <c r="L2716">
        <v>0.35210000000000002</v>
      </c>
      <c r="M2716">
        <v>0.28170000000000001</v>
      </c>
      <c r="N2716">
        <f>CONVERT(O2716,"lbf","N")</f>
        <v>18588.228485850581</v>
      </c>
      <c r="O2716">
        <v>4178.8</v>
      </c>
      <c r="P2716">
        <f t="shared" si="42"/>
        <v>0.80005680204487362</v>
      </c>
    </row>
    <row r="2717" spans="1:16" hidden="1" x14ac:dyDescent="0.25">
      <c r="A2717">
        <v>0</v>
      </c>
      <c r="B2717">
        <v>20000</v>
      </c>
      <c r="C2717">
        <f>1.225 * (1 - 0.00000687559 * B2717) ^ 4.2561</f>
        <v>0.65267221054298263</v>
      </c>
      <c r="D2717">
        <f>E2717*(SQRT($C$2/C2717))</f>
        <v>109.59997888665654</v>
      </c>
      <c r="E2717">
        <v>80</v>
      </c>
      <c r="F2717">
        <v>1215</v>
      </c>
      <c r="G2717">
        <v>2500</v>
      </c>
      <c r="H2717">
        <f>CONVERT(G2717,"HP","kW")</f>
        <v>1864.2496789556756</v>
      </c>
      <c r="I2717">
        <v>0.5968</v>
      </c>
      <c r="J2717">
        <v>0.70269999999999999</v>
      </c>
      <c r="K2717">
        <v>0.58040000000000003</v>
      </c>
      <c r="L2717">
        <v>0.35210000000000002</v>
      </c>
      <c r="M2717">
        <v>0.29909999999999998</v>
      </c>
      <c r="N2717">
        <f>CONVERT(O2717,"lbf","N")</f>
        <v>19734.090373941683</v>
      </c>
      <c r="O2717">
        <v>4436.3999999999996</v>
      </c>
      <c r="P2717">
        <f t="shared" si="42"/>
        <v>0.84947458108491891</v>
      </c>
    </row>
    <row r="2718" spans="1:16" hidden="1" x14ac:dyDescent="0.25">
      <c r="A2718">
        <v>0</v>
      </c>
      <c r="B2718">
        <v>20000</v>
      </c>
      <c r="C2718">
        <f>1.225 * (1 - 0.00000687559 * B2718) ^ 4.2561</f>
        <v>0.65267221054298263</v>
      </c>
      <c r="D2718">
        <f>E2718*(SQRT($C$2/C2718))</f>
        <v>136.99997360832069</v>
      </c>
      <c r="E2718">
        <v>100</v>
      </c>
      <c r="F2718">
        <v>1215</v>
      </c>
      <c r="G2718">
        <v>2500</v>
      </c>
      <c r="H2718">
        <f>CONVERT(G2718,"HP","kW")</f>
        <v>1864.2496789556756</v>
      </c>
      <c r="I2718">
        <v>0.70399999999999996</v>
      </c>
      <c r="J2718">
        <v>0.87829999999999997</v>
      </c>
      <c r="K2718">
        <v>0.59709999999999996</v>
      </c>
      <c r="L2718">
        <v>0.35210000000000002</v>
      </c>
      <c r="M2718">
        <v>0.28220000000000001</v>
      </c>
      <c r="N2718">
        <f>CONVERT(O2718,"lbf","N")</f>
        <v>18622.479792288083</v>
      </c>
      <c r="O2718">
        <v>4186.5</v>
      </c>
      <c r="P2718">
        <f t="shared" si="42"/>
        <v>0.80147685316671402</v>
      </c>
    </row>
    <row r="2719" spans="1:16" hidden="1" x14ac:dyDescent="0.25">
      <c r="A2719">
        <v>0</v>
      </c>
      <c r="B2719">
        <v>20000</v>
      </c>
      <c r="C2719">
        <f>1.225 * (1 - 0.00000687559 * B2719) ^ 4.2561</f>
        <v>0.65267221054298263</v>
      </c>
      <c r="D2719">
        <f>E2719*(SQRT($C$2/C2719))</f>
        <v>164.3999683299848</v>
      </c>
      <c r="E2719">
        <v>120</v>
      </c>
      <c r="F2719">
        <v>1215</v>
      </c>
      <c r="G2719">
        <v>2500</v>
      </c>
      <c r="H2719">
        <f>CONVERT(G2719,"HP","kW")</f>
        <v>1864.2496789556756</v>
      </c>
      <c r="I2719">
        <v>0.77110000000000001</v>
      </c>
      <c r="J2719">
        <v>1.054</v>
      </c>
      <c r="K2719">
        <v>0.61629999999999996</v>
      </c>
      <c r="L2719">
        <v>0.35210000000000002</v>
      </c>
      <c r="M2719">
        <v>0.2576</v>
      </c>
      <c r="N2719">
        <f>CONVERT(O2719,"lbf","N")</f>
        <v>16996.654791910372</v>
      </c>
      <c r="O2719">
        <v>3821</v>
      </c>
      <c r="P2719">
        <f t="shared" si="42"/>
        <v>0.7316103379721669</v>
      </c>
    </row>
    <row r="2720" spans="1:16" hidden="1" x14ac:dyDescent="0.25">
      <c r="A2720">
        <v>0</v>
      </c>
      <c r="B2720">
        <v>20000</v>
      </c>
      <c r="C2720">
        <f>1.225 * (1 - 0.00000687559 * B2720) ^ 4.2561</f>
        <v>0.65267221054298263</v>
      </c>
      <c r="D2720">
        <f>E2720*(SQRT($C$2/C2720))</f>
        <v>219.19995777331309</v>
      </c>
      <c r="E2720">
        <v>160</v>
      </c>
      <c r="F2720">
        <v>1215</v>
      </c>
      <c r="G2720">
        <v>2500</v>
      </c>
      <c r="H2720">
        <f>CONVERT(G2720,"HP","kW")</f>
        <v>1864.2496789556756</v>
      </c>
      <c r="I2720">
        <v>0.8417</v>
      </c>
      <c r="J2720">
        <v>1.4054</v>
      </c>
      <c r="K2720">
        <v>0.66110000000000002</v>
      </c>
      <c r="L2720">
        <v>0.35210000000000002</v>
      </c>
      <c r="M2720">
        <v>0.2109</v>
      </c>
      <c r="N2720">
        <f>CONVERT(O2720,"lbf","N")</f>
        <v>13915.371679019423</v>
      </c>
      <c r="O2720">
        <v>3128.3</v>
      </c>
      <c r="P2720">
        <f t="shared" si="42"/>
        <v>0.59897756319227491</v>
      </c>
    </row>
    <row r="2721" spans="1:16" hidden="1" x14ac:dyDescent="0.25">
      <c r="A2721">
        <v>0</v>
      </c>
      <c r="B2721">
        <v>20000</v>
      </c>
      <c r="C2721">
        <f>1.225 * (1 - 0.00000687559 * B2721) ^ 4.2561</f>
        <v>0.65267221054298263</v>
      </c>
      <c r="D2721">
        <f>E2721*(SQRT($C$2/C2721))</f>
        <v>246.59995249497723</v>
      </c>
      <c r="E2721">
        <v>180</v>
      </c>
      <c r="F2721">
        <v>1215</v>
      </c>
      <c r="G2721">
        <v>2500</v>
      </c>
      <c r="H2721">
        <f>CONVERT(G2721,"HP","kW")</f>
        <v>1864.2496789556756</v>
      </c>
      <c r="I2721">
        <v>0.86229999999999996</v>
      </c>
      <c r="J2721">
        <v>1.581</v>
      </c>
      <c r="K2721">
        <v>0.68659999999999999</v>
      </c>
      <c r="L2721">
        <v>0.35210000000000002</v>
      </c>
      <c r="M2721">
        <v>0.192</v>
      </c>
      <c r="N2721">
        <f>CONVERT(O2721,"lbf","N")</f>
        <v>12672.093737554114</v>
      </c>
      <c r="O2721">
        <v>2848.8</v>
      </c>
      <c r="P2721">
        <f t="shared" si="42"/>
        <v>0.54529963078670829</v>
      </c>
    </row>
    <row r="2722" spans="1:16" hidden="1" x14ac:dyDescent="0.25">
      <c r="A2722">
        <v>0</v>
      </c>
      <c r="B2722">
        <v>20000</v>
      </c>
      <c r="C2722">
        <f>1.225 * (1 - 0.00000687559 * B2722) ^ 4.2561</f>
        <v>0.65267221054298263</v>
      </c>
      <c r="D2722">
        <f>E2722*(SQRT($C$2/C2722))</f>
        <v>273.99994721664137</v>
      </c>
      <c r="E2722">
        <v>200</v>
      </c>
      <c r="F2722">
        <v>1215</v>
      </c>
      <c r="G2722">
        <v>2500</v>
      </c>
      <c r="H2722">
        <f>CONVERT(G2722,"HP","kW")</f>
        <v>1864.2496789556756</v>
      </c>
      <c r="I2722">
        <v>0.875</v>
      </c>
      <c r="J2722">
        <v>1.7566999999999999</v>
      </c>
      <c r="K2722">
        <v>0.71379999999999999</v>
      </c>
      <c r="L2722">
        <v>0.35210000000000002</v>
      </c>
      <c r="M2722">
        <v>0.1754</v>
      </c>
      <c r="N2722">
        <f>CONVERT(O2722,"lbf","N")</f>
        <v>11573.382998584771</v>
      </c>
      <c r="O2722">
        <v>2601.8000000000002</v>
      </c>
      <c r="P2722">
        <f t="shared" si="42"/>
        <v>0.49815393354160747</v>
      </c>
    </row>
    <row r="2723" spans="1:16" hidden="1" x14ac:dyDescent="0.25">
      <c r="A2723">
        <v>0</v>
      </c>
      <c r="B2723">
        <v>20000</v>
      </c>
      <c r="C2723">
        <f>1.225 * (1 - 0.00000687559 * B2723) ^ 4.2561</f>
        <v>0.65267221054298263</v>
      </c>
      <c r="D2723">
        <f>E2723*(SQRT($C$2/C2723))</f>
        <v>328.7999366599696</v>
      </c>
      <c r="E2723">
        <v>240</v>
      </c>
      <c r="F2723">
        <v>1215</v>
      </c>
      <c r="G2723">
        <v>2500</v>
      </c>
      <c r="H2723">
        <f>CONVERT(G2723,"HP","kW")</f>
        <v>1864.2496789556756</v>
      </c>
      <c r="I2723">
        <v>0.85960000000000003</v>
      </c>
      <c r="J2723">
        <v>2.1080000000000001</v>
      </c>
      <c r="K2723">
        <v>0.77290000000000003</v>
      </c>
      <c r="L2723">
        <v>0.35210000000000002</v>
      </c>
      <c r="M2723">
        <v>0.14360000000000001</v>
      </c>
      <c r="N2723">
        <f>CONVERT(O2723,"lbf","N")</f>
        <v>9474.2672183433406</v>
      </c>
      <c r="O2723">
        <v>2129.9</v>
      </c>
      <c r="P2723">
        <f t="shared" si="42"/>
        <v>0.40783868219255892</v>
      </c>
    </row>
    <row r="2724" spans="1:16" hidden="1" x14ac:dyDescent="0.25">
      <c r="A2724">
        <v>0</v>
      </c>
      <c r="B2724">
        <v>20000</v>
      </c>
      <c r="C2724">
        <f>1.225 * (1 - 0.00000687559 * B2724) ^ 4.2561</f>
        <v>0.65267221054298263</v>
      </c>
      <c r="D2724">
        <f>E2724*(SQRT($C$2/C2724))</f>
        <v>191.79996305164894</v>
      </c>
      <c r="E2724">
        <v>140</v>
      </c>
      <c r="F2724">
        <v>1215</v>
      </c>
      <c r="G2724">
        <v>2500</v>
      </c>
      <c r="H2724">
        <f>CONVERT(G2724,"HP","kW")</f>
        <v>1864.2496789556756</v>
      </c>
      <c r="I2724">
        <v>0.81259999999999999</v>
      </c>
      <c r="J2724">
        <v>1.2297</v>
      </c>
      <c r="K2724">
        <v>0.63759999999999994</v>
      </c>
      <c r="L2724">
        <v>0.35220000000000001</v>
      </c>
      <c r="M2724">
        <v>0.23269999999999999</v>
      </c>
      <c r="N2724">
        <f>CONVERT(O2724,"lbf","N")</f>
        <v>15353.926549394668</v>
      </c>
      <c r="O2724">
        <v>3451.7</v>
      </c>
      <c r="P2724">
        <f t="shared" si="42"/>
        <v>0.66070414537194766</v>
      </c>
    </row>
    <row r="2725" spans="1:16" hidden="1" x14ac:dyDescent="0.25">
      <c r="A2725">
        <v>0</v>
      </c>
      <c r="B2725">
        <v>20000</v>
      </c>
      <c r="C2725">
        <f>1.225 * (1 - 0.00000687559 * B2725) ^ 4.2561</f>
        <v>0.65267221054298263</v>
      </c>
      <c r="D2725">
        <f>E2725*(SQRT($C$2/C2725))</f>
        <v>54.799989443328272</v>
      </c>
      <c r="E2725">
        <v>40</v>
      </c>
      <c r="F2725">
        <v>1215</v>
      </c>
      <c r="G2725">
        <v>2500</v>
      </c>
      <c r="H2725">
        <f>CONVERT(G2725,"HP","kW")</f>
        <v>1864.2496789556756</v>
      </c>
      <c r="I2725">
        <v>0.26129999999999998</v>
      </c>
      <c r="J2725">
        <v>0.3513</v>
      </c>
      <c r="K2725">
        <v>0.55679999999999996</v>
      </c>
      <c r="L2725">
        <v>0.35239999999999999</v>
      </c>
      <c r="M2725">
        <v>0.2621</v>
      </c>
      <c r="N2725">
        <f>CONVERT(O2725,"lbf","N")</f>
        <v>17282.675441771622</v>
      </c>
      <c r="O2725">
        <v>3885.3</v>
      </c>
      <c r="P2725">
        <f t="shared" si="42"/>
        <v>0.74375709421112379</v>
      </c>
    </row>
    <row r="2726" spans="1:16" hidden="1" x14ac:dyDescent="0.25">
      <c r="A2726">
        <v>0</v>
      </c>
      <c r="B2726">
        <v>30000</v>
      </c>
      <c r="C2726">
        <f>1.225 * (1 - 0.00000687559 * B2726) ^ 4.2561</f>
        <v>0.45828836225470948</v>
      </c>
      <c r="D2726">
        <f>E2726*(SQRT($C$2/C2726))</f>
        <v>163.49279932253233</v>
      </c>
      <c r="E2726">
        <v>100</v>
      </c>
      <c r="F2726">
        <v>1150</v>
      </c>
      <c r="G2726">
        <v>1500</v>
      </c>
      <c r="H2726">
        <f>CONVERT(G2726,"HP","kW")</f>
        <v>1118.5498073734054</v>
      </c>
      <c r="I2726">
        <v>0.78490000000000004</v>
      </c>
      <c r="J2726">
        <v>1.1073999999999999</v>
      </c>
      <c r="K2726">
        <v>0.61419999999999997</v>
      </c>
      <c r="L2726">
        <v>0.35460000000000003</v>
      </c>
      <c r="M2726">
        <v>0.25130000000000002</v>
      </c>
      <c r="N2726">
        <f>CONVERT(O2726,"lbf","N")</f>
        <v>10439.086486693343</v>
      </c>
      <c r="O2726">
        <v>2346.8000000000002</v>
      </c>
      <c r="P2726">
        <f t="shared" si="42"/>
        <v>0.70868584320360972</v>
      </c>
    </row>
    <row r="2727" spans="1:16" hidden="1" x14ac:dyDescent="0.25">
      <c r="A2727">
        <v>0</v>
      </c>
      <c r="B2727">
        <v>30000</v>
      </c>
      <c r="C2727">
        <f>1.225 * (1 - 0.00000687559 * B2727) ^ 4.2561</f>
        <v>0.45828836225470948</v>
      </c>
      <c r="D2727">
        <f>E2727*(SQRT($C$2/C2727))</f>
        <v>294.28703878055819</v>
      </c>
      <c r="E2727">
        <v>180</v>
      </c>
      <c r="F2727">
        <v>1150</v>
      </c>
      <c r="G2727">
        <v>1500</v>
      </c>
      <c r="H2727">
        <f>CONVERT(G2727,"HP","kW")</f>
        <v>1118.5498073734054</v>
      </c>
      <c r="I2727">
        <v>0.87519999999999998</v>
      </c>
      <c r="J2727">
        <v>1.9934000000000001</v>
      </c>
      <c r="K2727">
        <v>0.74299999999999999</v>
      </c>
      <c r="L2727">
        <v>0.35460000000000003</v>
      </c>
      <c r="M2727">
        <v>0.15570000000000001</v>
      </c>
      <c r="N2727">
        <f>CONVERT(O2727,"lbf","N")</f>
        <v>6466.3797621041895</v>
      </c>
      <c r="O2727">
        <v>1453.7</v>
      </c>
      <c r="P2727">
        <f t="shared" si="42"/>
        <v>0.43908629441624364</v>
      </c>
    </row>
    <row r="2728" spans="1:16" hidden="1" x14ac:dyDescent="0.25">
      <c r="A2728">
        <v>0</v>
      </c>
      <c r="B2728">
        <v>30000</v>
      </c>
      <c r="C2728">
        <f>1.225 * (1 - 0.00000687559 * B2728) ^ 4.2561</f>
        <v>0.45828836225470948</v>
      </c>
      <c r="D2728">
        <f>E2728*(SQRT($C$2/C2728))</f>
        <v>0</v>
      </c>
      <c r="E2728">
        <v>0</v>
      </c>
      <c r="F2728">
        <v>1150</v>
      </c>
      <c r="G2728">
        <v>1500</v>
      </c>
      <c r="H2728">
        <f>CONVERT(G2728,"HP","kW")</f>
        <v>1118.5498073734054</v>
      </c>
      <c r="I2728">
        <v>0</v>
      </c>
      <c r="J2728">
        <v>0</v>
      </c>
      <c r="K2728">
        <v>0.53639999999999999</v>
      </c>
      <c r="L2728">
        <v>0.3548</v>
      </c>
      <c r="M2728">
        <v>0.2321</v>
      </c>
      <c r="N2728">
        <f>CONVERT(O2728,"lbf","N")</f>
        <v>9636.1824851388228</v>
      </c>
      <c r="O2728">
        <v>2166.3000000000002</v>
      </c>
      <c r="P2728">
        <f t="shared" si="42"/>
        <v>0.65417136414881627</v>
      </c>
    </row>
    <row r="2729" spans="1:16" hidden="1" x14ac:dyDescent="0.25">
      <c r="A2729">
        <v>0</v>
      </c>
      <c r="B2729">
        <v>30000</v>
      </c>
      <c r="C2729">
        <f>1.225 * (1 - 0.00000687559 * B2729) ^ 4.2561</f>
        <v>0.45828836225470948</v>
      </c>
      <c r="D2729">
        <f>E2729*(SQRT($C$2/C2729))</f>
        <v>32.698559864506464</v>
      </c>
      <c r="E2729">
        <v>20</v>
      </c>
      <c r="F2729">
        <v>1150</v>
      </c>
      <c r="G2729">
        <v>1500</v>
      </c>
      <c r="H2729">
        <f>CONVERT(G2729,"HP","kW")</f>
        <v>1118.5498073734054</v>
      </c>
      <c r="I2729">
        <v>0.1555</v>
      </c>
      <c r="J2729">
        <v>0.2215</v>
      </c>
      <c r="K2729">
        <v>0.54349999999999998</v>
      </c>
      <c r="L2729">
        <v>0.3548</v>
      </c>
      <c r="M2729">
        <v>0.249</v>
      </c>
      <c r="N2729">
        <f>CONVERT(O2729,"lbf","N")</f>
        <v>10337.667033865402</v>
      </c>
      <c r="O2729">
        <v>2324</v>
      </c>
      <c r="P2729">
        <f t="shared" si="42"/>
        <v>0.70180383314543404</v>
      </c>
    </row>
    <row r="2730" spans="1:16" hidden="1" x14ac:dyDescent="0.25">
      <c r="A2730">
        <v>0</v>
      </c>
      <c r="B2730">
        <v>30000</v>
      </c>
      <c r="C2730">
        <f>1.225 * (1 - 0.00000687559 * B2730) ^ 4.2561</f>
        <v>0.45828836225470948</v>
      </c>
      <c r="D2730">
        <f>E2730*(SQRT($C$2/C2730))</f>
        <v>65.397119729012928</v>
      </c>
      <c r="E2730">
        <v>40</v>
      </c>
      <c r="F2730">
        <v>1150</v>
      </c>
      <c r="G2730">
        <v>1500</v>
      </c>
      <c r="H2730">
        <f>CONVERT(G2730,"HP","kW")</f>
        <v>1118.5498073734054</v>
      </c>
      <c r="I2730">
        <v>0.33910000000000001</v>
      </c>
      <c r="J2730">
        <v>0.443</v>
      </c>
      <c r="K2730">
        <v>0.5544</v>
      </c>
      <c r="L2730">
        <v>0.3548</v>
      </c>
      <c r="M2730">
        <v>0.27160000000000001</v>
      </c>
      <c r="N2730">
        <f>CONVERT(O2730,"lbf","N")</f>
        <v>11274.907328200788</v>
      </c>
      <c r="O2730">
        <v>2534.6999999999998</v>
      </c>
      <c r="P2730">
        <f t="shared" si="42"/>
        <v>0.76550169109357391</v>
      </c>
    </row>
    <row r="2731" spans="1:16" hidden="1" x14ac:dyDescent="0.25">
      <c r="A2731">
        <v>0</v>
      </c>
      <c r="B2731">
        <v>30000</v>
      </c>
      <c r="C2731">
        <f>1.225 * (1 - 0.00000687559 * B2731) ^ 4.2561</f>
        <v>0.45828836225470948</v>
      </c>
      <c r="D2731">
        <f>E2731*(SQRT($C$2/C2731))</f>
        <v>228.88991905154526</v>
      </c>
      <c r="E2731">
        <v>140</v>
      </c>
      <c r="F2731">
        <v>1150</v>
      </c>
      <c r="G2731">
        <v>1500</v>
      </c>
      <c r="H2731">
        <f>CONVERT(G2731,"HP","kW")</f>
        <v>1118.5498073734054</v>
      </c>
      <c r="I2731">
        <v>0.85870000000000002</v>
      </c>
      <c r="J2731">
        <v>1.5504</v>
      </c>
      <c r="K2731">
        <v>0.67290000000000005</v>
      </c>
      <c r="L2731">
        <v>0.3548</v>
      </c>
      <c r="M2731">
        <v>0.19650000000000001</v>
      </c>
      <c r="N2731">
        <f>CONVERT(O2731,"lbf","N")</f>
        <v>8157.5936202262319</v>
      </c>
      <c r="O2731">
        <v>1833.9</v>
      </c>
      <c r="P2731">
        <f t="shared" si="42"/>
        <v>0.55383314543404738</v>
      </c>
    </row>
    <row r="2732" spans="1:16" hidden="1" x14ac:dyDescent="0.25">
      <c r="A2732">
        <v>0</v>
      </c>
      <c r="B2732">
        <v>30000</v>
      </c>
      <c r="C2732">
        <f>1.225 * (1 - 0.00000687559 * B2732) ^ 4.2561</f>
        <v>0.45828836225470948</v>
      </c>
      <c r="D2732">
        <f>E2732*(SQRT($C$2/C2732))</f>
        <v>261.58847891605171</v>
      </c>
      <c r="E2732">
        <v>160</v>
      </c>
      <c r="F2732">
        <v>1150</v>
      </c>
      <c r="G2732">
        <v>1500</v>
      </c>
      <c r="H2732">
        <f>CONVERT(G2732,"HP","kW")</f>
        <v>1118.5498073734054</v>
      </c>
      <c r="I2732">
        <v>0.87690000000000001</v>
      </c>
      <c r="J2732">
        <v>1.7719</v>
      </c>
      <c r="K2732">
        <v>0.70669999999999999</v>
      </c>
      <c r="L2732">
        <v>0.3548</v>
      </c>
      <c r="M2732">
        <v>0.17560000000000001</v>
      </c>
      <c r="N2732">
        <f>CONVERT(O2732,"lbf","N")</f>
        <v>7288.4111166043294</v>
      </c>
      <c r="O2732">
        <v>1638.5</v>
      </c>
      <c r="P2732">
        <f t="shared" si="42"/>
        <v>0.49492671927846676</v>
      </c>
    </row>
    <row r="2733" spans="1:16" hidden="1" x14ac:dyDescent="0.25">
      <c r="A2733">
        <v>0</v>
      </c>
      <c r="B2733">
        <v>30000</v>
      </c>
      <c r="C2733">
        <f>1.225 * (1 - 0.00000687559 * B2733) ^ 4.2561</f>
        <v>0.45828836225470948</v>
      </c>
      <c r="D2733">
        <f>E2733*(SQRT($C$2/C2733))</f>
        <v>326.98559864506467</v>
      </c>
      <c r="E2733">
        <v>200</v>
      </c>
      <c r="F2733">
        <v>1150</v>
      </c>
      <c r="G2733">
        <v>1500</v>
      </c>
      <c r="H2733">
        <f>CONVERT(G2733,"HP","kW")</f>
        <v>1118.5498073734054</v>
      </c>
      <c r="I2733">
        <v>0.84989999999999999</v>
      </c>
      <c r="J2733">
        <v>2.2149000000000001</v>
      </c>
      <c r="K2733">
        <v>0.78149999999999997</v>
      </c>
      <c r="L2733">
        <v>0.3548</v>
      </c>
      <c r="M2733">
        <v>0.13619999999999999</v>
      </c>
      <c r="N2733">
        <f>CONVERT(O2733,"lbf","N")</f>
        <v>5651.9103843499906</v>
      </c>
      <c r="O2733">
        <v>1270.5999999999999</v>
      </c>
      <c r="P2733">
        <f t="shared" si="42"/>
        <v>0.38387824126268316</v>
      </c>
    </row>
    <row r="2734" spans="1:16" hidden="1" x14ac:dyDescent="0.25">
      <c r="A2734">
        <v>0</v>
      </c>
      <c r="B2734">
        <v>30000</v>
      </c>
      <c r="C2734">
        <f>1.225 * (1 - 0.00000687559 * B2734) ^ 4.2561</f>
        <v>0.45828836225470948</v>
      </c>
      <c r="D2734">
        <f>E2734*(SQRT($C$2/C2734))</f>
        <v>359.68415850957115</v>
      </c>
      <c r="E2734">
        <v>220</v>
      </c>
      <c r="F2734">
        <v>1150</v>
      </c>
      <c r="G2734">
        <v>1500</v>
      </c>
      <c r="H2734">
        <f>CONVERT(G2734,"HP","kW")</f>
        <v>1118.5498073734054</v>
      </c>
      <c r="I2734">
        <v>0.77890000000000004</v>
      </c>
      <c r="J2734">
        <v>2.4363999999999999</v>
      </c>
      <c r="K2734">
        <v>0.82189999999999996</v>
      </c>
      <c r="L2734">
        <v>0.3548</v>
      </c>
      <c r="M2734">
        <v>0.1134</v>
      </c>
      <c r="N2734">
        <f>CONVERT(O2734,"lbf","N")</f>
        <v>4708.4425797532394</v>
      </c>
      <c r="O2734">
        <v>1058.5</v>
      </c>
      <c r="P2734">
        <f t="shared" si="42"/>
        <v>0.31961668545659527</v>
      </c>
    </row>
    <row r="2735" spans="1:16" hidden="1" x14ac:dyDescent="0.25">
      <c r="A2735">
        <v>0</v>
      </c>
      <c r="B2735">
        <v>30000</v>
      </c>
      <c r="C2735">
        <f>1.225 * (1 - 0.00000687559 * B2735) ^ 4.2561</f>
        <v>0.45828836225470948</v>
      </c>
      <c r="D2735">
        <f>E2735*(SQRT($C$2/C2735))</f>
        <v>98.095679593519407</v>
      </c>
      <c r="E2735">
        <v>60</v>
      </c>
      <c r="F2735">
        <v>1150</v>
      </c>
      <c r="G2735">
        <v>1500</v>
      </c>
      <c r="H2735">
        <f>CONVERT(G2735,"HP","kW")</f>
        <v>1118.5498073734054</v>
      </c>
      <c r="I2735">
        <v>0.55779999999999996</v>
      </c>
      <c r="J2735">
        <v>0.66449999999999998</v>
      </c>
      <c r="K2735">
        <v>0.5696</v>
      </c>
      <c r="L2735">
        <v>0.35489999999999999</v>
      </c>
      <c r="M2735">
        <v>0.2979</v>
      </c>
      <c r="N2735">
        <f>CONVERT(O2735,"lbf","N")</f>
        <v>12364.721623939611</v>
      </c>
      <c r="O2735">
        <v>2779.7</v>
      </c>
      <c r="P2735">
        <f t="shared" si="42"/>
        <v>0.83939137785291629</v>
      </c>
    </row>
    <row r="2736" spans="1:16" hidden="1" x14ac:dyDescent="0.25">
      <c r="A2736">
        <v>0</v>
      </c>
      <c r="B2736">
        <v>30000</v>
      </c>
      <c r="C2736">
        <f>1.225 * (1 - 0.00000687559 * B2736) ^ 4.2561</f>
        <v>0.45828836225470948</v>
      </c>
      <c r="D2736">
        <f>E2736*(SQRT($C$2/C2736))</f>
        <v>130.79423945802586</v>
      </c>
      <c r="E2736">
        <v>80</v>
      </c>
      <c r="F2736">
        <v>1150</v>
      </c>
      <c r="G2736">
        <v>1500</v>
      </c>
      <c r="H2736">
        <f>CONVERT(G2736,"HP","kW")</f>
        <v>1118.5498073734054</v>
      </c>
      <c r="I2736">
        <v>0.70609999999999995</v>
      </c>
      <c r="J2736">
        <v>0.88590000000000002</v>
      </c>
      <c r="K2736">
        <v>0.58979999999999999</v>
      </c>
      <c r="L2736">
        <v>0.35489999999999999</v>
      </c>
      <c r="M2736">
        <v>0.2828</v>
      </c>
      <c r="N2736">
        <f>CONVERT(O2736,"lbf","N")</f>
        <v>11738.412020510934</v>
      </c>
      <c r="O2736">
        <v>2638.9</v>
      </c>
      <c r="P2736">
        <f t="shared" si="42"/>
        <v>0.79684418145956604</v>
      </c>
    </row>
    <row r="2737" spans="1:16" hidden="1" x14ac:dyDescent="0.25">
      <c r="A2737">
        <v>0</v>
      </c>
      <c r="B2737">
        <v>30000</v>
      </c>
      <c r="C2737">
        <f>1.225 * (1 - 0.00000687559 * B2737) ^ 4.2561</f>
        <v>0.45828836225470948</v>
      </c>
      <c r="D2737">
        <f>E2737*(SQRT($C$2/C2737))</f>
        <v>196.19135918703881</v>
      </c>
      <c r="E2737">
        <v>120</v>
      </c>
      <c r="F2737">
        <v>1150</v>
      </c>
      <c r="G2737">
        <v>1500</v>
      </c>
      <c r="H2737">
        <f>CONVERT(G2737,"HP","kW")</f>
        <v>1118.5498073734054</v>
      </c>
      <c r="I2737">
        <v>0.82969999999999999</v>
      </c>
      <c r="J2737">
        <v>1.3289</v>
      </c>
      <c r="K2737">
        <v>0.64190000000000003</v>
      </c>
      <c r="L2737">
        <v>0.35489999999999999</v>
      </c>
      <c r="M2737">
        <v>0.2215</v>
      </c>
      <c r="N2737">
        <f>CONVERT(O2737,"lbf","N")</f>
        <v>9194.9189009049805</v>
      </c>
      <c r="O2737">
        <v>2067.1</v>
      </c>
      <c r="P2737">
        <f t="shared" si="42"/>
        <v>0.62411947027331649</v>
      </c>
    </row>
    <row r="2738" spans="1:16" hidden="1" x14ac:dyDescent="0.25">
      <c r="A2738">
        <v>0</v>
      </c>
      <c r="B2738">
        <v>30000</v>
      </c>
      <c r="C2738">
        <f>1.225 * (1 - 0.00000687559 * B2738) ^ 4.2561</f>
        <v>0.45828836225470948</v>
      </c>
      <c r="D2738">
        <f>E2738*(SQRT($C$2/C2738))</f>
        <v>392.38271837407763</v>
      </c>
      <c r="E2738">
        <v>240</v>
      </c>
      <c r="F2738">
        <v>1150</v>
      </c>
      <c r="G2738">
        <v>1500</v>
      </c>
      <c r="H2738">
        <f>CONVERT(G2738,"HP","kW")</f>
        <v>1118.5498073734054</v>
      </c>
      <c r="I2738">
        <v>0.61970000000000003</v>
      </c>
      <c r="J2738">
        <v>2.6577999999999999</v>
      </c>
      <c r="K2738">
        <v>0.8639</v>
      </c>
      <c r="L2738">
        <v>0.35489999999999999</v>
      </c>
      <c r="M2738">
        <v>8.2699999999999996E-2</v>
      </c>
      <c r="N2738">
        <f>CONVERT(O2738,"lbf","N")</f>
        <v>3434.4719091426323</v>
      </c>
      <c r="O2738">
        <v>772.1</v>
      </c>
      <c r="P2738">
        <f t="shared" si="42"/>
        <v>0.23302338686954072</v>
      </c>
    </row>
    <row r="2739" spans="1:16" hidden="1" x14ac:dyDescent="0.25">
      <c r="A2739">
        <v>0</v>
      </c>
      <c r="B2739">
        <v>30000</v>
      </c>
      <c r="C2739">
        <f>1.225 * (1 - 0.00000687559 * B2739) ^ 4.2561</f>
        <v>0.45828836225470948</v>
      </c>
      <c r="D2739">
        <f>E2739*(SQRT($C$2/C2739))</f>
        <v>425.08127823858405</v>
      </c>
      <c r="E2739">
        <v>260</v>
      </c>
      <c r="F2739">
        <v>1150</v>
      </c>
      <c r="G2739">
        <v>1500</v>
      </c>
      <c r="H2739">
        <f>CONVERT(G2739,"HP","kW")</f>
        <v>1118.5498073734054</v>
      </c>
      <c r="I2739">
        <v>0.35849999999999999</v>
      </c>
      <c r="J2739">
        <v>2.8793000000000002</v>
      </c>
      <c r="K2739">
        <v>0.90739999999999998</v>
      </c>
      <c r="L2739">
        <v>0.35489999999999999</v>
      </c>
      <c r="M2739">
        <v>4.4200000000000003E-2</v>
      </c>
      <c r="N2739">
        <f>CONVERT(O2739,"lbf","N")</f>
        <v>1833.556949810378</v>
      </c>
      <c r="O2739">
        <v>412.2</v>
      </c>
      <c r="P2739">
        <f t="shared" si="42"/>
        <v>0.12454212454212456</v>
      </c>
    </row>
    <row r="2740" spans="1:16" hidden="1" x14ac:dyDescent="0.25">
      <c r="A2740">
        <v>0</v>
      </c>
      <c r="B2740">
        <v>5000</v>
      </c>
      <c r="C2740">
        <f>1.225 * (1 - 0.00000687559 * B2740) ^ 4.2561</f>
        <v>1.0555380742846066</v>
      </c>
      <c r="D2740">
        <f>E2740*(SQRT($C$2/C2740))</f>
        <v>280.09440947918529</v>
      </c>
      <c r="E2740">
        <v>260</v>
      </c>
      <c r="F2740">
        <v>987</v>
      </c>
      <c r="G2740">
        <v>2250</v>
      </c>
      <c r="H2740">
        <f>CONVERT(G2740,"HP","kW")</f>
        <v>1677.8247110601083</v>
      </c>
      <c r="I2740">
        <v>0.89190000000000003</v>
      </c>
      <c r="J2740">
        <v>2.2105999999999999</v>
      </c>
      <c r="K2740">
        <v>0.60750000000000004</v>
      </c>
      <c r="L2740">
        <v>0.36509999999999998</v>
      </c>
      <c r="M2740">
        <v>0.14729999999999999</v>
      </c>
      <c r="N2740">
        <f>CONVERT(O2740,"lbf","N")</f>
        <v>10385.707827310216</v>
      </c>
      <c r="O2740">
        <v>2334.8000000000002</v>
      </c>
      <c r="P2740">
        <f t="shared" si="42"/>
        <v>0.40345110928512734</v>
      </c>
    </row>
    <row r="2741" spans="1:16" hidden="1" x14ac:dyDescent="0.25">
      <c r="A2741">
        <v>0</v>
      </c>
      <c r="B2741">
        <v>5000</v>
      </c>
      <c r="C2741">
        <f>1.225 * (1 - 0.00000687559 * B2741) ^ 4.2561</f>
        <v>1.0555380742846066</v>
      </c>
      <c r="D2741">
        <f>E2741*(SQRT($C$2/C2741))</f>
        <v>64.637171418273525</v>
      </c>
      <c r="E2741">
        <v>60</v>
      </c>
      <c r="F2741">
        <v>987</v>
      </c>
      <c r="G2741">
        <v>2250</v>
      </c>
      <c r="H2741">
        <f>CONVERT(G2741,"HP","kW")</f>
        <v>1677.8247110601083</v>
      </c>
      <c r="I2741">
        <v>0.38819999999999999</v>
      </c>
      <c r="J2741">
        <v>0.5101</v>
      </c>
      <c r="K2741">
        <v>0.43469999999999998</v>
      </c>
      <c r="L2741">
        <v>0.36530000000000001</v>
      </c>
      <c r="M2741">
        <v>0.27800000000000002</v>
      </c>
      <c r="N2741">
        <f>CONVERT(O2741,"lbf","N")</f>
        <v>19587.743882799612</v>
      </c>
      <c r="O2741">
        <v>4403.5</v>
      </c>
      <c r="P2741">
        <f t="shared" si="42"/>
        <v>0.76101834108951549</v>
      </c>
    </row>
    <row r="2742" spans="1:16" hidden="1" x14ac:dyDescent="0.25">
      <c r="A2742">
        <v>0</v>
      </c>
      <c r="B2742">
        <v>5000</v>
      </c>
      <c r="C2742">
        <f>1.225 * (1 - 0.00000687559 * B2742) ^ 4.2561</f>
        <v>1.0555380742846066</v>
      </c>
      <c r="D2742">
        <f>E2742*(SQRT($C$2/C2742))</f>
        <v>86.1828952243647</v>
      </c>
      <c r="E2742">
        <v>80</v>
      </c>
      <c r="F2742">
        <v>987</v>
      </c>
      <c r="G2742">
        <v>2250</v>
      </c>
      <c r="H2742">
        <f>CONVERT(G2742,"HP","kW")</f>
        <v>1677.8247110601083</v>
      </c>
      <c r="I2742">
        <v>0.56259999999999999</v>
      </c>
      <c r="J2742">
        <v>0.68020000000000003</v>
      </c>
      <c r="K2742">
        <v>0.44419999999999998</v>
      </c>
      <c r="L2742">
        <v>0.36530000000000001</v>
      </c>
      <c r="M2742">
        <v>0.30220000000000002</v>
      </c>
      <c r="N2742">
        <f>CONVERT(O2742,"lbf","N")</f>
        <v>21291.412761444382</v>
      </c>
      <c r="O2742">
        <v>4786.5</v>
      </c>
      <c r="P2742">
        <f t="shared" si="42"/>
        <v>0.82726526142896251</v>
      </c>
    </row>
    <row r="2743" spans="1:16" hidden="1" x14ac:dyDescent="0.25">
      <c r="A2743">
        <v>0</v>
      </c>
      <c r="B2743">
        <v>5000</v>
      </c>
      <c r="C2743">
        <f>1.225 * (1 - 0.00000687559 * B2743) ^ 4.2561</f>
        <v>1.0555380742846066</v>
      </c>
      <c r="D2743">
        <f>E2743*(SQRT($C$2/C2743))</f>
        <v>107.72861903045587</v>
      </c>
      <c r="E2743">
        <v>100</v>
      </c>
      <c r="F2743">
        <v>987</v>
      </c>
      <c r="G2743">
        <v>2250</v>
      </c>
      <c r="H2743">
        <f>CONVERT(G2743,"HP","kW")</f>
        <v>1677.8247110601083</v>
      </c>
      <c r="I2743">
        <v>0.69230000000000003</v>
      </c>
      <c r="J2743">
        <v>0.85019999999999996</v>
      </c>
      <c r="K2743">
        <v>0.45610000000000001</v>
      </c>
      <c r="L2743">
        <v>0.36530000000000001</v>
      </c>
      <c r="M2743">
        <v>0.2974</v>
      </c>
      <c r="N2743">
        <f>CONVERT(O2743,"lbf","N")</f>
        <v>20958.6857846229</v>
      </c>
      <c r="O2743">
        <v>4711.7</v>
      </c>
      <c r="P2743">
        <f t="shared" si="42"/>
        <v>0.81412537640295646</v>
      </c>
    </row>
    <row r="2744" spans="1:16" hidden="1" x14ac:dyDescent="0.25">
      <c r="A2744">
        <v>0</v>
      </c>
      <c r="B2744">
        <v>5000</v>
      </c>
      <c r="C2744">
        <f>1.225 * (1 - 0.00000687559 * B2744) ^ 4.2561</f>
        <v>1.0555380742846066</v>
      </c>
      <c r="D2744">
        <f>E2744*(SQRT($C$2/C2744))</f>
        <v>0</v>
      </c>
      <c r="E2744">
        <v>0</v>
      </c>
      <c r="F2744">
        <v>987</v>
      </c>
      <c r="G2744">
        <v>2250</v>
      </c>
      <c r="H2744">
        <f>CONVERT(G2744,"HP","kW")</f>
        <v>1677.8247110601083</v>
      </c>
      <c r="I2744">
        <v>0</v>
      </c>
      <c r="J2744">
        <v>0</v>
      </c>
      <c r="K2744">
        <v>0.41849999999999998</v>
      </c>
      <c r="L2744">
        <v>0.3654</v>
      </c>
      <c r="M2744">
        <v>0.21440000000000001</v>
      </c>
      <c r="N2744">
        <f>CONVERT(O2744,"lbf","N")</f>
        <v>15104.82613894008</v>
      </c>
      <c r="O2744">
        <v>3395.7</v>
      </c>
      <c r="P2744">
        <f t="shared" si="42"/>
        <v>0.58675424192665571</v>
      </c>
    </row>
    <row r="2745" spans="1:16" hidden="1" x14ac:dyDescent="0.25">
      <c r="A2745">
        <v>0</v>
      </c>
      <c r="B2745">
        <v>5000</v>
      </c>
      <c r="C2745">
        <f>1.225 * (1 - 0.00000687559 * B2745) ^ 4.2561</f>
        <v>1.0555380742846066</v>
      </c>
      <c r="D2745">
        <f>E2745*(SQRT($C$2/C2745))</f>
        <v>21.545723806091175</v>
      </c>
      <c r="E2745">
        <v>20</v>
      </c>
      <c r="F2745">
        <v>987</v>
      </c>
      <c r="G2745">
        <v>2250</v>
      </c>
      <c r="H2745">
        <f>CONVERT(G2745,"HP","kW")</f>
        <v>1677.8247110601083</v>
      </c>
      <c r="I2745">
        <v>0.109</v>
      </c>
      <c r="J2745">
        <v>0.17</v>
      </c>
      <c r="K2745">
        <v>0.4219</v>
      </c>
      <c r="L2745">
        <v>0.3654</v>
      </c>
      <c r="M2745">
        <v>0.2341</v>
      </c>
      <c r="N2745">
        <f>CONVERT(O2745,"lbf","N")</f>
        <v>16495.785038032038</v>
      </c>
      <c r="O2745">
        <v>3708.4</v>
      </c>
      <c r="P2745">
        <f t="shared" si="42"/>
        <v>0.64066776135741654</v>
      </c>
    </row>
    <row r="2746" spans="1:16" hidden="1" x14ac:dyDescent="0.25">
      <c r="A2746">
        <v>0</v>
      </c>
      <c r="B2746">
        <v>5000</v>
      </c>
      <c r="C2746">
        <f>1.225 * (1 - 0.00000687559 * B2746) ^ 4.2561</f>
        <v>1.0555380742846066</v>
      </c>
      <c r="D2746">
        <f>E2746*(SQRT($C$2/C2746))</f>
        <v>43.09144761218235</v>
      </c>
      <c r="E2746">
        <v>40</v>
      </c>
      <c r="F2746">
        <v>987</v>
      </c>
      <c r="G2746">
        <v>2250</v>
      </c>
      <c r="H2746">
        <f>CONVERT(G2746,"HP","kW")</f>
        <v>1677.8247110601083</v>
      </c>
      <c r="I2746">
        <v>0.23760000000000001</v>
      </c>
      <c r="J2746">
        <v>0.34010000000000001</v>
      </c>
      <c r="K2746">
        <v>0.42730000000000001</v>
      </c>
      <c r="L2746">
        <v>0.36549999999999999</v>
      </c>
      <c r="M2746">
        <v>0.25540000000000002</v>
      </c>
      <c r="N2746">
        <f>CONVERT(O2746,"lbf","N")</f>
        <v>17982.380701852097</v>
      </c>
      <c r="O2746">
        <v>4042.6</v>
      </c>
      <c r="P2746">
        <f t="shared" si="42"/>
        <v>0.69876880984952128</v>
      </c>
    </row>
    <row r="2747" spans="1:16" hidden="1" x14ac:dyDescent="0.25">
      <c r="A2747">
        <v>0</v>
      </c>
      <c r="B2747">
        <v>5000</v>
      </c>
      <c r="C2747">
        <f>1.225 * (1 - 0.00000687559 * B2747) ^ 4.2561</f>
        <v>1.0555380742846066</v>
      </c>
      <c r="D2747">
        <f>E2747*(SQRT($C$2/C2747))</f>
        <v>129.27434283654705</v>
      </c>
      <c r="E2747">
        <v>120</v>
      </c>
      <c r="F2747">
        <v>987</v>
      </c>
      <c r="G2747">
        <v>2250</v>
      </c>
      <c r="H2747">
        <f>CONVERT(G2747,"HP","kW")</f>
        <v>1677.8247110601083</v>
      </c>
      <c r="I2747">
        <v>0.76080000000000003</v>
      </c>
      <c r="J2747">
        <v>1.0203</v>
      </c>
      <c r="K2747">
        <v>0.47010000000000002</v>
      </c>
      <c r="L2747">
        <v>0.36559999999999998</v>
      </c>
      <c r="M2747">
        <v>0.27260000000000001</v>
      </c>
      <c r="N2747">
        <f>CONVERT(O2747,"lbf","N")</f>
        <v>19193.186625526007</v>
      </c>
      <c r="O2747">
        <v>4314.8</v>
      </c>
      <c r="P2747">
        <f t="shared" si="42"/>
        <v>0.74562363238512042</v>
      </c>
    </row>
    <row r="2748" spans="1:16" hidden="1" x14ac:dyDescent="0.25">
      <c r="A2748">
        <v>0</v>
      </c>
      <c r="B2748">
        <v>5000</v>
      </c>
      <c r="C2748">
        <f>1.225 * (1 - 0.00000687559 * B2748) ^ 4.2561</f>
        <v>1.0555380742846066</v>
      </c>
      <c r="D2748">
        <f>E2748*(SQRT($C$2/C2748))</f>
        <v>150.82006664263821</v>
      </c>
      <c r="E2748">
        <v>140</v>
      </c>
      <c r="F2748">
        <v>987</v>
      </c>
      <c r="G2748">
        <v>2250</v>
      </c>
      <c r="H2748">
        <f>CONVERT(G2748,"HP","kW")</f>
        <v>1677.8247110601083</v>
      </c>
      <c r="I2748">
        <v>0.80369999999999997</v>
      </c>
      <c r="J2748">
        <v>1.1902999999999999</v>
      </c>
      <c r="K2748">
        <v>0.48570000000000002</v>
      </c>
      <c r="L2748">
        <v>0.36559999999999998</v>
      </c>
      <c r="M2748">
        <v>0.24679999999999999</v>
      </c>
      <c r="N2748">
        <f>CONVERT(O2748,"lbf","N")</f>
        <v>17379.646672984301</v>
      </c>
      <c r="O2748">
        <v>3907.1</v>
      </c>
      <c r="P2748">
        <f t="shared" si="42"/>
        <v>0.67505470459518602</v>
      </c>
    </row>
    <row r="2749" spans="1:16" hidden="1" x14ac:dyDescent="0.25">
      <c r="A2749">
        <v>0</v>
      </c>
      <c r="B2749">
        <v>5000</v>
      </c>
      <c r="C2749">
        <f>1.225 * (1 - 0.00000687559 * B2749) ^ 4.2561</f>
        <v>1.0555380742846066</v>
      </c>
      <c r="D2749">
        <f>E2749*(SQRT($C$2/C2749))</f>
        <v>172.3657904487294</v>
      </c>
      <c r="E2749">
        <v>160</v>
      </c>
      <c r="F2749">
        <v>987</v>
      </c>
      <c r="G2749">
        <v>2250</v>
      </c>
      <c r="H2749">
        <f>CONVERT(G2749,"HP","kW")</f>
        <v>1677.8247110601083</v>
      </c>
      <c r="I2749">
        <v>0.83460000000000001</v>
      </c>
      <c r="J2749">
        <v>1.3604000000000001</v>
      </c>
      <c r="K2749">
        <v>0.50280000000000002</v>
      </c>
      <c r="L2749">
        <v>0.36559999999999998</v>
      </c>
      <c r="M2749">
        <v>0.2243</v>
      </c>
      <c r="N2749">
        <f>CONVERT(O2749,"lbf","N")</f>
        <v>15792.076378497826</v>
      </c>
      <c r="O2749">
        <v>3550.2</v>
      </c>
      <c r="P2749">
        <f t="shared" si="42"/>
        <v>0.61351203501094098</v>
      </c>
    </row>
    <row r="2750" spans="1:16" hidden="1" x14ac:dyDescent="0.25">
      <c r="A2750">
        <v>0</v>
      </c>
      <c r="B2750">
        <v>5000</v>
      </c>
      <c r="C2750">
        <f>1.225 * (1 - 0.00000687559 * B2750) ^ 4.2561</f>
        <v>1.0555380742846066</v>
      </c>
      <c r="D2750">
        <f>E2750*(SQRT($C$2/C2750))</f>
        <v>193.91151425482059</v>
      </c>
      <c r="E2750">
        <v>180</v>
      </c>
      <c r="F2750">
        <v>987</v>
      </c>
      <c r="G2750">
        <v>2250</v>
      </c>
      <c r="H2750">
        <f>CONVERT(G2750,"HP","kW")</f>
        <v>1677.8247110601083</v>
      </c>
      <c r="I2750">
        <v>0.85670000000000002</v>
      </c>
      <c r="J2750">
        <v>1.5304</v>
      </c>
      <c r="K2750">
        <v>0.52129999999999999</v>
      </c>
      <c r="L2750">
        <v>0.36559999999999998</v>
      </c>
      <c r="M2750">
        <v>0.2046</v>
      </c>
      <c r="N2750">
        <f>CONVERT(O2750,"lbf","N")</f>
        <v>14409.569100474866</v>
      </c>
      <c r="O2750">
        <v>3239.4</v>
      </c>
      <c r="P2750">
        <f t="shared" si="42"/>
        <v>0.55962800875273522</v>
      </c>
    </row>
    <row r="2751" spans="1:16" hidden="1" x14ac:dyDescent="0.25">
      <c r="A2751">
        <v>0</v>
      </c>
      <c r="B2751">
        <v>5000</v>
      </c>
      <c r="C2751">
        <f>1.225 * (1 - 0.00000687559 * B2751) ^ 4.2561</f>
        <v>1.0555380742846066</v>
      </c>
      <c r="D2751">
        <f>E2751*(SQRT($C$2/C2751))</f>
        <v>215.45723806091175</v>
      </c>
      <c r="E2751">
        <v>200</v>
      </c>
      <c r="F2751">
        <v>987</v>
      </c>
      <c r="G2751">
        <v>2250</v>
      </c>
      <c r="H2751">
        <f>CONVERT(G2751,"HP","kW")</f>
        <v>1677.8247110601083</v>
      </c>
      <c r="I2751">
        <v>0.87229999999999996</v>
      </c>
      <c r="J2751">
        <v>1.7004999999999999</v>
      </c>
      <c r="K2751">
        <v>0.54120000000000001</v>
      </c>
      <c r="L2751">
        <v>0.36559999999999998</v>
      </c>
      <c r="M2751">
        <v>0.1875</v>
      </c>
      <c r="N2751">
        <f>CONVERT(O2751,"lbf","N")</f>
        <v>13203.656220577743</v>
      </c>
      <c r="O2751">
        <v>2968.3</v>
      </c>
      <c r="P2751">
        <f t="shared" si="42"/>
        <v>0.512855579868709</v>
      </c>
    </row>
    <row r="2752" spans="1:16" hidden="1" x14ac:dyDescent="0.25">
      <c r="A2752">
        <v>0</v>
      </c>
      <c r="B2752">
        <v>5000</v>
      </c>
      <c r="C2752">
        <f>1.225 * (1 - 0.00000687559 * B2752) ^ 4.2561</f>
        <v>1.0555380742846066</v>
      </c>
      <c r="D2752">
        <f>E2752*(SQRT($C$2/C2752))</f>
        <v>237.00296186700291</v>
      </c>
      <c r="E2752">
        <v>220</v>
      </c>
      <c r="F2752">
        <v>987</v>
      </c>
      <c r="G2752">
        <v>2250</v>
      </c>
      <c r="H2752">
        <f>CONVERT(G2752,"HP","kW")</f>
        <v>1677.8247110601083</v>
      </c>
      <c r="I2752">
        <v>0.88270000000000004</v>
      </c>
      <c r="J2752">
        <v>1.8705000000000001</v>
      </c>
      <c r="K2752">
        <v>0.56220000000000003</v>
      </c>
      <c r="L2752">
        <v>0.36559999999999998</v>
      </c>
      <c r="M2752">
        <v>0.17249999999999999</v>
      </c>
      <c r="N2752">
        <f>CONVERT(O2752,"lbf","N")</f>
        <v>12147.203586953376</v>
      </c>
      <c r="O2752">
        <v>2730.8</v>
      </c>
      <c r="P2752">
        <f t="shared" si="42"/>
        <v>0.47182713347921224</v>
      </c>
    </row>
    <row r="2753" spans="1:16" hidden="1" x14ac:dyDescent="0.25">
      <c r="A2753">
        <v>0</v>
      </c>
      <c r="B2753">
        <v>5000</v>
      </c>
      <c r="C2753">
        <f>1.225 * (1 - 0.00000687559 * B2753) ^ 4.2561</f>
        <v>1.0555380742846066</v>
      </c>
      <c r="D2753">
        <f>E2753*(SQRT($C$2/C2753))</f>
        <v>258.5486856730941</v>
      </c>
      <c r="E2753">
        <v>240</v>
      </c>
      <c r="F2753">
        <v>987</v>
      </c>
      <c r="G2753">
        <v>2250</v>
      </c>
      <c r="H2753">
        <f>CONVERT(G2753,"HP","kW")</f>
        <v>1677.8247110601083</v>
      </c>
      <c r="I2753">
        <v>0.8891</v>
      </c>
      <c r="J2753">
        <v>2.0406</v>
      </c>
      <c r="K2753">
        <v>0.58440000000000003</v>
      </c>
      <c r="L2753">
        <v>0.36559999999999998</v>
      </c>
      <c r="M2753">
        <v>0.1593</v>
      </c>
      <c r="N2753">
        <f>CONVERT(O2753,"lbf","N")</f>
        <v>11215.3011585563</v>
      </c>
      <c r="O2753">
        <v>2521.3000000000002</v>
      </c>
      <c r="P2753">
        <f t="shared" si="42"/>
        <v>0.43572210065645517</v>
      </c>
    </row>
    <row r="2754" spans="1:16" hidden="1" x14ac:dyDescent="0.25">
      <c r="A2754">
        <v>0</v>
      </c>
      <c r="B2754">
        <v>20000</v>
      </c>
      <c r="C2754">
        <f>1.225 * (1 - 0.00000687559 * B2754) ^ 4.2561</f>
        <v>0.65267221054298263</v>
      </c>
      <c r="D2754">
        <f>E2754*(SQRT($C$2/C2754))</f>
        <v>164.3999683299848</v>
      </c>
      <c r="E2754">
        <v>120</v>
      </c>
      <c r="F2754">
        <v>1150</v>
      </c>
      <c r="G2754">
        <v>2250</v>
      </c>
      <c r="H2754">
        <f>CONVERT(G2754,"HP","kW")</f>
        <v>1677.8247110601083</v>
      </c>
      <c r="I2754">
        <v>0.77980000000000005</v>
      </c>
      <c r="J2754">
        <v>1.1135999999999999</v>
      </c>
      <c r="K2754">
        <v>0.5897</v>
      </c>
      <c r="L2754">
        <v>0.37340000000000001</v>
      </c>
      <c r="M2754">
        <v>0.26150000000000001</v>
      </c>
      <c r="N2754">
        <f>CONVERT(O2754,"lbf","N")</f>
        <v>15470.025133552968</v>
      </c>
      <c r="O2754">
        <v>3477.8</v>
      </c>
      <c r="P2754">
        <f t="shared" si="42"/>
        <v>0.70032137118371718</v>
      </c>
    </row>
    <row r="2755" spans="1:16" hidden="1" x14ac:dyDescent="0.25">
      <c r="A2755">
        <v>0</v>
      </c>
      <c r="B2755">
        <v>20000</v>
      </c>
      <c r="C2755">
        <f>1.225 * (1 - 0.00000687559 * B2755) ^ 4.2561</f>
        <v>0.65267221054298263</v>
      </c>
      <c r="D2755">
        <f>E2755*(SQRT($C$2/C2755))</f>
        <v>82.199984164992401</v>
      </c>
      <c r="E2755">
        <v>60</v>
      </c>
      <c r="F2755">
        <v>1150</v>
      </c>
      <c r="G2755">
        <v>2250</v>
      </c>
      <c r="H2755">
        <f>CONVERT(G2755,"HP","kW")</f>
        <v>1677.8247110601083</v>
      </c>
      <c r="I2755">
        <v>0.41830000000000001</v>
      </c>
      <c r="J2755">
        <v>0.55679999999999996</v>
      </c>
      <c r="K2755">
        <v>0.53890000000000005</v>
      </c>
      <c r="L2755">
        <v>0.3735</v>
      </c>
      <c r="M2755">
        <v>0.28060000000000002</v>
      </c>
      <c r="N2755">
        <f>CONVERT(O2755,"lbf","N")</f>
        <v>16594.980380052348</v>
      </c>
      <c r="O2755">
        <v>3730.7</v>
      </c>
      <c r="P2755">
        <f t="shared" ref="P2755:P2818" si="43">M2755/L2755</f>
        <v>0.75127175368139232</v>
      </c>
    </row>
    <row r="2756" spans="1:16" hidden="1" x14ac:dyDescent="0.25">
      <c r="A2756">
        <v>0</v>
      </c>
      <c r="B2756">
        <v>20000</v>
      </c>
      <c r="C2756">
        <f>1.225 * (1 - 0.00000687559 * B2756) ^ 4.2561</f>
        <v>0.65267221054298263</v>
      </c>
      <c r="D2756">
        <f>E2756*(SQRT($C$2/C2756))</f>
        <v>109.59997888665654</v>
      </c>
      <c r="E2756">
        <v>80</v>
      </c>
      <c r="F2756">
        <v>1150</v>
      </c>
      <c r="G2756">
        <v>2250</v>
      </c>
      <c r="H2756">
        <f>CONVERT(G2756,"HP","kW")</f>
        <v>1677.8247110601083</v>
      </c>
      <c r="I2756">
        <v>0.60540000000000005</v>
      </c>
      <c r="J2756">
        <v>0.74239999999999995</v>
      </c>
      <c r="K2756">
        <v>0.55249999999999999</v>
      </c>
      <c r="L2756">
        <v>0.37359999999999999</v>
      </c>
      <c r="M2756">
        <v>0.30470000000000003</v>
      </c>
      <c r="N2756">
        <f>CONVERT(O2756,"lbf","N")</f>
        <v>18014.407897481975</v>
      </c>
      <c r="O2756">
        <v>4049.8</v>
      </c>
      <c r="P2756">
        <f t="shared" si="43"/>
        <v>0.81557815845824422</v>
      </c>
    </row>
    <row r="2757" spans="1:16" hidden="1" x14ac:dyDescent="0.25">
      <c r="A2757">
        <v>0</v>
      </c>
      <c r="B2757">
        <v>20000</v>
      </c>
      <c r="C2757">
        <f>1.225 * (1 - 0.00000687559 * B2757) ^ 4.2561</f>
        <v>0.65267221054298263</v>
      </c>
      <c r="D2757">
        <f>E2757*(SQRT($C$2/C2757))</f>
        <v>246.59995249497723</v>
      </c>
      <c r="E2757">
        <v>180</v>
      </c>
      <c r="F2757">
        <v>1150</v>
      </c>
      <c r="G2757">
        <v>2250</v>
      </c>
      <c r="H2757">
        <f>CONVERT(G2757,"HP","kW")</f>
        <v>1677.8247110601083</v>
      </c>
      <c r="I2757">
        <v>0.86629999999999996</v>
      </c>
      <c r="J2757">
        <v>1.6704000000000001</v>
      </c>
      <c r="K2757">
        <v>0.66259999999999997</v>
      </c>
      <c r="L2757">
        <v>0.37359999999999999</v>
      </c>
      <c r="M2757">
        <v>0.1938</v>
      </c>
      <c r="N2757">
        <f>CONVERT(O2757,"lbf","N")</f>
        <v>11457.284414426469</v>
      </c>
      <c r="O2757">
        <v>2575.6999999999998</v>
      </c>
      <c r="P2757">
        <f t="shared" si="43"/>
        <v>0.51873661670235549</v>
      </c>
    </row>
    <row r="2758" spans="1:16" hidden="1" x14ac:dyDescent="0.25">
      <c r="A2758">
        <v>0</v>
      </c>
      <c r="B2758">
        <v>20000</v>
      </c>
      <c r="C2758">
        <f>1.225 * (1 - 0.00000687559 * B2758) ^ 4.2561</f>
        <v>0.65267221054298263</v>
      </c>
      <c r="D2758">
        <f>E2758*(SQRT($C$2/C2758))</f>
        <v>273.99994721664137</v>
      </c>
      <c r="E2758">
        <v>200</v>
      </c>
      <c r="F2758">
        <v>1150</v>
      </c>
      <c r="G2758">
        <v>2250</v>
      </c>
      <c r="H2758">
        <f>CONVERT(G2758,"HP","kW")</f>
        <v>1677.8247110601083</v>
      </c>
      <c r="I2758">
        <v>0.87909999999999999</v>
      </c>
      <c r="J2758">
        <v>1.8560000000000001</v>
      </c>
      <c r="K2758">
        <v>0.69079999999999997</v>
      </c>
      <c r="L2758">
        <v>0.37359999999999999</v>
      </c>
      <c r="M2758">
        <v>0.17699999999999999</v>
      </c>
      <c r="N2758">
        <f>CONVERT(O2758,"lbf","N")</f>
        <v>10463.996527738802</v>
      </c>
      <c r="O2758">
        <v>2352.4</v>
      </c>
      <c r="P2758">
        <f t="shared" si="43"/>
        <v>0.47376873661670232</v>
      </c>
    </row>
    <row r="2759" spans="1:16" hidden="1" x14ac:dyDescent="0.25">
      <c r="A2759">
        <v>0</v>
      </c>
      <c r="B2759">
        <v>20000</v>
      </c>
      <c r="C2759">
        <f>1.225 * (1 - 0.00000687559 * B2759) ^ 4.2561</f>
        <v>0.65267221054298263</v>
      </c>
      <c r="D2759">
        <f>E2759*(SQRT($C$2/C2759))</f>
        <v>301.39994193830552</v>
      </c>
      <c r="E2759">
        <v>220</v>
      </c>
      <c r="F2759">
        <v>1150</v>
      </c>
      <c r="G2759">
        <v>2250</v>
      </c>
      <c r="H2759">
        <f>CONVERT(G2759,"HP","kW")</f>
        <v>1677.8247110601083</v>
      </c>
      <c r="I2759">
        <v>0.88570000000000004</v>
      </c>
      <c r="J2759">
        <v>2.0415999999999999</v>
      </c>
      <c r="K2759">
        <v>0.72060000000000002</v>
      </c>
      <c r="L2759">
        <v>0.37359999999999999</v>
      </c>
      <c r="M2759">
        <v>0.16209999999999999</v>
      </c>
      <c r="N2759">
        <f>CONVERT(O2759,"lbf","N")</f>
        <v>9584.5831144017975</v>
      </c>
      <c r="O2759">
        <v>2154.6999999999998</v>
      </c>
      <c r="P2759">
        <f t="shared" si="43"/>
        <v>0.4338865096359743</v>
      </c>
    </row>
    <row r="2760" spans="1:16" hidden="1" x14ac:dyDescent="0.25">
      <c r="A2760">
        <v>0</v>
      </c>
      <c r="B2760">
        <v>20000</v>
      </c>
      <c r="C2760">
        <f>1.225 * (1 - 0.00000687559 * B2760) ^ 4.2561</f>
        <v>0.65267221054298263</v>
      </c>
      <c r="D2760">
        <f>E2760*(SQRT($C$2/C2760))</f>
        <v>27.399994721664136</v>
      </c>
      <c r="E2760">
        <v>20</v>
      </c>
      <c r="F2760">
        <v>1150</v>
      </c>
      <c r="G2760">
        <v>2250</v>
      </c>
      <c r="H2760">
        <f>CONVERT(G2760,"HP","kW")</f>
        <v>1677.8247110601083</v>
      </c>
      <c r="I2760">
        <v>0.1174</v>
      </c>
      <c r="J2760">
        <v>0.18559999999999999</v>
      </c>
      <c r="K2760">
        <v>0.52059999999999995</v>
      </c>
      <c r="L2760">
        <v>0.37369999999999998</v>
      </c>
      <c r="M2760">
        <v>0.2364</v>
      </c>
      <c r="N2760">
        <f>CONVERT(O2760,"lbf","N")</f>
        <v>13976.757137310016</v>
      </c>
      <c r="O2760">
        <v>3142.1</v>
      </c>
      <c r="P2760">
        <f t="shared" si="43"/>
        <v>0.63259298902863259</v>
      </c>
    </row>
    <row r="2761" spans="1:16" hidden="1" x14ac:dyDescent="0.25">
      <c r="A2761">
        <v>0</v>
      </c>
      <c r="B2761">
        <v>20000</v>
      </c>
      <c r="C2761">
        <f>1.225 * (1 - 0.00000687559 * B2761) ^ 4.2561</f>
        <v>0.65267221054298263</v>
      </c>
      <c r="D2761">
        <f>E2761*(SQRT($C$2/C2761))</f>
        <v>191.79996305164894</v>
      </c>
      <c r="E2761">
        <v>140</v>
      </c>
      <c r="F2761">
        <v>1150</v>
      </c>
      <c r="G2761">
        <v>2250</v>
      </c>
      <c r="H2761">
        <f>CONVERT(G2761,"HP","kW")</f>
        <v>1677.8247110601083</v>
      </c>
      <c r="I2761">
        <v>0.81940000000000002</v>
      </c>
      <c r="J2761">
        <v>1.2991999999999999</v>
      </c>
      <c r="K2761">
        <v>0.6119</v>
      </c>
      <c r="L2761">
        <v>0.37369999999999998</v>
      </c>
      <c r="M2761">
        <v>0.23569999999999999</v>
      </c>
      <c r="N2761">
        <f>CONVERT(O2761,"lbf","N")</f>
        <v>13934.499031965041</v>
      </c>
      <c r="O2761">
        <v>3132.6</v>
      </c>
      <c r="P2761">
        <f t="shared" si="43"/>
        <v>0.63071982873963073</v>
      </c>
    </row>
    <row r="2762" spans="1:16" hidden="1" x14ac:dyDescent="0.25">
      <c r="A2762">
        <v>0</v>
      </c>
      <c r="B2762">
        <v>20000</v>
      </c>
      <c r="C2762">
        <f>1.225 * (1 - 0.00000687559 * B2762) ^ 4.2561</f>
        <v>0.65267221054298263</v>
      </c>
      <c r="D2762">
        <f>E2762*(SQRT($C$2/C2762))</f>
        <v>219.19995777331309</v>
      </c>
      <c r="E2762">
        <v>160</v>
      </c>
      <c r="F2762">
        <v>1150</v>
      </c>
      <c r="G2762">
        <v>2250</v>
      </c>
      <c r="H2762">
        <f>CONVERT(G2762,"HP","kW")</f>
        <v>1677.8247110601083</v>
      </c>
      <c r="I2762">
        <v>0.84719999999999995</v>
      </c>
      <c r="J2762">
        <v>1.4847999999999999</v>
      </c>
      <c r="K2762">
        <v>0.63629999999999998</v>
      </c>
      <c r="L2762">
        <v>0.37369999999999998</v>
      </c>
      <c r="M2762">
        <v>0.2132</v>
      </c>
      <c r="N2762">
        <f>CONVERT(O2762,"lbf","N")</f>
        <v>12604.925591163677</v>
      </c>
      <c r="O2762">
        <v>2833.7</v>
      </c>
      <c r="P2762">
        <f t="shared" si="43"/>
        <v>0.5705111051645706</v>
      </c>
    </row>
    <row r="2763" spans="1:16" hidden="1" x14ac:dyDescent="0.25">
      <c r="A2763">
        <v>0</v>
      </c>
      <c r="B2763">
        <v>20000</v>
      </c>
      <c r="C2763">
        <f>1.225 * (1 - 0.00000687559 * B2763) ^ 4.2561</f>
        <v>0.65267221054298263</v>
      </c>
      <c r="D2763">
        <f>E2763*(SQRT($C$2/C2763))</f>
        <v>356.19993138163375</v>
      </c>
      <c r="E2763">
        <v>260</v>
      </c>
      <c r="F2763">
        <v>1150</v>
      </c>
      <c r="G2763">
        <v>2250</v>
      </c>
      <c r="H2763">
        <f>CONVERT(G2763,"HP","kW")</f>
        <v>1677.8247110601083</v>
      </c>
      <c r="I2763">
        <v>0.83730000000000004</v>
      </c>
      <c r="J2763">
        <v>2.4127999999999998</v>
      </c>
      <c r="K2763">
        <v>0.78420000000000001</v>
      </c>
      <c r="L2763">
        <v>0.37369999999999998</v>
      </c>
      <c r="M2763">
        <v>0.12970000000000001</v>
      </c>
      <c r="N2763">
        <f>CONVERT(O2763,"lbf","N")</f>
        <v>7666.5099539014718</v>
      </c>
      <c r="O2763">
        <v>1723.5</v>
      </c>
      <c r="P2763">
        <f t="shared" si="43"/>
        <v>0.34706984211934711</v>
      </c>
    </row>
    <row r="2764" spans="1:16" hidden="1" x14ac:dyDescent="0.25">
      <c r="A2764">
        <v>0</v>
      </c>
      <c r="B2764">
        <v>30000</v>
      </c>
      <c r="C2764">
        <f>1.225 * (1 - 0.00000687559 * B2764) ^ 4.2561</f>
        <v>0.45828836225470948</v>
      </c>
      <c r="D2764">
        <f>E2764*(SQRT($C$2/C2764))</f>
        <v>0</v>
      </c>
      <c r="E2764">
        <v>0</v>
      </c>
      <c r="F2764">
        <v>987</v>
      </c>
      <c r="G2764">
        <v>1000</v>
      </c>
      <c r="H2764">
        <f>CONVERT(G2764,"HP","kW")</f>
        <v>745.69987158227025</v>
      </c>
      <c r="I2764">
        <v>0</v>
      </c>
      <c r="J2764">
        <v>0</v>
      </c>
      <c r="K2764">
        <v>0.46189999999999998</v>
      </c>
      <c r="L2764">
        <v>0.37380000000000002</v>
      </c>
      <c r="M2764">
        <v>0.2082</v>
      </c>
      <c r="N2764">
        <f>CONVERT(O2764,"lbf","N")</f>
        <v>6372.522286022192</v>
      </c>
      <c r="O2764">
        <v>1432.6</v>
      </c>
      <c r="P2764">
        <f t="shared" si="43"/>
        <v>0.5569823434991974</v>
      </c>
    </row>
    <row r="2765" spans="1:16" hidden="1" x14ac:dyDescent="0.25">
      <c r="A2765">
        <v>0</v>
      </c>
      <c r="B2765">
        <v>20000</v>
      </c>
      <c r="C2765">
        <f>1.225 * (1 - 0.00000687559 * B2765) ^ 4.2561</f>
        <v>0.65267221054298263</v>
      </c>
      <c r="D2765">
        <f>E2765*(SQRT($C$2/C2765))</f>
        <v>0</v>
      </c>
      <c r="E2765">
        <v>0</v>
      </c>
      <c r="F2765">
        <v>1150</v>
      </c>
      <c r="G2765">
        <v>2250</v>
      </c>
      <c r="H2765">
        <f>CONVERT(G2765,"HP","kW")</f>
        <v>1677.8247110601083</v>
      </c>
      <c r="I2765">
        <v>0</v>
      </c>
      <c r="J2765">
        <v>0</v>
      </c>
      <c r="K2765">
        <v>0.51549999999999996</v>
      </c>
      <c r="L2765">
        <v>0.37380000000000002</v>
      </c>
      <c r="M2765">
        <v>0.21970000000000001</v>
      </c>
      <c r="N2765">
        <f>CONVERT(O2765,"lbf","N")</f>
        <v>12987.027827914555</v>
      </c>
      <c r="O2765">
        <v>2919.6</v>
      </c>
      <c r="P2765">
        <f t="shared" si="43"/>
        <v>0.58774745853397536</v>
      </c>
    </row>
    <row r="2766" spans="1:16" hidden="1" x14ac:dyDescent="0.25">
      <c r="A2766">
        <v>0</v>
      </c>
      <c r="B2766">
        <v>20000</v>
      </c>
      <c r="C2766">
        <f>1.225 * (1 - 0.00000687559 * B2766) ^ 4.2561</f>
        <v>0.65267221054298263</v>
      </c>
      <c r="D2766">
        <f>E2766*(SQRT($C$2/C2766))</f>
        <v>54.799989443328272</v>
      </c>
      <c r="E2766">
        <v>40</v>
      </c>
      <c r="F2766">
        <v>1150</v>
      </c>
      <c r="G2766">
        <v>2250</v>
      </c>
      <c r="H2766">
        <f>CONVERT(G2766,"HP","kW")</f>
        <v>1677.8247110601083</v>
      </c>
      <c r="I2766">
        <v>0.25530000000000003</v>
      </c>
      <c r="J2766">
        <v>0.37119999999999997</v>
      </c>
      <c r="K2766">
        <v>0.52829999999999999</v>
      </c>
      <c r="L2766">
        <v>0.37380000000000002</v>
      </c>
      <c r="M2766">
        <v>0.25700000000000001</v>
      </c>
      <c r="N2766">
        <f>CONVERT(O2766,"lbf","N")</f>
        <v>15193.345749083765</v>
      </c>
      <c r="O2766">
        <v>3415.6</v>
      </c>
      <c r="P2766">
        <f t="shared" si="43"/>
        <v>0.68753344034242914</v>
      </c>
    </row>
    <row r="2767" spans="1:16" hidden="1" x14ac:dyDescent="0.25">
      <c r="A2767">
        <v>0</v>
      </c>
      <c r="B2767">
        <v>20000</v>
      </c>
      <c r="C2767">
        <f>1.225 * (1 - 0.00000687559 * B2767) ^ 4.2561</f>
        <v>0.65267221054298263</v>
      </c>
      <c r="D2767">
        <f>E2767*(SQRT($C$2/C2767))</f>
        <v>328.7999366599696</v>
      </c>
      <c r="E2767">
        <v>240</v>
      </c>
      <c r="F2767">
        <v>1150</v>
      </c>
      <c r="G2767">
        <v>2250</v>
      </c>
      <c r="H2767">
        <f>CONVERT(G2767,"HP","kW")</f>
        <v>1677.8247110601083</v>
      </c>
      <c r="I2767">
        <v>0.87370000000000003</v>
      </c>
      <c r="J2767">
        <v>2.2271999999999998</v>
      </c>
      <c r="K2767">
        <v>0.75170000000000003</v>
      </c>
      <c r="L2767">
        <v>0.37380000000000002</v>
      </c>
      <c r="M2767">
        <v>0.14660000000000001</v>
      </c>
      <c r="N2767">
        <f>CONVERT(O2767,"lbf","N")</f>
        <v>8666.0253508505066</v>
      </c>
      <c r="O2767">
        <v>1948.2</v>
      </c>
      <c r="P2767">
        <f t="shared" si="43"/>
        <v>0.39218833600856073</v>
      </c>
    </row>
    <row r="2768" spans="1:16" hidden="1" x14ac:dyDescent="0.25">
      <c r="A2768">
        <v>0</v>
      </c>
      <c r="B2768">
        <v>30000</v>
      </c>
      <c r="C2768">
        <f>1.225 * (1 - 0.00000687559 * B2768) ^ 4.2561</f>
        <v>0.45828836225470948</v>
      </c>
      <c r="D2768">
        <f>E2768*(SQRT($C$2/C2768))</f>
        <v>32.698559864506464</v>
      </c>
      <c r="E2768">
        <v>20</v>
      </c>
      <c r="F2768">
        <v>987</v>
      </c>
      <c r="G2768">
        <v>1000</v>
      </c>
      <c r="H2768">
        <f>CONVERT(G2768,"HP","kW")</f>
        <v>745.69987158227025</v>
      </c>
      <c r="I2768">
        <v>0.1671</v>
      </c>
      <c r="J2768">
        <v>0.2581</v>
      </c>
      <c r="K2768">
        <v>0.46829999999999999</v>
      </c>
      <c r="L2768">
        <v>0.37409999999999999</v>
      </c>
      <c r="M2768">
        <v>0.24229999999999999</v>
      </c>
      <c r="N2768">
        <f>CONVERT(O2768,"lbf","N")</f>
        <v>7408.0682780548368</v>
      </c>
      <c r="O2768">
        <v>1665.4</v>
      </c>
      <c r="P2768">
        <f t="shared" si="43"/>
        <v>0.64768778401496929</v>
      </c>
    </row>
    <row r="2769" spans="1:16" hidden="1" x14ac:dyDescent="0.25">
      <c r="A2769">
        <v>0</v>
      </c>
      <c r="B2769">
        <v>30000</v>
      </c>
      <c r="C2769">
        <f>1.225 * (1 - 0.00000687559 * B2769) ^ 4.2561</f>
        <v>0.45828836225470948</v>
      </c>
      <c r="D2769">
        <f>E2769*(SQRT($C$2/C2769))</f>
        <v>65.397119729012928</v>
      </c>
      <c r="E2769">
        <v>40</v>
      </c>
      <c r="F2769">
        <v>987</v>
      </c>
      <c r="G2769">
        <v>1000</v>
      </c>
      <c r="H2769">
        <f>CONVERT(G2769,"HP","kW")</f>
        <v>745.69987158227025</v>
      </c>
      <c r="I2769">
        <v>0.3826</v>
      </c>
      <c r="J2769">
        <v>0.5161</v>
      </c>
      <c r="K2769">
        <v>0.47989999999999999</v>
      </c>
      <c r="L2769">
        <v>0.37409999999999999</v>
      </c>
      <c r="M2769">
        <v>0.27729999999999999</v>
      </c>
      <c r="N2769">
        <f>CONVERT(O2769,"lbf","N")</f>
        <v>8481.4241538171955</v>
      </c>
      <c r="O2769">
        <v>1906.7</v>
      </c>
      <c r="P2769">
        <f t="shared" si="43"/>
        <v>0.74124565624164662</v>
      </c>
    </row>
    <row r="2770" spans="1:16" hidden="1" x14ac:dyDescent="0.25">
      <c r="A2770">
        <v>0</v>
      </c>
      <c r="B2770">
        <v>30000</v>
      </c>
      <c r="C2770">
        <f>1.225 * (1 - 0.00000687559 * B2770) ^ 4.2561</f>
        <v>0.45828836225470948</v>
      </c>
      <c r="D2770">
        <f>E2770*(SQRT($C$2/C2770))</f>
        <v>98.095679593519407</v>
      </c>
      <c r="E2770">
        <v>60</v>
      </c>
      <c r="F2770">
        <v>987</v>
      </c>
      <c r="G2770">
        <v>1000</v>
      </c>
      <c r="H2770">
        <f>CONVERT(G2770,"HP","kW")</f>
        <v>745.69987158227025</v>
      </c>
      <c r="I2770">
        <v>0.63480000000000003</v>
      </c>
      <c r="J2770">
        <v>0.7742</v>
      </c>
      <c r="K2770">
        <v>0.49680000000000002</v>
      </c>
      <c r="L2770">
        <v>0.37409999999999999</v>
      </c>
      <c r="M2770">
        <v>0.30669999999999997</v>
      </c>
      <c r="N2770">
        <f>CONVERT(O2770,"lbf","N")</f>
        <v>9380.4097422613431</v>
      </c>
      <c r="O2770">
        <v>2108.8000000000002</v>
      </c>
      <c r="P2770">
        <f t="shared" si="43"/>
        <v>0.81983426891205557</v>
      </c>
    </row>
    <row r="2771" spans="1:16" hidden="1" x14ac:dyDescent="0.25">
      <c r="A2771">
        <v>0</v>
      </c>
      <c r="B2771">
        <v>30000</v>
      </c>
      <c r="C2771">
        <f>1.225 * (1 - 0.00000687559 * B2771) ^ 4.2561</f>
        <v>0.45828836225470948</v>
      </c>
      <c r="D2771">
        <f>E2771*(SQRT($C$2/C2771))</f>
        <v>294.28703878055819</v>
      </c>
      <c r="E2771">
        <v>180</v>
      </c>
      <c r="F2771">
        <v>987</v>
      </c>
      <c r="G2771">
        <v>1000</v>
      </c>
      <c r="H2771">
        <f>CONVERT(G2771,"HP","kW")</f>
        <v>745.69987158227025</v>
      </c>
      <c r="I2771">
        <v>0.89049999999999996</v>
      </c>
      <c r="J2771">
        <v>2.3226</v>
      </c>
      <c r="K2771">
        <v>0.68740000000000001</v>
      </c>
      <c r="L2771">
        <v>0.37409999999999999</v>
      </c>
      <c r="M2771">
        <v>0.1434</v>
      </c>
      <c r="N2771">
        <f>CONVERT(O2771,"lbf","N")</f>
        <v>4386.3913348083797</v>
      </c>
      <c r="O2771">
        <v>986.1</v>
      </c>
      <c r="P2771">
        <f t="shared" si="43"/>
        <v>0.38331996792301526</v>
      </c>
    </row>
    <row r="2772" spans="1:16" hidden="1" x14ac:dyDescent="0.25">
      <c r="A2772">
        <v>0</v>
      </c>
      <c r="B2772">
        <v>20000</v>
      </c>
      <c r="C2772">
        <f>1.225 * (1 - 0.00000687559 * B2772) ^ 4.2561</f>
        <v>0.65267221054298263</v>
      </c>
      <c r="D2772">
        <f>E2772*(SQRT($C$2/C2772))</f>
        <v>136.99997360832069</v>
      </c>
      <c r="E2772">
        <v>100</v>
      </c>
      <c r="F2772">
        <v>1150</v>
      </c>
      <c r="G2772">
        <v>2250</v>
      </c>
      <c r="H2772">
        <f>CONVERT(G2772,"HP","kW")</f>
        <v>1677.8247110601083</v>
      </c>
      <c r="I2772">
        <v>0.71460000000000001</v>
      </c>
      <c r="J2772">
        <v>0.92800000000000005</v>
      </c>
      <c r="K2772">
        <v>0.56979999999999997</v>
      </c>
      <c r="L2772">
        <v>0.37409999999999999</v>
      </c>
      <c r="M2772">
        <v>0.28799999999999998</v>
      </c>
      <c r="N2772">
        <f>CONVERT(O2772,"lbf","N")</f>
        <v>17012.223567563782</v>
      </c>
      <c r="O2772">
        <v>3824.5</v>
      </c>
      <c r="P2772">
        <f t="shared" si="43"/>
        <v>0.76984763432237369</v>
      </c>
    </row>
    <row r="2773" spans="1:16" hidden="1" x14ac:dyDescent="0.25">
      <c r="A2773">
        <v>0</v>
      </c>
      <c r="B2773">
        <v>30000</v>
      </c>
      <c r="C2773">
        <f>1.225 * (1 - 0.00000687559 * B2773) ^ 4.2561</f>
        <v>0.45828836225470948</v>
      </c>
      <c r="D2773">
        <f>E2773*(SQRT($C$2/C2773))</f>
        <v>130.79423945802586</v>
      </c>
      <c r="E2773">
        <v>80</v>
      </c>
      <c r="F2773">
        <v>987</v>
      </c>
      <c r="G2773">
        <v>1000</v>
      </c>
      <c r="H2773">
        <f>CONVERT(G2773,"HP","kW")</f>
        <v>745.69987158227025</v>
      </c>
      <c r="I2773">
        <v>0.76019999999999999</v>
      </c>
      <c r="J2773">
        <v>1.0323</v>
      </c>
      <c r="K2773">
        <v>0.51949999999999996</v>
      </c>
      <c r="L2773">
        <v>0.37419999999999998</v>
      </c>
      <c r="M2773">
        <v>0.27560000000000001</v>
      </c>
      <c r="N2773">
        <f>CONVERT(O2773,"lbf","N")</f>
        <v>8425.3765614649128</v>
      </c>
      <c r="O2773">
        <v>1894.1</v>
      </c>
      <c r="P2773">
        <f t="shared" si="43"/>
        <v>0.73650454302512036</v>
      </c>
    </row>
    <row r="2774" spans="1:16" hidden="1" x14ac:dyDescent="0.25">
      <c r="A2774">
        <v>0</v>
      </c>
      <c r="B2774">
        <v>30000</v>
      </c>
      <c r="C2774">
        <f>1.225 * (1 - 0.00000687559 * B2774) ^ 4.2561</f>
        <v>0.45828836225470948</v>
      </c>
      <c r="D2774">
        <f>E2774*(SQRT($C$2/C2774))</f>
        <v>163.49279932253233</v>
      </c>
      <c r="E2774">
        <v>100</v>
      </c>
      <c r="F2774">
        <v>987</v>
      </c>
      <c r="G2774">
        <v>1000</v>
      </c>
      <c r="H2774">
        <f>CONVERT(G2774,"HP","kW")</f>
        <v>745.69987158227025</v>
      </c>
      <c r="I2774">
        <v>0.8196</v>
      </c>
      <c r="J2774">
        <v>1.2903</v>
      </c>
      <c r="K2774">
        <v>0.54649999999999999</v>
      </c>
      <c r="L2774">
        <v>0.37419999999999998</v>
      </c>
      <c r="M2774">
        <v>0.23769999999999999</v>
      </c>
      <c r="N2774">
        <f>CONVERT(O2774,"lbf","N")</f>
        <v>7267.0596528510796</v>
      </c>
      <c r="O2774">
        <v>1633.7</v>
      </c>
      <c r="P2774">
        <f t="shared" si="43"/>
        <v>0.63522180652057725</v>
      </c>
    </row>
    <row r="2775" spans="1:16" hidden="1" x14ac:dyDescent="0.25">
      <c r="A2775">
        <v>0</v>
      </c>
      <c r="B2775">
        <v>30000</v>
      </c>
      <c r="C2775">
        <f>1.225 * (1 - 0.00000687559 * B2775) ^ 4.2561</f>
        <v>0.45828836225470948</v>
      </c>
      <c r="D2775">
        <f>E2775*(SQRT($C$2/C2775))</f>
        <v>196.19135918703881</v>
      </c>
      <c r="E2775">
        <v>120</v>
      </c>
      <c r="F2775">
        <v>987</v>
      </c>
      <c r="G2775">
        <v>1000</v>
      </c>
      <c r="H2775">
        <f>CONVERT(G2775,"HP","kW")</f>
        <v>745.69987158227025</v>
      </c>
      <c r="I2775">
        <v>0.85599999999999998</v>
      </c>
      <c r="J2775">
        <v>1.5484</v>
      </c>
      <c r="K2775">
        <v>0.57720000000000005</v>
      </c>
      <c r="L2775">
        <v>0.37419999999999998</v>
      </c>
      <c r="M2775">
        <v>0.2069</v>
      </c>
      <c r="N2775">
        <f>CONVERT(O2775,"lbf","N")</f>
        <v>6324.481492577379</v>
      </c>
      <c r="O2775">
        <v>1421.8</v>
      </c>
      <c r="P2775">
        <f t="shared" si="43"/>
        <v>0.55291288081239987</v>
      </c>
    </row>
    <row r="2776" spans="1:16" hidden="1" x14ac:dyDescent="0.25">
      <c r="A2776">
        <v>0</v>
      </c>
      <c r="B2776">
        <v>30000</v>
      </c>
      <c r="C2776">
        <f>1.225 * (1 - 0.00000687559 * B2776) ^ 4.2561</f>
        <v>0.45828836225470948</v>
      </c>
      <c r="D2776">
        <f>E2776*(SQRT($C$2/C2776))</f>
        <v>228.88991905154526</v>
      </c>
      <c r="E2776">
        <v>140</v>
      </c>
      <c r="F2776">
        <v>987</v>
      </c>
      <c r="G2776">
        <v>1000</v>
      </c>
      <c r="H2776">
        <f>CONVERT(G2776,"HP","kW")</f>
        <v>745.69987158227025</v>
      </c>
      <c r="I2776">
        <v>0.87729999999999997</v>
      </c>
      <c r="J2776">
        <v>1.8065</v>
      </c>
      <c r="K2776">
        <v>0.61119999999999997</v>
      </c>
      <c r="L2776">
        <v>0.37419999999999998</v>
      </c>
      <c r="M2776">
        <v>0.1817</v>
      </c>
      <c r="N2776">
        <f>CONVERT(O2776,"lbf","N")</f>
        <v>5555.8287974603645</v>
      </c>
      <c r="O2776">
        <v>1249</v>
      </c>
      <c r="P2776">
        <f t="shared" si="43"/>
        <v>0.485569214323891</v>
      </c>
    </row>
    <row r="2777" spans="1:16" hidden="1" x14ac:dyDescent="0.25">
      <c r="A2777">
        <v>0</v>
      </c>
      <c r="B2777">
        <v>30000</v>
      </c>
      <c r="C2777">
        <f>1.225 * (1 - 0.00000687559 * B2777) ^ 4.2561</f>
        <v>0.45828836225470948</v>
      </c>
      <c r="D2777">
        <f>E2777*(SQRT($C$2/C2777))</f>
        <v>261.58847891605171</v>
      </c>
      <c r="E2777">
        <v>160</v>
      </c>
      <c r="F2777">
        <v>987</v>
      </c>
      <c r="G2777">
        <v>1000</v>
      </c>
      <c r="H2777">
        <f>CONVERT(G2777,"HP","kW")</f>
        <v>745.69987158227025</v>
      </c>
      <c r="I2777">
        <v>0.88839999999999997</v>
      </c>
      <c r="J2777">
        <v>2.0644999999999998</v>
      </c>
      <c r="K2777">
        <v>0.64800000000000002</v>
      </c>
      <c r="L2777">
        <v>0.37419999999999998</v>
      </c>
      <c r="M2777">
        <v>0.161</v>
      </c>
      <c r="N2777">
        <f>CONVERT(O2777,"lbf","N")</f>
        <v>4922.8468616087957</v>
      </c>
      <c r="O2777">
        <v>1106.7</v>
      </c>
      <c r="P2777">
        <f t="shared" si="43"/>
        <v>0.43025120256547306</v>
      </c>
    </row>
    <row r="2778" spans="1:16" hidden="1" x14ac:dyDescent="0.25">
      <c r="A2778">
        <v>0</v>
      </c>
      <c r="B2778">
        <v>30000</v>
      </c>
      <c r="C2778">
        <f>1.225 * (1 - 0.00000687559 * B2778) ^ 4.2561</f>
        <v>0.45828836225470948</v>
      </c>
      <c r="D2778">
        <f>E2778*(SQRT($C$2/C2778))</f>
        <v>326.98559864506467</v>
      </c>
      <c r="E2778">
        <v>200</v>
      </c>
      <c r="F2778">
        <v>987</v>
      </c>
      <c r="G2778">
        <v>1000</v>
      </c>
      <c r="H2778">
        <f>CONVERT(G2778,"HP","kW")</f>
        <v>745.69987158227025</v>
      </c>
      <c r="I2778">
        <v>0.87409999999999999</v>
      </c>
      <c r="J2778">
        <v>2.5807000000000002</v>
      </c>
      <c r="K2778">
        <v>0.72870000000000001</v>
      </c>
      <c r="L2778">
        <v>0.37419999999999998</v>
      </c>
      <c r="M2778">
        <v>0.12670000000000001</v>
      </c>
      <c r="N2778">
        <f>CONVERT(O2778,"lbf","N")</f>
        <v>3875.2906712149479</v>
      </c>
      <c r="O2778">
        <v>871.2</v>
      </c>
      <c r="P2778">
        <f t="shared" si="43"/>
        <v>0.33858898984500269</v>
      </c>
    </row>
    <row r="2779" spans="1:16" hidden="1" x14ac:dyDescent="0.25">
      <c r="A2779">
        <v>0</v>
      </c>
      <c r="B2779">
        <v>30000</v>
      </c>
      <c r="C2779">
        <f>1.225 * (1 - 0.00000687559 * B2779) ^ 4.2561</f>
        <v>0.45828836225470948</v>
      </c>
      <c r="D2779">
        <f>E2779*(SQRT($C$2/C2779))</f>
        <v>359.68415850957115</v>
      </c>
      <c r="E2779">
        <v>220</v>
      </c>
      <c r="F2779">
        <v>987</v>
      </c>
      <c r="G2779">
        <v>1000</v>
      </c>
      <c r="H2779">
        <f>CONVERT(G2779,"HP","kW")</f>
        <v>745.69987158227025</v>
      </c>
      <c r="I2779">
        <v>0.79200000000000004</v>
      </c>
      <c r="J2779">
        <v>2.8386999999999998</v>
      </c>
      <c r="K2779">
        <v>0.77190000000000003</v>
      </c>
      <c r="L2779">
        <v>0.37419999999999998</v>
      </c>
      <c r="M2779">
        <v>0.10440000000000001</v>
      </c>
      <c r="N2779">
        <f>CONVERT(O2779,"lbf","N")</f>
        <v>3192.0438311109351</v>
      </c>
      <c r="O2779">
        <v>717.6</v>
      </c>
      <c r="P2779">
        <f t="shared" si="43"/>
        <v>0.278995189738108</v>
      </c>
    </row>
    <row r="2780" spans="1:16" hidden="1" x14ac:dyDescent="0.25">
      <c r="A2780">
        <v>0</v>
      </c>
      <c r="B2780">
        <v>30000</v>
      </c>
      <c r="C2780">
        <f>1.225 * (1 - 0.00000687559 * B2780) ^ 4.2561</f>
        <v>0.45828836225470948</v>
      </c>
      <c r="D2780">
        <f>E2780*(SQRT($C$2/C2780))</f>
        <v>425.08127823858405</v>
      </c>
      <c r="E2780">
        <v>260</v>
      </c>
      <c r="F2780">
        <v>987</v>
      </c>
      <c r="G2780">
        <v>1000</v>
      </c>
      <c r="H2780">
        <f>CONVERT(G2780,"HP","kW")</f>
        <v>745.69987158227025</v>
      </c>
      <c r="I2780">
        <v>0.2145</v>
      </c>
      <c r="J2780">
        <v>3.3548</v>
      </c>
      <c r="K2780">
        <v>0.86240000000000006</v>
      </c>
      <c r="L2780">
        <v>0.37419999999999998</v>
      </c>
      <c r="M2780">
        <v>2.3900000000000001E-2</v>
      </c>
      <c r="N2780">
        <f>CONVERT(O2780,"lbf","N")</f>
        <v>731.28763354882631</v>
      </c>
      <c r="O2780">
        <v>164.4</v>
      </c>
      <c r="P2780">
        <f t="shared" si="43"/>
        <v>6.3869588455371468E-2</v>
      </c>
    </row>
    <row r="2781" spans="1:16" hidden="1" x14ac:dyDescent="0.25">
      <c r="A2781">
        <v>0</v>
      </c>
      <c r="B2781">
        <v>30000</v>
      </c>
      <c r="C2781">
        <f>1.225 * (1 - 0.00000687559 * B2781) ^ 4.2561</f>
        <v>0.45828836225470948</v>
      </c>
      <c r="D2781">
        <f>E2781*(SQRT($C$2/C2781))</f>
        <v>392.38271837407763</v>
      </c>
      <c r="E2781">
        <v>240</v>
      </c>
      <c r="F2781">
        <v>987</v>
      </c>
      <c r="G2781">
        <v>1000</v>
      </c>
      <c r="H2781">
        <f>CONVERT(G2781,"HP","kW")</f>
        <v>745.69987158227025</v>
      </c>
      <c r="I2781">
        <v>0.59689999999999999</v>
      </c>
      <c r="J2781">
        <v>3.0968</v>
      </c>
      <c r="K2781">
        <v>0.8165</v>
      </c>
      <c r="L2781">
        <v>0.3745</v>
      </c>
      <c r="M2781">
        <v>7.22E-2</v>
      </c>
      <c r="N2781">
        <f>CONVERT(O2781,"lbf","N")</f>
        <v>2204.9834546846296</v>
      </c>
      <c r="O2781">
        <v>495.7</v>
      </c>
      <c r="P2781">
        <f t="shared" si="43"/>
        <v>0.19279038718291056</v>
      </c>
    </row>
    <row r="2782" spans="1:16" hidden="1" x14ac:dyDescent="0.25">
      <c r="A2782">
        <v>0</v>
      </c>
      <c r="B2782">
        <v>25000</v>
      </c>
      <c r="C2782">
        <f>1.225 * (1 - 0.00000687559 * B2782) ^ 4.2561</f>
        <v>0.54892259437885793</v>
      </c>
      <c r="D2782">
        <f>E2782*(SQRT($C$2/C2782))</f>
        <v>119.50951328728269</v>
      </c>
      <c r="E2782">
        <v>80</v>
      </c>
      <c r="F2782">
        <v>1215</v>
      </c>
      <c r="G2782">
        <v>2250</v>
      </c>
      <c r="H2782">
        <f>CONVERT(G2782,"HP","kW")</f>
        <v>1677.8247110601083</v>
      </c>
      <c r="I2782">
        <v>0.61280000000000001</v>
      </c>
      <c r="J2782">
        <v>0.76619999999999999</v>
      </c>
      <c r="K2782">
        <v>0.59789999999999999</v>
      </c>
      <c r="L2782">
        <v>0.37640000000000001</v>
      </c>
      <c r="M2782">
        <v>0.30099999999999999</v>
      </c>
      <c r="N2782">
        <f>CONVERT(O2782,"lbf","N")</f>
        <v>16722.644340410327</v>
      </c>
      <c r="O2782">
        <v>3759.4</v>
      </c>
      <c r="P2782">
        <f t="shared" si="43"/>
        <v>0.79968119022316675</v>
      </c>
    </row>
    <row r="2783" spans="1:16" hidden="1" x14ac:dyDescent="0.25">
      <c r="A2783">
        <v>0</v>
      </c>
      <c r="B2783">
        <v>25000</v>
      </c>
      <c r="C2783">
        <f>1.225 * (1 - 0.00000687559 * B2783) ^ 4.2561</f>
        <v>0.54892259437885793</v>
      </c>
      <c r="D2783">
        <f>E2783*(SQRT($C$2/C2783))</f>
        <v>89.632134965462015</v>
      </c>
      <c r="E2783">
        <v>60</v>
      </c>
      <c r="F2783">
        <v>1215</v>
      </c>
      <c r="G2783">
        <v>2250</v>
      </c>
      <c r="H2783">
        <f>CONVERT(G2783,"HP","kW")</f>
        <v>1677.8247110601083</v>
      </c>
      <c r="I2783">
        <v>0.42509999999999998</v>
      </c>
      <c r="J2783">
        <v>0.57469999999999999</v>
      </c>
      <c r="K2783">
        <v>0.58230000000000004</v>
      </c>
      <c r="L2783">
        <v>0.37659999999999999</v>
      </c>
      <c r="M2783">
        <v>0.27860000000000001</v>
      </c>
      <c r="N2783">
        <f>CONVERT(O2783,"lbf","N")</f>
        <v>15468.690667068389</v>
      </c>
      <c r="O2783">
        <v>3477.5</v>
      </c>
      <c r="P2783">
        <f t="shared" si="43"/>
        <v>0.7397769516728625</v>
      </c>
    </row>
    <row r="2784" spans="1:16" hidden="1" x14ac:dyDescent="0.25">
      <c r="A2784">
        <v>0</v>
      </c>
      <c r="B2784">
        <v>25000</v>
      </c>
      <c r="C2784">
        <f>1.225 * (1 - 0.00000687559 * B2784) ^ 4.2561</f>
        <v>0.54892259437885793</v>
      </c>
      <c r="D2784">
        <f>E2784*(SQRT($C$2/C2784))</f>
        <v>0</v>
      </c>
      <c r="E2784">
        <v>0</v>
      </c>
      <c r="F2784">
        <v>1215</v>
      </c>
      <c r="G2784">
        <v>2250</v>
      </c>
      <c r="H2784">
        <f>CONVERT(G2784,"HP","kW")</f>
        <v>1677.8247110601083</v>
      </c>
      <c r="I2784">
        <v>0</v>
      </c>
      <c r="J2784">
        <v>0</v>
      </c>
      <c r="K2784">
        <v>0.55510000000000004</v>
      </c>
      <c r="L2784">
        <v>0.37680000000000002</v>
      </c>
      <c r="M2784">
        <v>0.22470000000000001</v>
      </c>
      <c r="N2784">
        <f>CONVERT(O2784,"lbf","N")</f>
        <v>12472.368587028915</v>
      </c>
      <c r="O2784">
        <v>2803.9</v>
      </c>
      <c r="P2784">
        <f t="shared" si="43"/>
        <v>0.5963375796178344</v>
      </c>
    </row>
    <row r="2785" spans="1:16" hidden="1" x14ac:dyDescent="0.25">
      <c r="A2785">
        <v>0</v>
      </c>
      <c r="B2785">
        <v>25000</v>
      </c>
      <c r="C2785">
        <f>1.225 * (1 - 0.00000687559 * B2785) ^ 4.2561</f>
        <v>0.54892259437885793</v>
      </c>
      <c r="D2785">
        <f>E2785*(SQRT($C$2/C2785))</f>
        <v>29.877378321820672</v>
      </c>
      <c r="E2785">
        <v>20</v>
      </c>
      <c r="F2785">
        <v>1215</v>
      </c>
      <c r="G2785">
        <v>2250</v>
      </c>
      <c r="H2785">
        <f>CONVERT(G2785,"HP","kW")</f>
        <v>1677.8247110601083</v>
      </c>
      <c r="I2785">
        <v>0.121</v>
      </c>
      <c r="J2785">
        <v>0.19159999999999999</v>
      </c>
      <c r="K2785">
        <v>0.56120000000000003</v>
      </c>
      <c r="L2785">
        <v>0.37680000000000002</v>
      </c>
      <c r="M2785">
        <v>0.23799999999999999</v>
      </c>
      <c r="N2785">
        <f>CONVERT(O2785,"lbf","N")</f>
        <v>13207.214797869949</v>
      </c>
      <c r="O2785">
        <v>2969.1</v>
      </c>
      <c r="P2785">
        <f t="shared" si="43"/>
        <v>0.63163481953290868</v>
      </c>
    </row>
    <row r="2786" spans="1:16" hidden="1" x14ac:dyDescent="0.25">
      <c r="A2786">
        <v>0</v>
      </c>
      <c r="B2786">
        <v>25000</v>
      </c>
      <c r="C2786">
        <f>1.225 * (1 - 0.00000687559 * B2786) ^ 4.2561</f>
        <v>0.54892259437885793</v>
      </c>
      <c r="D2786">
        <f>E2786*(SQRT($C$2/C2786))</f>
        <v>149.38689160910337</v>
      </c>
      <c r="E2786">
        <v>100</v>
      </c>
      <c r="F2786">
        <v>1215</v>
      </c>
      <c r="G2786">
        <v>2250</v>
      </c>
      <c r="H2786">
        <f>CONVERT(G2786,"HP","kW")</f>
        <v>1677.8247110601083</v>
      </c>
      <c r="I2786">
        <v>0.72040000000000004</v>
      </c>
      <c r="J2786">
        <v>0.95779999999999998</v>
      </c>
      <c r="K2786">
        <v>0.61750000000000005</v>
      </c>
      <c r="L2786">
        <v>0.37680000000000002</v>
      </c>
      <c r="M2786">
        <v>0.28349999999999997</v>
      </c>
      <c r="N2786">
        <f>CONVERT(O2786,"lbf","N")</f>
        <v>15728.91163156113</v>
      </c>
      <c r="O2786">
        <v>3536</v>
      </c>
      <c r="P2786">
        <f t="shared" si="43"/>
        <v>0.75238853503184699</v>
      </c>
    </row>
    <row r="2787" spans="1:16" hidden="1" x14ac:dyDescent="0.25">
      <c r="A2787">
        <v>0</v>
      </c>
      <c r="B2787">
        <v>25000</v>
      </c>
      <c r="C2787">
        <f>1.225 * (1 - 0.00000687559 * B2787) ^ 4.2561</f>
        <v>0.54892259437885793</v>
      </c>
      <c r="D2787">
        <f>E2787*(SQRT($C$2/C2787))</f>
        <v>179.26426993092403</v>
      </c>
      <c r="E2787">
        <v>120</v>
      </c>
      <c r="F2787">
        <v>1215</v>
      </c>
      <c r="G2787">
        <v>2250</v>
      </c>
      <c r="H2787">
        <f>CONVERT(G2787,"HP","kW")</f>
        <v>1677.8247110601083</v>
      </c>
      <c r="I2787">
        <v>0.7853</v>
      </c>
      <c r="J2787">
        <v>1.1493</v>
      </c>
      <c r="K2787">
        <v>0.64019999999999999</v>
      </c>
      <c r="L2787">
        <v>0.37680000000000002</v>
      </c>
      <c r="M2787">
        <v>0.25750000000000001</v>
      </c>
      <c r="N2787">
        <f>CONVERT(O2787,"lbf","N")</f>
        <v>14287.2430060552</v>
      </c>
      <c r="O2787">
        <v>3211.9</v>
      </c>
      <c r="P2787">
        <f t="shared" si="43"/>
        <v>0.68338641188959659</v>
      </c>
    </row>
    <row r="2788" spans="1:16" hidden="1" x14ac:dyDescent="0.25">
      <c r="A2788">
        <v>0</v>
      </c>
      <c r="B2788">
        <v>25000</v>
      </c>
      <c r="C2788">
        <f>1.225 * (1 - 0.00000687559 * B2788) ^ 4.2561</f>
        <v>0.54892259437885793</v>
      </c>
      <c r="D2788">
        <f>E2788*(SQRT($C$2/C2788))</f>
        <v>209.14164825274472</v>
      </c>
      <c r="E2788">
        <v>140</v>
      </c>
      <c r="F2788">
        <v>1215</v>
      </c>
      <c r="G2788">
        <v>2250</v>
      </c>
      <c r="H2788">
        <f>CONVERT(G2788,"HP","kW")</f>
        <v>1677.8247110601083</v>
      </c>
      <c r="I2788">
        <v>0.82430000000000003</v>
      </c>
      <c r="J2788">
        <v>1.3409</v>
      </c>
      <c r="K2788">
        <v>0.66549999999999998</v>
      </c>
      <c r="L2788">
        <v>0.37680000000000002</v>
      </c>
      <c r="M2788">
        <v>0.23169999999999999</v>
      </c>
      <c r="N2788">
        <f>CONVERT(O2788,"lbf","N")</f>
        <v>12854.026001618266</v>
      </c>
      <c r="O2788">
        <v>2889.7</v>
      </c>
      <c r="P2788">
        <f t="shared" si="43"/>
        <v>0.61491507430997872</v>
      </c>
    </row>
    <row r="2789" spans="1:16" hidden="1" x14ac:dyDescent="0.25">
      <c r="A2789">
        <v>0</v>
      </c>
      <c r="B2789">
        <v>25000</v>
      </c>
      <c r="C2789">
        <f>1.225 * (1 - 0.00000687559 * B2789) ^ 4.2561</f>
        <v>0.54892259437885793</v>
      </c>
      <c r="D2789">
        <f>E2789*(SQRT($C$2/C2789))</f>
        <v>239.01902657456537</v>
      </c>
      <c r="E2789">
        <v>160</v>
      </c>
      <c r="F2789">
        <v>1215</v>
      </c>
      <c r="G2789">
        <v>2250</v>
      </c>
      <c r="H2789">
        <f>CONVERT(G2789,"HP","kW")</f>
        <v>1677.8247110601083</v>
      </c>
      <c r="I2789">
        <v>0.85060000000000002</v>
      </c>
      <c r="J2789">
        <v>1.5324</v>
      </c>
      <c r="K2789">
        <v>0.69320000000000004</v>
      </c>
      <c r="L2789">
        <v>0.37680000000000002</v>
      </c>
      <c r="M2789">
        <v>0.2092</v>
      </c>
      <c r="N2789">
        <f>CONVERT(O2789,"lbf","N")</f>
        <v>11606.744660699225</v>
      </c>
      <c r="O2789">
        <v>2609.3000000000002</v>
      </c>
      <c r="P2789">
        <f t="shared" si="43"/>
        <v>0.55520169851380041</v>
      </c>
    </row>
    <row r="2790" spans="1:16" hidden="1" x14ac:dyDescent="0.25">
      <c r="A2790">
        <v>0</v>
      </c>
      <c r="B2790">
        <v>25000</v>
      </c>
      <c r="C2790">
        <f>1.225 * (1 - 0.00000687559 * B2790) ^ 4.2561</f>
        <v>0.54892259437885793</v>
      </c>
      <c r="D2790">
        <f>E2790*(SQRT($C$2/C2790))</f>
        <v>268.89640489638606</v>
      </c>
      <c r="E2790">
        <v>180</v>
      </c>
      <c r="F2790">
        <v>1215</v>
      </c>
      <c r="G2790">
        <v>2250</v>
      </c>
      <c r="H2790">
        <f>CONVERT(G2790,"HP","kW")</f>
        <v>1677.8247110601083</v>
      </c>
      <c r="I2790">
        <v>0.86529999999999996</v>
      </c>
      <c r="J2790">
        <v>1.724</v>
      </c>
      <c r="K2790">
        <v>0.72309999999999997</v>
      </c>
      <c r="L2790">
        <v>0.37680000000000002</v>
      </c>
      <c r="M2790">
        <v>0.18909999999999999</v>
      </c>
      <c r="N2790">
        <f>CONVERT(O2790,"lbf","N")</f>
        <v>10495.578901207151</v>
      </c>
      <c r="O2790">
        <v>2359.5</v>
      </c>
      <c r="P2790">
        <f t="shared" si="43"/>
        <v>0.50185774946921435</v>
      </c>
    </row>
    <row r="2791" spans="1:16" hidden="1" x14ac:dyDescent="0.25">
      <c r="A2791">
        <v>0</v>
      </c>
      <c r="B2791">
        <v>25000</v>
      </c>
      <c r="C2791">
        <f>1.225 * (1 - 0.00000687559 * B2791) ^ 4.2561</f>
        <v>0.54892259437885793</v>
      </c>
      <c r="D2791">
        <f>E2791*(SQRT($C$2/C2791))</f>
        <v>328.65116154002743</v>
      </c>
      <c r="E2791">
        <v>220</v>
      </c>
      <c r="F2791">
        <v>1215</v>
      </c>
      <c r="G2791">
        <v>2250</v>
      </c>
      <c r="H2791">
        <f>CONVERT(G2791,"HP","kW")</f>
        <v>1677.8247110601083</v>
      </c>
      <c r="I2791">
        <v>0.84550000000000003</v>
      </c>
      <c r="J2791">
        <v>2.1071</v>
      </c>
      <c r="K2791">
        <v>0.78859999999999997</v>
      </c>
      <c r="L2791">
        <v>0.37680000000000002</v>
      </c>
      <c r="M2791">
        <v>0.1512</v>
      </c>
      <c r="N2791">
        <f>CONVERT(O2791,"lbf","N")</f>
        <v>8391.1252550274075</v>
      </c>
      <c r="O2791">
        <v>1886.4</v>
      </c>
      <c r="P2791">
        <f t="shared" si="43"/>
        <v>0.40127388535031844</v>
      </c>
    </row>
    <row r="2792" spans="1:16" hidden="1" x14ac:dyDescent="0.25">
      <c r="A2792">
        <v>0</v>
      </c>
      <c r="B2792">
        <v>25000</v>
      </c>
      <c r="C2792">
        <f>1.225 * (1 - 0.00000687559 * B2792) ^ 4.2561</f>
        <v>0.54892259437885793</v>
      </c>
      <c r="D2792">
        <f>E2792*(SQRT($C$2/C2792))</f>
        <v>358.52853986184806</v>
      </c>
      <c r="E2792">
        <v>240</v>
      </c>
      <c r="F2792">
        <v>1215</v>
      </c>
      <c r="G2792">
        <v>2250</v>
      </c>
      <c r="H2792">
        <f>CONVERT(G2792,"HP","kW")</f>
        <v>1677.8247110601083</v>
      </c>
      <c r="I2792">
        <v>0.79800000000000004</v>
      </c>
      <c r="J2792">
        <v>2.2986</v>
      </c>
      <c r="K2792">
        <v>0.82379999999999998</v>
      </c>
      <c r="L2792">
        <v>0.37680000000000002</v>
      </c>
      <c r="M2792">
        <v>0.1308</v>
      </c>
      <c r="N2792">
        <f>CONVERT(O2792,"lbf","N")</f>
        <v>7259.05285394361</v>
      </c>
      <c r="O2792">
        <v>1631.9</v>
      </c>
      <c r="P2792">
        <f t="shared" si="43"/>
        <v>0.34713375796178342</v>
      </c>
    </row>
    <row r="2793" spans="1:16" hidden="1" x14ac:dyDescent="0.25">
      <c r="A2793">
        <v>0</v>
      </c>
      <c r="B2793">
        <v>25000</v>
      </c>
      <c r="C2793">
        <f>1.225 * (1 - 0.00000687559 * B2793) ^ 4.2561</f>
        <v>0.54892259437885793</v>
      </c>
      <c r="D2793">
        <f>E2793*(SQRT($C$2/C2793))</f>
        <v>298.77378321820675</v>
      </c>
      <c r="E2793">
        <v>200</v>
      </c>
      <c r="F2793">
        <v>1215</v>
      </c>
      <c r="G2793">
        <v>2250</v>
      </c>
      <c r="H2793">
        <f>CONVERT(G2793,"HP","kW")</f>
        <v>1677.8247110601083</v>
      </c>
      <c r="I2793">
        <v>0.86250000000000004</v>
      </c>
      <c r="J2793">
        <v>1.9155</v>
      </c>
      <c r="K2793">
        <v>0.75490000000000002</v>
      </c>
      <c r="L2793">
        <v>0.37690000000000001</v>
      </c>
      <c r="M2793">
        <v>0.16969999999999999</v>
      </c>
      <c r="N2793">
        <f>CONVERT(O2793,"lbf","N")</f>
        <v>9414.6610486988484</v>
      </c>
      <c r="O2793">
        <v>2116.5</v>
      </c>
      <c r="P2793">
        <f t="shared" si="43"/>
        <v>0.45025205624834169</v>
      </c>
    </row>
    <row r="2794" spans="1:16" hidden="1" x14ac:dyDescent="0.25">
      <c r="A2794">
        <v>0</v>
      </c>
      <c r="B2794">
        <v>25000</v>
      </c>
      <c r="C2794">
        <f>1.225 * (1 - 0.00000687559 * B2794) ^ 4.2561</f>
        <v>0.54892259437885793</v>
      </c>
      <c r="D2794">
        <f>E2794*(SQRT($C$2/C2794))</f>
        <v>388.40591818366875</v>
      </c>
      <c r="E2794">
        <v>260</v>
      </c>
      <c r="F2794">
        <v>1215</v>
      </c>
      <c r="G2794">
        <v>2250</v>
      </c>
      <c r="H2794">
        <f>CONVERT(G2794,"HP","kW")</f>
        <v>1677.8247110601083</v>
      </c>
      <c r="I2794">
        <v>0.69899999999999995</v>
      </c>
      <c r="J2794">
        <v>2.4902000000000002</v>
      </c>
      <c r="K2794">
        <v>0.86050000000000004</v>
      </c>
      <c r="L2794">
        <v>0.37690000000000001</v>
      </c>
      <c r="M2794">
        <v>0.10580000000000001</v>
      </c>
      <c r="N2794">
        <f>CONVERT(O2794,"lbf","N")</f>
        <v>5869.8732434977555</v>
      </c>
      <c r="O2794">
        <v>1319.6</v>
      </c>
      <c r="P2794">
        <f t="shared" si="43"/>
        <v>0.28071106394269035</v>
      </c>
    </row>
    <row r="2795" spans="1:16" hidden="1" x14ac:dyDescent="0.25">
      <c r="A2795">
        <v>0</v>
      </c>
      <c r="B2795">
        <v>25000</v>
      </c>
      <c r="C2795">
        <f>1.225 * (1 - 0.00000687559 * B2795) ^ 4.2561</f>
        <v>0.54892259437885793</v>
      </c>
      <c r="D2795">
        <f>E2795*(SQRT($C$2/C2795))</f>
        <v>59.754756643641343</v>
      </c>
      <c r="E2795">
        <v>40</v>
      </c>
      <c r="F2795">
        <v>1215</v>
      </c>
      <c r="G2795">
        <v>2250</v>
      </c>
      <c r="H2795">
        <f>CONVERT(G2795,"HP","kW")</f>
        <v>1677.8247110601083</v>
      </c>
      <c r="I2795">
        <v>0.2606</v>
      </c>
      <c r="J2795">
        <v>0.3831</v>
      </c>
      <c r="K2795">
        <v>0.57010000000000005</v>
      </c>
      <c r="L2795">
        <v>0.37709999999999999</v>
      </c>
      <c r="M2795">
        <v>0.25650000000000001</v>
      </c>
      <c r="N2795">
        <f>CONVERT(O2795,"lbf","N")</f>
        <v>14221.409326149344</v>
      </c>
      <c r="O2795">
        <v>3197.1</v>
      </c>
      <c r="P2795">
        <f t="shared" si="43"/>
        <v>0.68019093078758952</v>
      </c>
    </row>
    <row r="2796" spans="1:16" hidden="1" x14ac:dyDescent="0.25">
      <c r="A2796">
        <v>0</v>
      </c>
      <c r="B2796">
        <v>10000</v>
      </c>
      <c r="C2796">
        <f>1.225 * (1 - 0.00000687559 * B2796) ^ 4.2561</f>
        <v>0.90462252368600637</v>
      </c>
      <c r="D2796">
        <f>E2796*(SQRT($C$2/C2796))</f>
        <v>0</v>
      </c>
      <c r="E2796">
        <v>0</v>
      </c>
      <c r="F2796">
        <v>987</v>
      </c>
      <c r="G2796">
        <v>2000</v>
      </c>
      <c r="H2796">
        <f>CONVERT(G2796,"HP","kW")</f>
        <v>1491.3997431645405</v>
      </c>
      <c r="I2796">
        <v>0</v>
      </c>
      <c r="J2796">
        <v>0</v>
      </c>
      <c r="K2796">
        <v>0.42659999999999998</v>
      </c>
      <c r="L2796">
        <v>0.37890000000000001</v>
      </c>
      <c r="M2796">
        <v>0.2016</v>
      </c>
      <c r="N2796">
        <f>CONVERT(O2796,"lbf","N")</f>
        <v>12175.227383129513</v>
      </c>
      <c r="O2796">
        <v>2737.1</v>
      </c>
      <c r="P2796">
        <f t="shared" si="43"/>
        <v>0.53206650831353919</v>
      </c>
    </row>
    <row r="2797" spans="1:16" hidden="1" x14ac:dyDescent="0.25">
      <c r="A2797">
        <v>0</v>
      </c>
      <c r="B2797">
        <v>10000</v>
      </c>
      <c r="C2797">
        <f>1.225 * (1 - 0.00000687559 * B2797) ^ 4.2561</f>
        <v>0.90462252368600637</v>
      </c>
      <c r="D2797">
        <f>E2797*(SQRT($C$2/C2797))</f>
        <v>69.820924711962206</v>
      </c>
      <c r="E2797">
        <v>60</v>
      </c>
      <c r="F2797">
        <v>987</v>
      </c>
      <c r="G2797">
        <v>2000</v>
      </c>
      <c r="H2797">
        <f>CONVERT(G2797,"HP","kW")</f>
        <v>1491.3997431645405</v>
      </c>
      <c r="I2797">
        <v>0.40570000000000001</v>
      </c>
      <c r="J2797">
        <v>0.55110000000000003</v>
      </c>
      <c r="K2797">
        <v>0.44490000000000002</v>
      </c>
      <c r="L2797">
        <v>0.37890000000000001</v>
      </c>
      <c r="M2797">
        <v>0.27900000000000003</v>
      </c>
      <c r="N2797">
        <f>CONVERT(O2797,"lbf","N")</f>
        <v>16844.970434829989</v>
      </c>
      <c r="O2797">
        <v>3786.9</v>
      </c>
      <c r="P2797">
        <f t="shared" si="43"/>
        <v>0.73634204275534443</v>
      </c>
    </row>
    <row r="2798" spans="1:16" hidden="1" x14ac:dyDescent="0.25">
      <c r="A2798">
        <v>0</v>
      </c>
      <c r="B2798">
        <v>10000</v>
      </c>
      <c r="C2798">
        <f>1.225 * (1 - 0.00000687559 * B2798) ^ 4.2561</f>
        <v>0.90462252368600637</v>
      </c>
      <c r="D2798">
        <f>E2798*(SQRT($C$2/C2798))</f>
        <v>23.273641570654068</v>
      </c>
      <c r="E2798">
        <v>20</v>
      </c>
      <c r="F2798">
        <v>987</v>
      </c>
      <c r="G2798">
        <v>2000</v>
      </c>
      <c r="H2798">
        <f>CONVERT(G2798,"HP","kW")</f>
        <v>1491.3997431645405</v>
      </c>
      <c r="I2798">
        <v>0.1096</v>
      </c>
      <c r="J2798">
        <v>0.1837</v>
      </c>
      <c r="K2798">
        <v>0.4304</v>
      </c>
      <c r="L2798">
        <v>0.37909999999999999</v>
      </c>
      <c r="M2798">
        <v>0.22620000000000001</v>
      </c>
      <c r="N2798">
        <f>CONVERT(O2798,"lbf","N")</f>
        <v>13652.926603719054</v>
      </c>
      <c r="O2798">
        <v>3069.3</v>
      </c>
      <c r="P2798">
        <f t="shared" si="43"/>
        <v>0.59667633869691383</v>
      </c>
    </row>
    <row r="2799" spans="1:16" hidden="1" x14ac:dyDescent="0.25">
      <c r="A2799">
        <v>0</v>
      </c>
      <c r="B2799">
        <v>10000</v>
      </c>
      <c r="C2799">
        <f>1.225 * (1 - 0.00000687559 * B2799) ^ 4.2561</f>
        <v>0.90462252368600637</v>
      </c>
      <c r="D2799">
        <f>E2799*(SQRT($C$2/C2799))</f>
        <v>46.547283141308135</v>
      </c>
      <c r="E2799">
        <v>40</v>
      </c>
      <c r="F2799">
        <v>987</v>
      </c>
      <c r="G2799">
        <v>2000</v>
      </c>
      <c r="H2799">
        <f>CONVERT(G2799,"HP","kW")</f>
        <v>1491.3997431645405</v>
      </c>
      <c r="I2799">
        <v>0.2447</v>
      </c>
      <c r="J2799">
        <v>0.3674</v>
      </c>
      <c r="K2799">
        <v>0.43630000000000002</v>
      </c>
      <c r="L2799">
        <v>0.37909999999999999</v>
      </c>
      <c r="M2799">
        <v>0.25259999999999999</v>
      </c>
      <c r="N2799">
        <f>CONVERT(O2799,"lbf","N")</f>
        <v>15242.27618685163</v>
      </c>
      <c r="O2799">
        <v>3426.6</v>
      </c>
      <c r="P2799">
        <f t="shared" si="43"/>
        <v>0.66631495647586392</v>
      </c>
    </row>
    <row r="2800" spans="1:16" hidden="1" x14ac:dyDescent="0.25">
      <c r="A2800">
        <v>0</v>
      </c>
      <c r="B2800">
        <v>10000</v>
      </c>
      <c r="C2800">
        <f>1.225 * (1 - 0.00000687559 * B2800) ^ 4.2561</f>
        <v>0.90462252368600637</v>
      </c>
      <c r="D2800">
        <f>E2800*(SQRT($C$2/C2800))</f>
        <v>139.64184942392441</v>
      </c>
      <c r="E2800">
        <v>120</v>
      </c>
      <c r="F2800">
        <v>987</v>
      </c>
      <c r="G2800">
        <v>2000</v>
      </c>
      <c r="H2800">
        <f>CONVERT(G2800,"HP","kW")</f>
        <v>1491.3997431645405</v>
      </c>
      <c r="I2800">
        <v>0.7782</v>
      </c>
      <c r="J2800">
        <v>1.1021000000000001</v>
      </c>
      <c r="K2800">
        <v>0.48599999999999999</v>
      </c>
      <c r="L2800">
        <v>0.37909999999999999</v>
      </c>
      <c r="M2800">
        <v>0.26769999999999999</v>
      </c>
      <c r="N2800">
        <f>CONVERT(O2800,"lbf","N")</f>
        <v>16155.940906626136</v>
      </c>
      <c r="O2800">
        <v>3632</v>
      </c>
      <c r="P2800">
        <f t="shared" si="43"/>
        <v>0.70614613558427852</v>
      </c>
    </row>
    <row r="2801" spans="1:16" hidden="1" x14ac:dyDescent="0.25">
      <c r="A2801">
        <v>0</v>
      </c>
      <c r="B2801">
        <v>10000</v>
      </c>
      <c r="C2801">
        <f>1.225 * (1 - 0.00000687559 * B2801) ^ 4.2561</f>
        <v>0.90462252368600637</v>
      </c>
      <c r="D2801">
        <f>E2801*(SQRT($C$2/C2801))</f>
        <v>93.09456628261627</v>
      </c>
      <c r="E2801">
        <v>80</v>
      </c>
      <c r="F2801">
        <v>987</v>
      </c>
      <c r="G2801">
        <v>2000</v>
      </c>
      <c r="H2801">
        <f>CONVERT(G2801,"HP","kW")</f>
        <v>1491.3997431645405</v>
      </c>
      <c r="I2801">
        <v>0.59309999999999996</v>
      </c>
      <c r="J2801">
        <v>0.73470000000000002</v>
      </c>
      <c r="K2801">
        <v>0.45590000000000003</v>
      </c>
      <c r="L2801">
        <v>0.37919999999999998</v>
      </c>
      <c r="M2801">
        <v>0.30609999999999998</v>
      </c>
      <c r="N2801">
        <f>CONVERT(O2801,"lbf","N")</f>
        <v>18469.905790884648</v>
      </c>
      <c r="O2801">
        <v>4152.2</v>
      </c>
      <c r="P2801">
        <f t="shared" si="43"/>
        <v>0.80722573839662448</v>
      </c>
    </row>
    <row r="2802" spans="1:16" hidden="1" x14ac:dyDescent="0.25">
      <c r="A2802">
        <v>0</v>
      </c>
      <c r="B2802">
        <v>10000</v>
      </c>
      <c r="C2802">
        <f>1.225 * (1 - 0.00000687559 * B2802) ^ 4.2561</f>
        <v>0.90462252368600637</v>
      </c>
      <c r="D2802">
        <f>E2802*(SQRT($C$2/C2802))</f>
        <v>116.36820785327033</v>
      </c>
      <c r="E2802">
        <v>100</v>
      </c>
      <c r="F2802">
        <v>987</v>
      </c>
      <c r="G2802">
        <v>2000</v>
      </c>
      <c r="H2802">
        <f>CONVERT(G2802,"HP","kW")</f>
        <v>1491.3997431645405</v>
      </c>
      <c r="I2802">
        <v>0.71519999999999995</v>
      </c>
      <c r="J2802">
        <v>0.91839999999999999</v>
      </c>
      <c r="K2802">
        <v>0.4698</v>
      </c>
      <c r="L2802">
        <v>0.37919999999999998</v>
      </c>
      <c r="M2802">
        <v>0.29530000000000001</v>
      </c>
      <c r="N2802">
        <f>CONVERT(O2802,"lbf","N")</f>
        <v>17818.686146410513</v>
      </c>
      <c r="O2802">
        <v>4005.8</v>
      </c>
      <c r="P2802">
        <f t="shared" si="43"/>
        <v>0.7787447257383967</v>
      </c>
    </row>
    <row r="2803" spans="1:16" hidden="1" x14ac:dyDescent="0.25">
      <c r="A2803">
        <v>0</v>
      </c>
      <c r="B2803">
        <v>10000</v>
      </c>
      <c r="C2803">
        <f>1.225 * (1 - 0.00000687559 * B2803) ^ 4.2561</f>
        <v>0.90462252368600637</v>
      </c>
      <c r="D2803">
        <f>E2803*(SQRT($C$2/C2803))</f>
        <v>162.91549099457848</v>
      </c>
      <c r="E2803">
        <v>140</v>
      </c>
      <c r="F2803">
        <v>987</v>
      </c>
      <c r="G2803">
        <v>2000</v>
      </c>
      <c r="H2803">
        <f>CONVERT(G2803,"HP","kW")</f>
        <v>1491.3997431645405</v>
      </c>
      <c r="I2803">
        <v>0.81799999999999995</v>
      </c>
      <c r="J2803">
        <v>1.2858000000000001</v>
      </c>
      <c r="K2803">
        <v>0.50409999999999999</v>
      </c>
      <c r="L2803">
        <v>0.37919999999999998</v>
      </c>
      <c r="M2803">
        <v>0.2412</v>
      </c>
      <c r="N2803">
        <f>CONVERT(O2803,"lbf","N")</f>
        <v>14557.250058101514</v>
      </c>
      <c r="O2803">
        <v>3272.6</v>
      </c>
      <c r="P2803">
        <f t="shared" si="43"/>
        <v>0.63607594936708867</v>
      </c>
    </row>
    <row r="2804" spans="1:16" hidden="1" x14ac:dyDescent="0.25">
      <c r="A2804">
        <v>0</v>
      </c>
      <c r="B2804">
        <v>10000</v>
      </c>
      <c r="C2804">
        <f>1.225 * (1 - 0.00000687559 * B2804) ^ 4.2561</f>
        <v>0.90462252368600637</v>
      </c>
      <c r="D2804">
        <f>E2804*(SQRT($C$2/C2804))</f>
        <v>186.18913256523254</v>
      </c>
      <c r="E2804">
        <v>160</v>
      </c>
      <c r="F2804">
        <v>987</v>
      </c>
      <c r="G2804">
        <v>2000</v>
      </c>
      <c r="H2804">
        <f>CONVERT(G2804,"HP","kW")</f>
        <v>1491.3997431645405</v>
      </c>
      <c r="I2804">
        <v>0.84619999999999995</v>
      </c>
      <c r="J2804">
        <v>1.4695</v>
      </c>
      <c r="K2804">
        <v>0.52390000000000003</v>
      </c>
      <c r="L2804">
        <v>0.37919999999999998</v>
      </c>
      <c r="M2804">
        <v>0.21829999999999999</v>
      </c>
      <c r="N2804">
        <f>CONVERT(O2804,"lbf","N")</f>
        <v>13175.187602240076</v>
      </c>
      <c r="O2804">
        <v>2961.9</v>
      </c>
      <c r="P2804">
        <f t="shared" si="43"/>
        <v>0.57568565400843885</v>
      </c>
    </row>
    <row r="2805" spans="1:16" hidden="1" x14ac:dyDescent="0.25">
      <c r="A2805">
        <v>0</v>
      </c>
      <c r="B2805">
        <v>10000</v>
      </c>
      <c r="C2805">
        <f>1.225 * (1 - 0.00000687559 * B2805) ^ 4.2561</f>
        <v>0.90462252368600637</v>
      </c>
      <c r="D2805">
        <f>E2805*(SQRT($C$2/C2805))</f>
        <v>209.4627741358866</v>
      </c>
      <c r="E2805">
        <v>180</v>
      </c>
      <c r="F2805">
        <v>987</v>
      </c>
      <c r="G2805">
        <v>2000</v>
      </c>
      <c r="H2805">
        <f>CONVERT(G2805,"HP","kW")</f>
        <v>1491.3997431645405</v>
      </c>
      <c r="I2805">
        <v>0.86570000000000003</v>
      </c>
      <c r="J2805">
        <v>1.6532</v>
      </c>
      <c r="K2805">
        <v>0.54530000000000001</v>
      </c>
      <c r="L2805">
        <v>0.37919999999999998</v>
      </c>
      <c r="M2805">
        <v>0.1986</v>
      </c>
      <c r="N2805">
        <f>CONVERT(O2805,"lbf","N")</f>
        <v>11981.729742865682</v>
      </c>
      <c r="O2805">
        <v>2693.6</v>
      </c>
      <c r="P2805">
        <f t="shared" si="43"/>
        <v>0.52373417721518989</v>
      </c>
    </row>
    <row r="2806" spans="1:16" hidden="1" x14ac:dyDescent="0.25">
      <c r="A2806">
        <v>0</v>
      </c>
      <c r="B2806">
        <v>10000</v>
      </c>
      <c r="C2806">
        <f>1.225 * (1 - 0.00000687559 * B2806) ^ 4.2561</f>
        <v>0.90462252368600637</v>
      </c>
      <c r="D2806">
        <f>E2806*(SQRT($C$2/C2806))</f>
        <v>232.73641570654067</v>
      </c>
      <c r="E2806">
        <v>200</v>
      </c>
      <c r="F2806">
        <v>987</v>
      </c>
      <c r="G2806">
        <v>2000</v>
      </c>
      <c r="H2806">
        <f>CONVERT(G2806,"HP","kW")</f>
        <v>1491.3997431645405</v>
      </c>
      <c r="I2806">
        <v>0.87880000000000003</v>
      </c>
      <c r="J2806">
        <v>1.8368</v>
      </c>
      <c r="K2806">
        <v>0.56810000000000005</v>
      </c>
      <c r="L2806">
        <v>0.37919999999999998</v>
      </c>
      <c r="M2806">
        <v>0.18140000000000001</v>
      </c>
      <c r="N2806">
        <f>CONVERT(O2806,"lbf","N")</f>
        <v>10946.628572994567</v>
      </c>
      <c r="O2806">
        <v>2460.9</v>
      </c>
      <c r="P2806">
        <f t="shared" si="43"/>
        <v>0.47837552742616035</v>
      </c>
    </row>
    <row r="2807" spans="1:16" hidden="1" x14ac:dyDescent="0.25">
      <c r="A2807">
        <v>0</v>
      </c>
      <c r="B2807">
        <v>10000</v>
      </c>
      <c r="C2807">
        <f>1.225 * (1 - 0.00000687559 * B2807) ^ 4.2561</f>
        <v>0.90462252368600637</v>
      </c>
      <c r="D2807">
        <f>E2807*(SQRT($C$2/C2807))</f>
        <v>256.01005727719473</v>
      </c>
      <c r="E2807">
        <v>220</v>
      </c>
      <c r="F2807">
        <v>987</v>
      </c>
      <c r="G2807">
        <v>2000</v>
      </c>
      <c r="H2807">
        <f>CONVERT(G2807,"HP","kW")</f>
        <v>1491.3997431645405</v>
      </c>
      <c r="I2807">
        <v>0.88690000000000002</v>
      </c>
      <c r="J2807">
        <v>2.0205000000000002</v>
      </c>
      <c r="K2807">
        <v>0.59230000000000005</v>
      </c>
      <c r="L2807">
        <v>0.37919999999999998</v>
      </c>
      <c r="M2807">
        <v>0.16639999999999999</v>
      </c>
      <c r="N2807">
        <f>CONVERT(O2807,"lbf","N")</f>
        <v>10043.194762935158</v>
      </c>
      <c r="O2807">
        <v>2257.8000000000002</v>
      </c>
      <c r="P2807">
        <f t="shared" si="43"/>
        <v>0.43881856540084391</v>
      </c>
    </row>
    <row r="2808" spans="1:16" hidden="1" x14ac:dyDescent="0.25">
      <c r="A2808">
        <v>0</v>
      </c>
      <c r="B2808">
        <v>10000</v>
      </c>
      <c r="C2808">
        <f>1.225 * (1 - 0.00000687559 * B2808) ^ 4.2561</f>
        <v>0.90462252368600637</v>
      </c>
      <c r="D2808">
        <f>E2808*(SQRT($C$2/C2808))</f>
        <v>279.28369884784883</v>
      </c>
      <c r="E2808">
        <v>240</v>
      </c>
      <c r="F2808">
        <v>987</v>
      </c>
      <c r="G2808">
        <v>2000</v>
      </c>
      <c r="H2808">
        <f>CONVERT(G2808,"HP","kW")</f>
        <v>1491.3997431645405</v>
      </c>
      <c r="I2808">
        <v>0.89070000000000005</v>
      </c>
      <c r="J2808">
        <v>2.2042000000000002</v>
      </c>
      <c r="K2808">
        <v>0.61770000000000003</v>
      </c>
      <c r="L2808">
        <v>0.37919999999999998</v>
      </c>
      <c r="M2808">
        <v>0.1532</v>
      </c>
      <c r="N2808">
        <f>CONVERT(O2808,"lbf","N")</f>
        <v>9246.5182716420004</v>
      </c>
      <c r="O2808">
        <v>2078.6999999999998</v>
      </c>
      <c r="P2808">
        <f t="shared" si="43"/>
        <v>0.40400843881856541</v>
      </c>
    </row>
    <row r="2809" spans="1:16" hidden="1" x14ac:dyDescent="0.25">
      <c r="A2809">
        <v>0</v>
      </c>
      <c r="B2809">
        <v>10000</v>
      </c>
      <c r="C2809">
        <f>1.225 * (1 - 0.00000687559 * B2809) ^ 4.2561</f>
        <v>0.90462252368600637</v>
      </c>
      <c r="D2809">
        <f>E2809*(SQRT($C$2/C2809))</f>
        <v>302.55734041850286</v>
      </c>
      <c r="E2809">
        <v>260</v>
      </c>
      <c r="F2809">
        <v>987</v>
      </c>
      <c r="G2809">
        <v>2000</v>
      </c>
      <c r="H2809">
        <f>CONVERT(G2809,"HP","kW")</f>
        <v>1491.3997431645405</v>
      </c>
      <c r="I2809">
        <v>0.89049999999999996</v>
      </c>
      <c r="J2809">
        <v>2.3879000000000001</v>
      </c>
      <c r="K2809">
        <v>0.64410000000000001</v>
      </c>
      <c r="L2809">
        <v>0.37919999999999998</v>
      </c>
      <c r="M2809">
        <v>0.1414</v>
      </c>
      <c r="N2809">
        <f>CONVERT(O2809,"lbf","N")</f>
        <v>8533.0235245542171</v>
      </c>
      <c r="O2809">
        <v>1918.3</v>
      </c>
      <c r="P2809">
        <f t="shared" si="43"/>
        <v>0.37289029535864981</v>
      </c>
    </row>
    <row r="2810" spans="1:16" hidden="1" x14ac:dyDescent="0.25">
      <c r="A2810">
        <v>0</v>
      </c>
      <c r="B2810">
        <v>0</v>
      </c>
      <c r="C2810">
        <f>1.225 * (1 - 0.00000687559 * B2810) ^ 4.2561</f>
        <v>1.2250000000000001</v>
      </c>
      <c r="D2810">
        <f>E2810*(SQRT($C$2/C2810))</f>
        <v>160</v>
      </c>
      <c r="E2810">
        <v>160</v>
      </c>
      <c r="F2810">
        <v>987</v>
      </c>
      <c r="G2810">
        <v>2750</v>
      </c>
      <c r="H2810">
        <f>CONVERT(G2810,"HP","kW")</f>
        <v>2050.6746468512433</v>
      </c>
      <c r="I2810">
        <v>0.81220000000000003</v>
      </c>
      <c r="J2810">
        <v>1.2627999999999999</v>
      </c>
      <c r="K2810">
        <v>0.48409999999999997</v>
      </c>
      <c r="L2810">
        <v>0.3846</v>
      </c>
      <c r="M2810">
        <v>0.24729999999999999</v>
      </c>
      <c r="N2810">
        <f>CONVERT(O2810,"lbf","N")</f>
        <v>20234.070483496966</v>
      </c>
      <c r="O2810">
        <v>4548.8</v>
      </c>
      <c r="P2810">
        <f t="shared" si="43"/>
        <v>0.64300572022880909</v>
      </c>
    </row>
    <row r="2811" spans="1:16" hidden="1" x14ac:dyDescent="0.25">
      <c r="A2811">
        <v>0</v>
      </c>
      <c r="B2811">
        <v>0</v>
      </c>
      <c r="C2811">
        <f>1.225 * (1 - 0.00000687559 * B2811) ^ 4.2561</f>
        <v>1.2250000000000001</v>
      </c>
      <c r="D2811">
        <f>E2811*(SQRT($C$2/C2811))</f>
        <v>20</v>
      </c>
      <c r="E2811">
        <v>20</v>
      </c>
      <c r="F2811">
        <v>987</v>
      </c>
      <c r="G2811">
        <v>2750</v>
      </c>
      <c r="H2811">
        <f>CONVERT(G2811,"HP","kW")</f>
        <v>2050.6746468512433</v>
      </c>
      <c r="I2811">
        <v>8.9099999999999999E-2</v>
      </c>
      <c r="J2811">
        <v>0.1578</v>
      </c>
      <c r="K2811">
        <v>0.41489999999999999</v>
      </c>
      <c r="L2811">
        <v>0.38490000000000002</v>
      </c>
      <c r="M2811">
        <v>0.21729999999999999</v>
      </c>
      <c r="N2811">
        <f>CONVERT(O2811,"lbf","N")</f>
        <v>17757.745510281442</v>
      </c>
      <c r="O2811">
        <v>3992.1</v>
      </c>
      <c r="P2811">
        <f t="shared" si="43"/>
        <v>0.5645622239542738</v>
      </c>
    </row>
    <row r="2812" spans="1:16" hidden="1" x14ac:dyDescent="0.25">
      <c r="A2812">
        <v>0</v>
      </c>
      <c r="B2812">
        <v>0</v>
      </c>
      <c r="C2812">
        <f>1.225 * (1 - 0.00000687559 * B2812) ^ 4.2561</f>
        <v>1.2250000000000001</v>
      </c>
      <c r="D2812">
        <f>E2812*(SQRT($C$2/C2812))</f>
        <v>0</v>
      </c>
      <c r="E2812">
        <v>0</v>
      </c>
      <c r="F2812">
        <v>987</v>
      </c>
      <c r="G2812">
        <v>2750</v>
      </c>
      <c r="H2812">
        <f>CONVERT(G2812,"HP","kW")</f>
        <v>2050.6746468512433</v>
      </c>
      <c r="I2812">
        <v>0</v>
      </c>
      <c r="J2812">
        <v>0</v>
      </c>
      <c r="K2812">
        <v>0.4118</v>
      </c>
      <c r="L2812">
        <v>0.38500000000000001</v>
      </c>
      <c r="M2812">
        <v>0.19650000000000001</v>
      </c>
      <c r="N2812">
        <f>CONVERT(O2812,"lbf","N")</f>
        <v>16058.969675413457</v>
      </c>
      <c r="O2812">
        <v>3610.2</v>
      </c>
      <c r="P2812">
        <f t="shared" si="43"/>
        <v>0.51038961038961039</v>
      </c>
    </row>
    <row r="2813" spans="1:16" hidden="1" x14ac:dyDescent="0.25">
      <c r="A2813">
        <v>0</v>
      </c>
      <c r="B2813">
        <v>0</v>
      </c>
      <c r="C2813">
        <f>1.225 * (1 - 0.00000687559 * B2813) ^ 4.2561</f>
        <v>1.2250000000000001</v>
      </c>
      <c r="D2813">
        <f>E2813*(SQRT($C$2/C2813))</f>
        <v>40</v>
      </c>
      <c r="E2813">
        <v>40</v>
      </c>
      <c r="F2813">
        <v>987</v>
      </c>
      <c r="G2813">
        <v>2750</v>
      </c>
      <c r="H2813">
        <f>CONVERT(G2813,"HP","kW")</f>
        <v>2050.6746468512433</v>
      </c>
      <c r="I2813">
        <v>0.19769999999999999</v>
      </c>
      <c r="J2813">
        <v>0.31569999999999998</v>
      </c>
      <c r="K2813">
        <v>0.41930000000000001</v>
      </c>
      <c r="L2813">
        <v>0.38500000000000001</v>
      </c>
      <c r="M2813">
        <v>0.24099999999999999</v>
      </c>
      <c r="N2813">
        <f>CONVERT(O2813,"lbf","N")</f>
        <v>19697.614956696547</v>
      </c>
      <c r="O2813">
        <v>4428.2</v>
      </c>
      <c r="P2813">
        <f t="shared" si="43"/>
        <v>0.62597402597402596</v>
      </c>
    </row>
    <row r="2814" spans="1:16" hidden="1" x14ac:dyDescent="0.25">
      <c r="A2814">
        <v>0</v>
      </c>
      <c r="B2814">
        <v>0</v>
      </c>
      <c r="C2814">
        <f>1.225 * (1 - 0.00000687559 * B2814) ^ 4.2561</f>
        <v>1.2250000000000001</v>
      </c>
      <c r="D2814">
        <f>E2814*(SQRT($C$2/C2814))</f>
        <v>60</v>
      </c>
      <c r="E2814">
        <v>60</v>
      </c>
      <c r="F2814">
        <v>987</v>
      </c>
      <c r="G2814">
        <v>2750</v>
      </c>
      <c r="H2814">
        <f>CONVERT(G2814,"HP","kW")</f>
        <v>2050.6746468512433</v>
      </c>
      <c r="I2814">
        <v>0.32590000000000002</v>
      </c>
      <c r="J2814">
        <v>0.47349999999999998</v>
      </c>
      <c r="K2814">
        <v>0.42559999999999998</v>
      </c>
      <c r="L2814">
        <v>0.38500000000000001</v>
      </c>
      <c r="M2814">
        <v>0.26490000000000002</v>
      </c>
      <c r="N2814">
        <f>CONVERT(O2814,"lbf","N")</f>
        <v>21650.384245795904</v>
      </c>
      <c r="O2814">
        <v>4867.2</v>
      </c>
      <c r="P2814">
        <f t="shared" si="43"/>
        <v>0.68805194805194814</v>
      </c>
    </row>
    <row r="2815" spans="1:16" hidden="1" x14ac:dyDescent="0.25">
      <c r="A2815">
        <v>0</v>
      </c>
      <c r="B2815">
        <v>0</v>
      </c>
      <c r="C2815">
        <f>1.225 * (1 - 0.00000687559 * B2815) ^ 4.2561</f>
        <v>1.2250000000000001</v>
      </c>
      <c r="D2815">
        <f>E2815*(SQRT($C$2/C2815))</f>
        <v>80</v>
      </c>
      <c r="E2815">
        <v>80</v>
      </c>
      <c r="F2815">
        <v>987</v>
      </c>
      <c r="G2815">
        <v>2750</v>
      </c>
      <c r="H2815">
        <f>CONVERT(G2815,"HP","kW")</f>
        <v>2050.6746468512433</v>
      </c>
      <c r="I2815">
        <v>0.47299999999999998</v>
      </c>
      <c r="J2815">
        <v>0.63139999999999996</v>
      </c>
      <c r="K2815">
        <v>0.43369999999999997</v>
      </c>
      <c r="L2815">
        <v>0.38500000000000001</v>
      </c>
      <c r="M2815">
        <v>0.28839999999999999</v>
      </c>
      <c r="N2815">
        <f>CONVERT(O2815,"lbf","N")</f>
        <v>23567.56776197318</v>
      </c>
      <c r="O2815">
        <v>5298.2</v>
      </c>
      <c r="P2815">
        <f t="shared" si="43"/>
        <v>0.74909090909090903</v>
      </c>
    </row>
    <row r="2816" spans="1:16" hidden="1" x14ac:dyDescent="0.25">
      <c r="A2816">
        <v>0</v>
      </c>
      <c r="B2816">
        <v>0</v>
      </c>
      <c r="C2816">
        <f>1.225 * (1 - 0.00000687559 * B2816) ^ 4.2561</f>
        <v>1.2250000000000001</v>
      </c>
      <c r="D2816">
        <f>E2816*(SQRT($C$2/C2816))</f>
        <v>100</v>
      </c>
      <c r="E2816">
        <v>100</v>
      </c>
      <c r="F2816">
        <v>987</v>
      </c>
      <c r="G2816">
        <v>2750</v>
      </c>
      <c r="H2816">
        <f>CONVERT(G2816,"HP","kW")</f>
        <v>2050.6746468512433</v>
      </c>
      <c r="I2816">
        <v>0.63380000000000003</v>
      </c>
      <c r="J2816">
        <v>0.78920000000000001</v>
      </c>
      <c r="K2816">
        <v>0.44359999999999999</v>
      </c>
      <c r="L2816">
        <v>0.38500000000000001</v>
      </c>
      <c r="M2816">
        <v>0.30919999999999997</v>
      </c>
      <c r="N2816">
        <f>CONVERT(O2816,"lbf","N")</f>
        <v>25265.453952518114</v>
      </c>
      <c r="O2816">
        <v>5679.9</v>
      </c>
      <c r="P2816">
        <f t="shared" si="43"/>
        <v>0.80311688311688301</v>
      </c>
    </row>
    <row r="2817" spans="1:16" hidden="1" x14ac:dyDescent="0.25">
      <c r="A2817">
        <v>0</v>
      </c>
      <c r="B2817">
        <v>0</v>
      </c>
      <c r="C2817">
        <f>1.225 * (1 - 0.00000687559 * B2817) ^ 4.2561</f>
        <v>1.2250000000000001</v>
      </c>
      <c r="D2817">
        <f>E2817*(SQRT($C$2/C2817))</f>
        <v>120</v>
      </c>
      <c r="E2817">
        <v>120</v>
      </c>
      <c r="F2817">
        <v>987</v>
      </c>
      <c r="G2817">
        <v>2750</v>
      </c>
      <c r="H2817">
        <f>CONVERT(G2817,"HP","kW")</f>
        <v>2050.6746468512433</v>
      </c>
      <c r="I2817">
        <v>0.72460000000000002</v>
      </c>
      <c r="J2817">
        <v>0.94710000000000005</v>
      </c>
      <c r="K2817">
        <v>0.4556</v>
      </c>
      <c r="L2817">
        <v>0.38500000000000001</v>
      </c>
      <c r="M2817">
        <v>0.29459999999999997</v>
      </c>
      <c r="N2817">
        <f>CONVERT(O2817,"lbf","N")</f>
        <v>24071.106448820668</v>
      </c>
      <c r="O2817">
        <v>5411.4</v>
      </c>
      <c r="P2817">
        <f t="shared" si="43"/>
        <v>0.76519480519480509</v>
      </c>
    </row>
    <row r="2818" spans="1:16" hidden="1" x14ac:dyDescent="0.25">
      <c r="A2818">
        <v>0</v>
      </c>
      <c r="B2818">
        <v>0</v>
      </c>
      <c r="C2818">
        <f>1.225 * (1 - 0.00000687559 * B2818) ^ 4.2561</f>
        <v>1.2250000000000001</v>
      </c>
      <c r="D2818">
        <f>E2818*(SQRT($C$2/C2818))</f>
        <v>180</v>
      </c>
      <c r="E2818">
        <v>180</v>
      </c>
      <c r="F2818">
        <v>987</v>
      </c>
      <c r="G2818">
        <v>2750</v>
      </c>
      <c r="H2818">
        <f>CONVERT(G2818,"HP","kW")</f>
        <v>2050.6746468512433</v>
      </c>
      <c r="I2818">
        <v>0.83809999999999996</v>
      </c>
      <c r="J2818">
        <v>1.4206000000000001</v>
      </c>
      <c r="K2818">
        <v>0.50029999999999997</v>
      </c>
      <c r="L2818">
        <v>0.38500000000000001</v>
      </c>
      <c r="M2818">
        <v>0.2271</v>
      </c>
      <c r="N2818">
        <f>CONVERT(O2818,"lbf","N")</f>
        <v>18561.094333997487</v>
      </c>
      <c r="O2818">
        <v>4172.7</v>
      </c>
      <c r="P2818">
        <f t="shared" si="43"/>
        <v>0.58987012987012988</v>
      </c>
    </row>
    <row r="2819" spans="1:16" hidden="1" x14ac:dyDescent="0.25">
      <c r="A2819">
        <v>0</v>
      </c>
      <c r="B2819">
        <v>0</v>
      </c>
      <c r="C2819">
        <f>1.225 * (1 - 0.00000687559 * B2819) ^ 4.2561</f>
        <v>1.2250000000000001</v>
      </c>
      <c r="D2819">
        <f>E2819*(SQRT($C$2/C2819))</f>
        <v>200</v>
      </c>
      <c r="E2819">
        <v>200</v>
      </c>
      <c r="F2819">
        <v>987</v>
      </c>
      <c r="G2819">
        <v>2750</v>
      </c>
      <c r="H2819">
        <f>CONVERT(G2819,"HP","kW")</f>
        <v>2050.6746468512433</v>
      </c>
      <c r="I2819">
        <v>0.85740000000000005</v>
      </c>
      <c r="J2819">
        <v>1.5785</v>
      </c>
      <c r="K2819">
        <v>0.51759999999999995</v>
      </c>
      <c r="L2819">
        <v>0.38500000000000001</v>
      </c>
      <c r="M2819">
        <v>0.20910000000000001</v>
      </c>
      <c r="N2819">
        <f>CONVERT(O2819,"lbf","N")</f>
        <v>17088.732979346263</v>
      </c>
      <c r="O2819">
        <v>3841.7</v>
      </c>
      <c r="P2819">
        <f t="shared" ref="P2819:P2882" si="44">M2819/L2819</f>
        <v>0.54311688311688311</v>
      </c>
    </row>
    <row r="2820" spans="1:16" hidden="1" x14ac:dyDescent="0.25">
      <c r="A2820">
        <v>0</v>
      </c>
      <c r="B2820">
        <v>0</v>
      </c>
      <c r="C2820">
        <f>1.225 * (1 - 0.00000687559 * B2820) ^ 4.2561</f>
        <v>1.2250000000000001</v>
      </c>
      <c r="D2820">
        <f>E2820*(SQRT($C$2/C2820))</f>
        <v>220</v>
      </c>
      <c r="E2820">
        <v>220</v>
      </c>
      <c r="F2820">
        <v>987</v>
      </c>
      <c r="G2820">
        <v>2750</v>
      </c>
      <c r="H2820">
        <f>CONVERT(G2820,"HP","kW")</f>
        <v>2050.6746468512433</v>
      </c>
      <c r="I2820">
        <v>0.87129999999999996</v>
      </c>
      <c r="J2820">
        <v>1.7363</v>
      </c>
      <c r="K2820">
        <v>0.53600000000000003</v>
      </c>
      <c r="L2820">
        <v>0.38500000000000001</v>
      </c>
      <c r="M2820">
        <v>0.19320000000000001</v>
      </c>
      <c r="N2820">
        <f>CONVERT(O2820,"lbf","N")</f>
        <v>15786.738512559514</v>
      </c>
      <c r="O2820">
        <v>3549</v>
      </c>
      <c r="P2820">
        <f t="shared" si="44"/>
        <v>0.50181818181818183</v>
      </c>
    </row>
    <row r="2821" spans="1:16" hidden="1" x14ac:dyDescent="0.25">
      <c r="A2821">
        <v>0</v>
      </c>
      <c r="B2821">
        <v>0</v>
      </c>
      <c r="C2821">
        <f>1.225 * (1 - 0.00000687559 * B2821) ^ 4.2561</f>
        <v>1.2250000000000001</v>
      </c>
      <c r="D2821">
        <f>E2821*(SQRT($C$2/C2821))</f>
        <v>240</v>
      </c>
      <c r="E2821">
        <v>240</v>
      </c>
      <c r="F2821">
        <v>987</v>
      </c>
      <c r="G2821">
        <v>2750</v>
      </c>
      <c r="H2821">
        <f>CONVERT(G2821,"HP","kW")</f>
        <v>2050.6746468512433</v>
      </c>
      <c r="I2821">
        <v>0.88100000000000001</v>
      </c>
      <c r="J2821">
        <v>1.8942000000000001</v>
      </c>
      <c r="K2821">
        <v>0.5554</v>
      </c>
      <c r="L2821">
        <v>0.38500000000000001</v>
      </c>
      <c r="M2821">
        <v>0.17910000000000001</v>
      </c>
      <c r="N2821">
        <f>CONVERT(O2821,"lbf","N")</f>
        <v>14632.425003399416</v>
      </c>
      <c r="O2821">
        <v>3289.5</v>
      </c>
      <c r="P2821">
        <f t="shared" si="44"/>
        <v>0.46519480519480522</v>
      </c>
    </row>
    <row r="2822" spans="1:16" hidden="1" x14ac:dyDescent="0.25">
      <c r="A2822">
        <v>0</v>
      </c>
      <c r="B2822">
        <v>0</v>
      </c>
      <c r="C2822">
        <f>1.225 * (1 - 0.00000687559 * B2822) ^ 4.2561</f>
        <v>1.2250000000000001</v>
      </c>
      <c r="D2822">
        <f>E2822*(SQRT($C$2/C2822))</f>
        <v>260</v>
      </c>
      <c r="E2822">
        <v>260</v>
      </c>
      <c r="F2822">
        <v>987</v>
      </c>
      <c r="G2822">
        <v>2750</v>
      </c>
      <c r="H2822">
        <f>CONVERT(G2822,"HP","kW")</f>
        <v>2050.6746468512433</v>
      </c>
      <c r="I2822">
        <v>0.88719999999999999</v>
      </c>
      <c r="J2822">
        <v>2.052</v>
      </c>
      <c r="K2822">
        <v>0.57569999999999999</v>
      </c>
      <c r="L2822">
        <v>0.38500000000000001</v>
      </c>
      <c r="M2822">
        <v>0.16650000000000001</v>
      </c>
      <c r="N2822">
        <f>CONVERT(O2822,"lbf","N")</f>
        <v>13602.216877305083</v>
      </c>
      <c r="O2822">
        <v>3057.9</v>
      </c>
      <c r="P2822">
        <f t="shared" si="44"/>
        <v>0.4324675324675325</v>
      </c>
    </row>
    <row r="2823" spans="1:16" hidden="1" x14ac:dyDescent="0.25">
      <c r="A2823">
        <v>0</v>
      </c>
      <c r="B2823">
        <v>0</v>
      </c>
      <c r="C2823">
        <f>1.225 * (1 - 0.00000687559 * B2823) ^ 4.2561</f>
        <v>1.2250000000000001</v>
      </c>
      <c r="D2823">
        <f>E2823*(SQRT($C$2/C2823))</f>
        <v>140</v>
      </c>
      <c r="E2823">
        <v>140</v>
      </c>
      <c r="F2823">
        <v>987</v>
      </c>
      <c r="G2823">
        <v>2750</v>
      </c>
      <c r="H2823">
        <f>CONVERT(G2823,"HP","kW")</f>
        <v>2050.6746468512433</v>
      </c>
      <c r="I2823">
        <v>0.77690000000000003</v>
      </c>
      <c r="J2823">
        <v>1.1049</v>
      </c>
      <c r="K2823">
        <v>0.46920000000000001</v>
      </c>
      <c r="L2823">
        <v>0.3851</v>
      </c>
      <c r="M2823">
        <v>0.27079999999999999</v>
      </c>
      <c r="N2823">
        <f>CONVERT(O2823,"lbf","N")</f>
        <v>22119.226804044367</v>
      </c>
      <c r="O2823">
        <v>4972.6000000000004</v>
      </c>
      <c r="P2823">
        <f t="shared" si="44"/>
        <v>0.70319397559075558</v>
      </c>
    </row>
    <row r="2824" spans="1:16" hidden="1" x14ac:dyDescent="0.25">
      <c r="A2824">
        <v>0</v>
      </c>
      <c r="B2824">
        <v>15000</v>
      </c>
      <c r="C2824">
        <f>1.225 * (1 - 0.00000687559 * B2824) ^ 4.2561</f>
        <v>0.77079726910167001</v>
      </c>
      <c r="D2824">
        <f>E2824*(SQRT($C$2/C2824))</f>
        <v>50.426398555066115</v>
      </c>
      <c r="E2824">
        <v>40</v>
      </c>
      <c r="F2824">
        <v>1150</v>
      </c>
      <c r="G2824">
        <v>2750</v>
      </c>
      <c r="H2824">
        <f>CONVERT(G2824,"HP","kW")</f>
        <v>2050.6746468512433</v>
      </c>
      <c r="I2824">
        <v>0.21890000000000001</v>
      </c>
      <c r="J2824">
        <v>0.34160000000000001</v>
      </c>
      <c r="K2824">
        <v>0.51680000000000004</v>
      </c>
      <c r="L2824">
        <v>0.38640000000000002</v>
      </c>
      <c r="M2824">
        <v>0.24759999999999999</v>
      </c>
      <c r="N2824">
        <f>CONVERT(O2824,"lbf","N")</f>
        <v>17301.357972555717</v>
      </c>
      <c r="O2824">
        <v>3889.5</v>
      </c>
      <c r="P2824">
        <f t="shared" si="44"/>
        <v>0.64078674948240155</v>
      </c>
    </row>
    <row r="2825" spans="1:16" hidden="1" x14ac:dyDescent="0.25">
      <c r="A2825">
        <v>0</v>
      </c>
      <c r="B2825">
        <v>15000</v>
      </c>
      <c r="C2825">
        <f>1.225 * (1 - 0.00000687559 * B2825) ^ 4.2561</f>
        <v>0.77079726910167001</v>
      </c>
      <c r="D2825">
        <f>E2825*(SQRT($C$2/C2825))</f>
        <v>277.34519205286364</v>
      </c>
      <c r="E2825">
        <v>220</v>
      </c>
      <c r="F2825">
        <v>1150</v>
      </c>
      <c r="G2825">
        <v>2750</v>
      </c>
      <c r="H2825">
        <f>CONVERT(G2825,"HP","kW")</f>
        <v>2050.6746468512433</v>
      </c>
      <c r="I2825">
        <v>0.87819999999999998</v>
      </c>
      <c r="J2825">
        <v>1.8787</v>
      </c>
      <c r="K2825">
        <v>0.68089999999999995</v>
      </c>
      <c r="L2825">
        <v>0.38669999999999999</v>
      </c>
      <c r="M2825">
        <v>0.18079999999999999</v>
      </c>
      <c r="N2825">
        <f>CONVERT(O2825,"lbf","N")</f>
        <v>12622.718477624721</v>
      </c>
      <c r="O2825">
        <v>2837.7</v>
      </c>
      <c r="P2825">
        <f t="shared" si="44"/>
        <v>0.46754590121541245</v>
      </c>
    </row>
    <row r="2826" spans="1:16" hidden="1" x14ac:dyDescent="0.25">
      <c r="A2826">
        <v>0</v>
      </c>
      <c r="B2826">
        <v>15000</v>
      </c>
      <c r="C2826">
        <f>1.225 * (1 - 0.00000687559 * B2826) ^ 4.2561</f>
        <v>0.77079726910167001</v>
      </c>
      <c r="D2826">
        <f>E2826*(SQRT($C$2/C2826))</f>
        <v>302.55839133039672</v>
      </c>
      <c r="E2826">
        <v>240</v>
      </c>
      <c r="F2826">
        <v>1150</v>
      </c>
      <c r="G2826">
        <v>2750</v>
      </c>
      <c r="H2826">
        <f>CONVERT(G2826,"HP","kW")</f>
        <v>2050.6746468512433</v>
      </c>
      <c r="I2826">
        <v>0.88560000000000005</v>
      </c>
      <c r="J2826">
        <v>2.0493999999999999</v>
      </c>
      <c r="K2826">
        <v>0.70779999999999998</v>
      </c>
      <c r="L2826">
        <v>0.38669999999999999</v>
      </c>
      <c r="M2826">
        <v>0.1671</v>
      </c>
      <c r="N2826">
        <f>CONVERT(O2826,"lbf","N")</f>
        <v>11667.685296828291</v>
      </c>
      <c r="O2826">
        <v>2623</v>
      </c>
      <c r="P2826">
        <f t="shared" si="44"/>
        <v>0.43211792086889061</v>
      </c>
    </row>
    <row r="2827" spans="1:16" hidden="1" x14ac:dyDescent="0.25">
      <c r="A2827">
        <v>0</v>
      </c>
      <c r="B2827">
        <v>15000</v>
      </c>
      <c r="C2827">
        <f>1.225 * (1 - 0.00000687559 * B2827) ^ 4.2561</f>
        <v>0.77079726910167001</v>
      </c>
      <c r="D2827">
        <f>E2827*(SQRT($C$2/C2827))</f>
        <v>0</v>
      </c>
      <c r="E2827">
        <v>0</v>
      </c>
      <c r="F2827">
        <v>1150</v>
      </c>
      <c r="G2827">
        <v>2750</v>
      </c>
      <c r="H2827">
        <f>CONVERT(G2827,"HP","kW")</f>
        <v>2050.6746468512433</v>
      </c>
      <c r="I2827">
        <v>0</v>
      </c>
      <c r="J2827">
        <v>0</v>
      </c>
      <c r="K2827">
        <v>0.50619999999999998</v>
      </c>
      <c r="L2827">
        <v>0.38679999999999998</v>
      </c>
      <c r="M2827">
        <v>0.20880000000000001</v>
      </c>
      <c r="N2827">
        <f>CONVERT(O2827,"lbf","N")</f>
        <v>14578.601521854764</v>
      </c>
      <c r="O2827">
        <v>3277.4</v>
      </c>
      <c r="P2827">
        <f t="shared" si="44"/>
        <v>0.5398138572905895</v>
      </c>
    </row>
    <row r="2828" spans="1:16" hidden="1" x14ac:dyDescent="0.25">
      <c r="A2828">
        <v>0</v>
      </c>
      <c r="B2828">
        <v>15000</v>
      </c>
      <c r="C2828">
        <f>1.225 * (1 - 0.00000687559 * B2828) ^ 4.2561</f>
        <v>0.77079726910167001</v>
      </c>
      <c r="D2828">
        <f>E2828*(SQRT($C$2/C2828))</f>
        <v>25.213199277533057</v>
      </c>
      <c r="E2828">
        <v>20</v>
      </c>
      <c r="F2828">
        <v>1150</v>
      </c>
      <c r="G2828">
        <v>2750</v>
      </c>
      <c r="H2828">
        <f>CONVERT(G2828,"HP","kW")</f>
        <v>2050.6746468512433</v>
      </c>
      <c r="I2828">
        <v>9.98E-2</v>
      </c>
      <c r="J2828">
        <v>0.17080000000000001</v>
      </c>
      <c r="K2828">
        <v>0.51039999999999996</v>
      </c>
      <c r="L2828">
        <v>0.38679999999999998</v>
      </c>
      <c r="M2828">
        <v>0.22600000000000001</v>
      </c>
      <c r="N2828">
        <f>CONVERT(O2828,"lbf","N")</f>
        <v>15776.952425005944</v>
      </c>
      <c r="O2828">
        <v>3546.8</v>
      </c>
      <c r="P2828">
        <f t="shared" si="44"/>
        <v>0.58428128231644261</v>
      </c>
    </row>
    <row r="2829" spans="1:16" hidden="1" x14ac:dyDescent="0.25">
      <c r="A2829">
        <v>0</v>
      </c>
      <c r="B2829">
        <v>15000</v>
      </c>
      <c r="C2829">
        <f>1.225 * (1 - 0.00000687559 * B2829) ^ 4.2561</f>
        <v>0.77079726910167001</v>
      </c>
      <c r="D2829">
        <f>E2829*(SQRT($C$2/C2829))</f>
        <v>100.85279711013223</v>
      </c>
      <c r="E2829">
        <v>80</v>
      </c>
      <c r="F2829">
        <v>1150</v>
      </c>
      <c r="G2829">
        <v>2750</v>
      </c>
      <c r="H2829">
        <f>CONVERT(G2829,"HP","kW")</f>
        <v>2050.6746468512433</v>
      </c>
      <c r="I2829">
        <v>0.52049999999999996</v>
      </c>
      <c r="J2829">
        <v>0.68310000000000004</v>
      </c>
      <c r="K2829">
        <v>0.5373</v>
      </c>
      <c r="L2829">
        <v>0.38679999999999998</v>
      </c>
      <c r="M2829">
        <v>0.29470000000000002</v>
      </c>
      <c r="N2829">
        <f>CONVERT(O2829,"lbf","N")</f>
        <v>20573.914614902864</v>
      </c>
      <c r="O2829">
        <v>4625.2</v>
      </c>
      <c r="P2829">
        <f t="shared" si="44"/>
        <v>0.76189245087900737</v>
      </c>
    </row>
    <row r="2830" spans="1:16" hidden="1" x14ac:dyDescent="0.25">
      <c r="A2830">
        <v>0</v>
      </c>
      <c r="B2830">
        <v>15000</v>
      </c>
      <c r="C2830">
        <f>1.225 * (1 - 0.00000687559 * B2830) ^ 4.2561</f>
        <v>0.77079726910167001</v>
      </c>
      <c r="D2830">
        <f>E2830*(SQRT($C$2/C2830))</f>
        <v>126.06599638766529</v>
      </c>
      <c r="E2830">
        <v>100</v>
      </c>
      <c r="F2830">
        <v>1150</v>
      </c>
      <c r="G2830">
        <v>2750</v>
      </c>
      <c r="H2830">
        <f>CONVERT(G2830,"HP","kW")</f>
        <v>2050.6746468512433</v>
      </c>
      <c r="I2830">
        <v>0.66859999999999997</v>
      </c>
      <c r="J2830">
        <v>0.85389999999999999</v>
      </c>
      <c r="K2830">
        <v>0.55149999999999999</v>
      </c>
      <c r="L2830">
        <v>0.38679999999999998</v>
      </c>
      <c r="M2830">
        <v>0.30280000000000001</v>
      </c>
      <c r="N2830">
        <f>CONVERT(O2830,"lbf","N")</f>
        <v>21140.173226525527</v>
      </c>
      <c r="O2830">
        <v>4752.5</v>
      </c>
      <c r="P2830">
        <f t="shared" si="44"/>
        <v>0.78283350568769394</v>
      </c>
    </row>
    <row r="2831" spans="1:16" hidden="1" x14ac:dyDescent="0.25">
      <c r="A2831">
        <v>0</v>
      </c>
      <c r="B2831">
        <v>15000</v>
      </c>
      <c r="C2831">
        <f>1.225 * (1 - 0.00000687559 * B2831) ^ 4.2561</f>
        <v>0.77079726910167001</v>
      </c>
      <c r="D2831">
        <f>E2831*(SQRT($C$2/C2831))</f>
        <v>176.49239494273141</v>
      </c>
      <c r="E2831">
        <v>140</v>
      </c>
      <c r="F2831">
        <v>1150</v>
      </c>
      <c r="G2831">
        <v>2750</v>
      </c>
      <c r="H2831">
        <f>CONVERT(G2831,"HP","kW")</f>
        <v>2050.6746468512433</v>
      </c>
      <c r="I2831">
        <v>0.79510000000000003</v>
      </c>
      <c r="J2831">
        <v>1.1955</v>
      </c>
      <c r="K2831">
        <v>0.58750000000000002</v>
      </c>
      <c r="L2831">
        <v>0.38679999999999998</v>
      </c>
      <c r="M2831">
        <v>0.25729999999999997</v>
      </c>
      <c r="N2831">
        <f>CONVERT(O2831,"lbf","N")</f>
        <v>17957.470660806641</v>
      </c>
      <c r="O2831">
        <v>4037</v>
      </c>
      <c r="P2831">
        <f t="shared" si="44"/>
        <v>0.66520165460186143</v>
      </c>
    </row>
    <row r="2832" spans="1:16" hidden="1" x14ac:dyDescent="0.25">
      <c r="A2832">
        <v>0</v>
      </c>
      <c r="B2832">
        <v>15000</v>
      </c>
      <c r="C2832">
        <f>1.225 * (1 - 0.00000687559 * B2832) ^ 4.2561</f>
        <v>0.77079726910167001</v>
      </c>
      <c r="D2832">
        <f>E2832*(SQRT($C$2/C2832))</f>
        <v>201.70559422026446</v>
      </c>
      <c r="E2832">
        <v>160</v>
      </c>
      <c r="F2832">
        <v>1150</v>
      </c>
      <c r="G2832">
        <v>2750</v>
      </c>
      <c r="H2832">
        <f>CONVERT(G2832,"HP","kW")</f>
        <v>2050.6746468512433</v>
      </c>
      <c r="I2832">
        <v>0.82709999999999995</v>
      </c>
      <c r="J2832">
        <v>1.3663000000000001</v>
      </c>
      <c r="K2832">
        <v>0.60840000000000005</v>
      </c>
      <c r="L2832">
        <v>0.38679999999999998</v>
      </c>
      <c r="M2832">
        <v>0.23419999999999999</v>
      </c>
      <c r="N2832">
        <f>CONVERT(O2832,"lbf","N")</f>
        <v>16346.324791759285</v>
      </c>
      <c r="O2832">
        <v>3674.8</v>
      </c>
      <c r="P2832">
        <f t="shared" si="44"/>
        <v>0.60548086866597728</v>
      </c>
    </row>
    <row r="2833" spans="1:16" hidden="1" x14ac:dyDescent="0.25">
      <c r="A2833">
        <v>0</v>
      </c>
      <c r="B2833">
        <v>15000</v>
      </c>
      <c r="C2833">
        <f>1.225 * (1 - 0.00000687559 * B2833) ^ 4.2561</f>
        <v>0.77079726910167001</v>
      </c>
      <c r="D2833">
        <f>E2833*(SQRT($C$2/C2833))</f>
        <v>226.91879349779754</v>
      </c>
      <c r="E2833">
        <v>180</v>
      </c>
      <c r="F2833">
        <v>1150</v>
      </c>
      <c r="G2833">
        <v>2750</v>
      </c>
      <c r="H2833">
        <f>CONVERT(G2833,"HP","kW")</f>
        <v>2050.6746468512433</v>
      </c>
      <c r="I2833">
        <v>0.85040000000000004</v>
      </c>
      <c r="J2833">
        <v>1.5370999999999999</v>
      </c>
      <c r="K2833">
        <v>0.63100000000000001</v>
      </c>
      <c r="L2833">
        <v>0.38679999999999998</v>
      </c>
      <c r="M2833">
        <v>0.214</v>
      </c>
      <c r="N2833">
        <f>CONVERT(O2833,"lbf","N")</f>
        <v>14938.46265052934</v>
      </c>
      <c r="O2833">
        <v>3358.3</v>
      </c>
      <c r="P2833">
        <f t="shared" si="44"/>
        <v>0.55325749741468466</v>
      </c>
    </row>
    <row r="2834" spans="1:16" hidden="1" x14ac:dyDescent="0.25">
      <c r="A2834" s="4">
        <v>0</v>
      </c>
      <c r="B2834" s="4">
        <v>15000</v>
      </c>
      <c r="C2834" s="4">
        <f>1.225 * (1 - 0.00000687559 * B2834) ^ 4.2561</f>
        <v>0.77079726910167001</v>
      </c>
      <c r="D2834" s="4">
        <f>E2834*(SQRT($C$2/C2834))</f>
        <v>252.13199277533059</v>
      </c>
      <c r="E2834" s="4">
        <v>200</v>
      </c>
      <c r="F2834" s="4">
        <v>1150</v>
      </c>
      <c r="G2834" s="4">
        <v>2750</v>
      </c>
      <c r="H2834" s="4">
        <f>CONVERT(G2834,"HP","kW")</f>
        <v>2050.6746468512433</v>
      </c>
      <c r="I2834" s="4">
        <v>0.8669</v>
      </c>
      <c r="J2834" s="4">
        <v>1.7079</v>
      </c>
      <c r="K2834" s="4">
        <v>0.6552</v>
      </c>
      <c r="L2834" s="4">
        <v>0.38679999999999998</v>
      </c>
      <c r="M2834" s="4">
        <v>0.1963</v>
      </c>
      <c r="N2834">
        <f>CONVERT(O2834,"lbf","N")</f>
        <v>13705.415618779127</v>
      </c>
      <c r="O2834" s="4">
        <v>3081.1</v>
      </c>
      <c r="P2834">
        <f t="shared" si="44"/>
        <v>0.50749741468459153</v>
      </c>
    </row>
    <row r="2835" spans="1:16" hidden="1" x14ac:dyDescent="0.25">
      <c r="A2835">
        <v>0</v>
      </c>
      <c r="B2835">
        <v>15000</v>
      </c>
      <c r="C2835">
        <f>1.225 * (1 - 0.00000687559 * B2835) ^ 4.2561</f>
        <v>0.77079726910167001</v>
      </c>
      <c r="D2835">
        <f>E2835*(SQRT($C$2/C2835))</f>
        <v>327.77159060792974</v>
      </c>
      <c r="E2835">
        <v>260</v>
      </c>
      <c r="F2835">
        <v>1150</v>
      </c>
      <c r="G2835">
        <v>2750</v>
      </c>
      <c r="H2835">
        <f>CONVERT(G2835,"HP","kW")</f>
        <v>2050.6746468512433</v>
      </c>
      <c r="I2835">
        <v>0.88239999999999996</v>
      </c>
      <c r="J2835">
        <v>2.2202000000000002</v>
      </c>
      <c r="K2835">
        <v>0.73599999999999999</v>
      </c>
      <c r="L2835">
        <v>0.38679999999999998</v>
      </c>
      <c r="M2835">
        <v>0.1537</v>
      </c>
      <c r="N2835">
        <f>CONVERT(O2835,"lbf","N")</f>
        <v>10732.224291139008</v>
      </c>
      <c r="O2835">
        <v>2412.6999999999998</v>
      </c>
      <c r="P2835">
        <f t="shared" si="44"/>
        <v>0.3973629782833506</v>
      </c>
    </row>
    <row r="2836" spans="1:16" hidden="1" x14ac:dyDescent="0.25">
      <c r="A2836">
        <v>0</v>
      </c>
      <c r="B2836">
        <v>15000</v>
      </c>
      <c r="C2836">
        <f>1.225 * (1 - 0.00000687559 * B2836) ^ 4.2561</f>
        <v>0.77079726910167001</v>
      </c>
      <c r="D2836">
        <f>E2836*(SQRT($C$2/C2836))</f>
        <v>151.27919566519836</v>
      </c>
      <c r="E2836">
        <v>120</v>
      </c>
      <c r="F2836">
        <v>1150</v>
      </c>
      <c r="G2836">
        <v>2750</v>
      </c>
      <c r="H2836">
        <f>CONVERT(G2836,"HP","kW")</f>
        <v>2050.6746468512433</v>
      </c>
      <c r="I2836">
        <v>0.74729999999999996</v>
      </c>
      <c r="J2836">
        <v>1.0246999999999999</v>
      </c>
      <c r="K2836">
        <v>0.56850000000000001</v>
      </c>
      <c r="L2836">
        <v>0.38690000000000002</v>
      </c>
      <c r="M2836">
        <v>0.28210000000000002</v>
      </c>
      <c r="N2836">
        <f>CONVERT(O2836,"lbf","N")</f>
        <v>19691.387446435183</v>
      </c>
      <c r="O2836">
        <v>4426.8</v>
      </c>
      <c r="P2836">
        <f t="shared" si="44"/>
        <v>0.72912897389506337</v>
      </c>
    </row>
    <row r="2837" spans="1:16" hidden="1" x14ac:dyDescent="0.25">
      <c r="A2837">
        <v>0</v>
      </c>
      <c r="B2837">
        <v>15000</v>
      </c>
      <c r="C2837">
        <f>1.225 * (1 - 0.00000687559 * B2837) ^ 4.2561</f>
        <v>0.77079726910167001</v>
      </c>
      <c r="D2837">
        <f>E2837*(SQRT($C$2/C2837))</f>
        <v>75.639597832599179</v>
      </c>
      <c r="E2837">
        <v>60</v>
      </c>
      <c r="F2837">
        <v>1150</v>
      </c>
      <c r="G2837">
        <v>2750</v>
      </c>
      <c r="H2837">
        <f>CONVERT(G2837,"HP","kW")</f>
        <v>2050.6746468512433</v>
      </c>
      <c r="I2837">
        <v>0.35780000000000001</v>
      </c>
      <c r="J2837">
        <v>0.51239999999999997</v>
      </c>
      <c r="K2837">
        <v>0.52580000000000005</v>
      </c>
      <c r="L2837">
        <v>0.3871</v>
      </c>
      <c r="M2837">
        <v>0.27029999999999998</v>
      </c>
      <c r="N2837">
        <f>CONVERT(O2837,"lbf","N")</f>
        <v>18854.676960604684</v>
      </c>
      <c r="O2837">
        <v>4238.7</v>
      </c>
      <c r="P2837">
        <f t="shared" si="44"/>
        <v>0.69826918109015756</v>
      </c>
    </row>
    <row r="2838" spans="1:16" hidden="1" x14ac:dyDescent="0.25">
      <c r="A2838">
        <v>0</v>
      </c>
      <c r="B2838">
        <v>20000</v>
      </c>
      <c r="C2838">
        <f>1.225 * (1 - 0.00000687559 * B2838) ^ 4.2561</f>
        <v>0.65267221054298263</v>
      </c>
      <c r="D2838">
        <f>E2838*(SQRT($C$2/C2838))</f>
        <v>301.39994193830552</v>
      </c>
      <c r="E2838">
        <v>220</v>
      </c>
      <c r="F2838">
        <v>1215</v>
      </c>
      <c r="G2838">
        <v>2750</v>
      </c>
      <c r="H2838">
        <f>CONVERT(G2838,"HP","kW")</f>
        <v>2050.6746468512433</v>
      </c>
      <c r="I2838">
        <v>0.86970000000000003</v>
      </c>
      <c r="J2838">
        <v>1.9323999999999999</v>
      </c>
      <c r="K2838">
        <v>0.74250000000000005</v>
      </c>
      <c r="L2838">
        <v>0.3871</v>
      </c>
      <c r="M2838">
        <v>0.17419999999999999</v>
      </c>
      <c r="N2838">
        <f>CONVERT(O2838,"lbf","N")</f>
        <v>11502.211452740603</v>
      </c>
      <c r="O2838">
        <v>2585.8000000000002</v>
      </c>
      <c r="P2838">
        <f t="shared" si="44"/>
        <v>0.45001291655902864</v>
      </c>
    </row>
    <row r="2839" spans="1:16" hidden="1" x14ac:dyDescent="0.25">
      <c r="A2839">
        <v>0</v>
      </c>
      <c r="B2839">
        <v>20000</v>
      </c>
      <c r="C2839">
        <f>1.225 * (1 - 0.00000687559 * B2839) ^ 4.2561</f>
        <v>0.65267221054298263</v>
      </c>
      <c r="D2839">
        <f>E2839*(SQRT($C$2/C2839))</f>
        <v>328.7999366599696</v>
      </c>
      <c r="E2839">
        <v>240</v>
      </c>
      <c r="F2839">
        <v>1215</v>
      </c>
      <c r="G2839">
        <v>2750</v>
      </c>
      <c r="H2839">
        <f>CONVERT(G2839,"HP","kW")</f>
        <v>2050.6746468512433</v>
      </c>
      <c r="I2839">
        <v>0.85870000000000002</v>
      </c>
      <c r="J2839">
        <v>2.1080000000000001</v>
      </c>
      <c r="K2839">
        <v>0.77280000000000004</v>
      </c>
      <c r="L2839">
        <v>0.3871</v>
      </c>
      <c r="M2839">
        <v>0.15770000000000001</v>
      </c>
      <c r="N2839">
        <f>CONVERT(O2839,"lbf","N")</f>
        <v>10410.617868355675</v>
      </c>
      <c r="O2839">
        <v>2340.4</v>
      </c>
      <c r="P2839">
        <f t="shared" si="44"/>
        <v>0.40738827176440195</v>
      </c>
    </row>
    <row r="2840" spans="1:16" hidden="1" x14ac:dyDescent="0.25">
      <c r="A2840">
        <v>0</v>
      </c>
      <c r="B2840">
        <v>20000</v>
      </c>
      <c r="C2840">
        <f>1.225 * (1 - 0.00000687559 * B2840) ^ 4.2561</f>
        <v>0.65267221054298263</v>
      </c>
      <c r="D2840">
        <f>E2840*(SQRT($C$2/C2840))</f>
        <v>0</v>
      </c>
      <c r="E2840">
        <v>0</v>
      </c>
      <c r="F2840">
        <v>1215</v>
      </c>
      <c r="G2840">
        <v>2750</v>
      </c>
      <c r="H2840">
        <f>CONVERT(G2840,"HP","kW")</f>
        <v>2050.6746468512433</v>
      </c>
      <c r="I2840">
        <v>0</v>
      </c>
      <c r="J2840">
        <v>0</v>
      </c>
      <c r="K2840">
        <v>0.5444</v>
      </c>
      <c r="L2840">
        <v>0.38729999999999998</v>
      </c>
      <c r="M2840">
        <v>0.21909999999999999</v>
      </c>
      <c r="N2840">
        <f>CONVERT(O2840,"lbf","N")</f>
        <v>14462.058115534937</v>
      </c>
      <c r="O2840">
        <v>3251.2</v>
      </c>
      <c r="P2840">
        <f t="shared" si="44"/>
        <v>0.56571133488252001</v>
      </c>
    </row>
    <row r="2841" spans="1:16" hidden="1" x14ac:dyDescent="0.25">
      <c r="A2841">
        <v>0</v>
      </c>
      <c r="B2841">
        <v>20000</v>
      </c>
      <c r="C2841">
        <f>1.225 * (1 - 0.00000687559 * B2841) ^ 4.2561</f>
        <v>0.65267221054298263</v>
      </c>
      <c r="D2841">
        <f>E2841*(SQRT($C$2/C2841))</f>
        <v>27.399994721664136</v>
      </c>
      <c r="E2841">
        <v>20</v>
      </c>
      <c r="F2841">
        <v>1215</v>
      </c>
      <c r="G2841">
        <v>2750</v>
      </c>
      <c r="H2841">
        <f>CONVERT(G2841,"HP","kW")</f>
        <v>2050.6746468512433</v>
      </c>
      <c r="I2841">
        <v>0.105</v>
      </c>
      <c r="J2841">
        <v>0.1757</v>
      </c>
      <c r="K2841">
        <v>0.54959999999999998</v>
      </c>
      <c r="L2841">
        <v>0.38729999999999998</v>
      </c>
      <c r="M2841">
        <v>0.2316</v>
      </c>
      <c r="N2841">
        <f>CONVERT(O2841,"lbf","N")</f>
        <v>15280.53089274287</v>
      </c>
      <c r="O2841">
        <v>3435.2</v>
      </c>
      <c r="P2841">
        <f t="shared" si="44"/>
        <v>0.59798605731990706</v>
      </c>
    </row>
    <row r="2842" spans="1:16" hidden="1" x14ac:dyDescent="0.25">
      <c r="A2842">
        <v>0</v>
      </c>
      <c r="B2842">
        <v>20000</v>
      </c>
      <c r="C2842">
        <f>1.225 * (1 - 0.00000687559 * B2842) ^ 4.2561</f>
        <v>0.65267221054298263</v>
      </c>
      <c r="D2842">
        <f>E2842*(SQRT($C$2/C2842))</f>
        <v>191.79996305164894</v>
      </c>
      <c r="E2842">
        <v>140</v>
      </c>
      <c r="F2842">
        <v>1215</v>
      </c>
      <c r="G2842">
        <v>2750</v>
      </c>
      <c r="H2842">
        <f>CONVERT(G2842,"HP","kW")</f>
        <v>2050.6746468512433</v>
      </c>
      <c r="I2842">
        <v>0.80020000000000002</v>
      </c>
      <c r="J2842">
        <v>1.2297</v>
      </c>
      <c r="K2842">
        <v>0.63729999999999998</v>
      </c>
      <c r="L2842">
        <v>0.38729999999999998</v>
      </c>
      <c r="M2842">
        <v>0.25209999999999999</v>
      </c>
      <c r="N2842">
        <f>CONVERT(O2842,"lbf","N")</f>
        <v>16631.455797297484</v>
      </c>
      <c r="O2842">
        <v>3738.9</v>
      </c>
      <c r="P2842">
        <f t="shared" si="44"/>
        <v>0.6509166021172218</v>
      </c>
    </row>
    <row r="2843" spans="1:16" hidden="1" x14ac:dyDescent="0.25">
      <c r="A2843">
        <v>0</v>
      </c>
      <c r="B2843">
        <v>20000</v>
      </c>
      <c r="C2843">
        <f>1.225 * (1 - 0.00000687559 * B2843) ^ 4.2561</f>
        <v>0.65267221054298263</v>
      </c>
      <c r="D2843">
        <f>E2843*(SQRT($C$2/C2843))</f>
        <v>246.59995249497723</v>
      </c>
      <c r="E2843">
        <v>180</v>
      </c>
      <c r="F2843">
        <v>1215</v>
      </c>
      <c r="G2843">
        <v>2750</v>
      </c>
      <c r="H2843">
        <f>CONVERT(G2843,"HP","kW")</f>
        <v>2050.6746468512433</v>
      </c>
      <c r="I2843">
        <v>0.85399999999999998</v>
      </c>
      <c r="J2843">
        <v>1.581</v>
      </c>
      <c r="K2843">
        <v>0.68640000000000001</v>
      </c>
      <c r="L2843">
        <v>0.38729999999999998</v>
      </c>
      <c r="M2843">
        <v>0.2092</v>
      </c>
      <c r="N2843">
        <f>CONVERT(O2843,"lbf","N")</f>
        <v>13804.610960799437</v>
      </c>
      <c r="O2843">
        <v>3103.4</v>
      </c>
      <c r="P2843">
        <f t="shared" si="44"/>
        <v>0.54014975471210946</v>
      </c>
    </row>
    <row r="2844" spans="1:16" hidden="1" x14ac:dyDescent="0.25">
      <c r="A2844">
        <v>0</v>
      </c>
      <c r="B2844">
        <v>20000</v>
      </c>
      <c r="C2844">
        <f>1.225 * (1 - 0.00000687559 * B2844) ^ 4.2561</f>
        <v>0.65267221054298263</v>
      </c>
      <c r="D2844">
        <f>E2844*(SQRT($C$2/C2844))</f>
        <v>273.99994721664137</v>
      </c>
      <c r="E2844">
        <v>200</v>
      </c>
      <c r="F2844">
        <v>1215</v>
      </c>
      <c r="G2844">
        <v>2750</v>
      </c>
      <c r="H2844">
        <f>CONVERT(G2844,"HP","kW")</f>
        <v>2050.6746468512433</v>
      </c>
      <c r="I2844">
        <v>0.86890000000000001</v>
      </c>
      <c r="J2844">
        <v>1.7566999999999999</v>
      </c>
      <c r="K2844">
        <v>0.7137</v>
      </c>
      <c r="L2844">
        <v>0.38729999999999998</v>
      </c>
      <c r="M2844">
        <v>0.19159999999999999</v>
      </c>
      <c r="N2844">
        <f>CONVERT(O2844,"lbf","N")</f>
        <v>12640.956186247289</v>
      </c>
      <c r="O2844">
        <v>2841.8</v>
      </c>
      <c r="P2844">
        <f t="shared" si="44"/>
        <v>0.49470694552026856</v>
      </c>
    </row>
    <row r="2845" spans="1:16" hidden="1" x14ac:dyDescent="0.25">
      <c r="A2845">
        <v>0</v>
      </c>
      <c r="B2845">
        <v>20000</v>
      </c>
      <c r="C2845">
        <f>1.225 * (1 - 0.00000687559 * B2845) ^ 4.2561</f>
        <v>0.65267221054298263</v>
      </c>
      <c r="D2845">
        <f>E2845*(SQRT($C$2/C2845))</f>
        <v>54.799989443328272</v>
      </c>
      <c r="E2845">
        <v>40</v>
      </c>
      <c r="F2845">
        <v>1215</v>
      </c>
      <c r="G2845">
        <v>2750</v>
      </c>
      <c r="H2845">
        <f>CONVERT(G2845,"HP","kW")</f>
        <v>2050.6746468512433</v>
      </c>
      <c r="I2845">
        <v>0.2258</v>
      </c>
      <c r="J2845">
        <v>0.3513</v>
      </c>
      <c r="K2845">
        <v>0.55710000000000004</v>
      </c>
      <c r="L2845">
        <v>0.38740000000000002</v>
      </c>
      <c r="M2845">
        <v>0.249</v>
      </c>
      <c r="N2845">
        <f>CONVERT(O2845,"lbf","N")</f>
        <v>16426.8376029955</v>
      </c>
      <c r="O2845">
        <v>3692.9</v>
      </c>
      <c r="P2845">
        <f t="shared" si="44"/>
        <v>0.64274651522973669</v>
      </c>
    </row>
    <row r="2846" spans="1:16" hidden="1" x14ac:dyDescent="0.25">
      <c r="A2846">
        <v>0</v>
      </c>
      <c r="B2846">
        <v>20000</v>
      </c>
      <c r="C2846">
        <f>1.225 * (1 - 0.00000687559 * B2846) ^ 4.2561</f>
        <v>0.65267221054298263</v>
      </c>
      <c r="D2846">
        <f>E2846*(SQRT($C$2/C2846))</f>
        <v>164.3999683299848</v>
      </c>
      <c r="E2846">
        <v>120</v>
      </c>
      <c r="F2846">
        <v>1215</v>
      </c>
      <c r="G2846">
        <v>2750</v>
      </c>
      <c r="H2846">
        <f>CONVERT(G2846,"HP","kW")</f>
        <v>2050.6746468512433</v>
      </c>
      <c r="I2846">
        <v>0.75270000000000004</v>
      </c>
      <c r="J2846">
        <v>1.054</v>
      </c>
      <c r="K2846">
        <v>0.61580000000000001</v>
      </c>
      <c r="L2846">
        <v>0.38740000000000002</v>
      </c>
      <c r="M2846">
        <v>0.27660000000000001</v>
      </c>
      <c r="N2846">
        <f>CONVERT(O2846,"lbf","N")</f>
        <v>18250.608465252302</v>
      </c>
      <c r="O2846">
        <v>4102.8999999999996</v>
      </c>
      <c r="P2846">
        <f t="shared" si="44"/>
        <v>0.71399070727929792</v>
      </c>
    </row>
    <row r="2847" spans="1:16" hidden="1" x14ac:dyDescent="0.25">
      <c r="A2847">
        <v>0</v>
      </c>
      <c r="B2847">
        <v>20000</v>
      </c>
      <c r="C2847">
        <f>1.225 * (1 - 0.00000687559 * B2847) ^ 4.2561</f>
        <v>0.65267221054298263</v>
      </c>
      <c r="D2847">
        <f>E2847*(SQRT($C$2/C2847))</f>
        <v>219.19995777331309</v>
      </c>
      <c r="E2847">
        <v>160</v>
      </c>
      <c r="F2847">
        <v>1215</v>
      </c>
      <c r="G2847">
        <v>2750</v>
      </c>
      <c r="H2847">
        <f>CONVERT(G2847,"HP","kW")</f>
        <v>2050.6746468512433</v>
      </c>
      <c r="I2847">
        <v>0.83179999999999998</v>
      </c>
      <c r="J2847">
        <v>1.4054</v>
      </c>
      <c r="K2847">
        <v>0.66090000000000004</v>
      </c>
      <c r="L2847">
        <v>0.38740000000000002</v>
      </c>
      <c r="M2847">
        <v>0.2293</v>
      </c>
      <c r="N2847">
        <f>CONVERT(O2847,"lbf","N")</f>
        <v>15126.622424854855</v>
      </c>
      <c r="O2847">
        <v>3400.6</v>
      </c>
      <c r="P2847">
        <f t="shared" si="44"/>
        <v>0.59189468249870936</v>
      </c>
    </row>
    <row r="2848" spans="1:16" hidden="1" x14ac:dyDescent="0.25">
      <c r="A2848">
        <v>0</v>
      </c>
      <c r="B2848">
        <v>20000</v>
      </c>
      <c r="C2848">
        <f>1.225 * (1 - 0.00000687559 * B2848) ^ 4.2561</f>
        <v>0.65267221054298263</v>
      </c>
      <c r="D2848">
        <f>E2848*(SQRT($C$2/C2848))</f>
        <v>356.19993138163375</v>
      </c>
      <c r="E2848">
        <v>260</v>
      </c>
      <c r="F2848">
        <v>1215</v>
      </c>
      <c r="G2848">
        <v>2750</v>
      </c>
      <c r="H2848">
        <f>CONVERT(G2848,"HP","kW")</f>
        <v>2050.6746468512433</v>
      </c>
      <c r="I2848">
        <v>0.82389999999999997</v>
      </c>
      <c r="J2848">
        <v>2.2837000000000001</v>
      </c>
      <c r="K2848">
        <v>0.80449999999999999</v>
      </c>
      <c r="L2848">
        <v>0.38740000000000002</v>
      </c>
      <c r="M2848">
        <v>0.13969999999999999</v>
      </c>
      <c r="N2848">
        <f>CONVERT(O2848,"lbf","N")</f>
        <v>9220.2737641119656</v>
      </c>
      <c r="O2848">
        <v>2072.8000000000002</v>
      </c>
      <c r="P2848">
        <f t="shared" si="44"/>
        <v>0.36060918946824982</v>
      </c>
    </row>
    <row r="2849" spans="1:16" hidden="1" x14ac:dyDescent="0.25">
      <c r="A2849">
        <v>0</v>
      </c>
      <c r="B2849">
        <v>20000</v>
      </c>
      <c r="C2849">
        <f>1.225 * (1 - 0.00000687559 * B2849) ^ 4.2561</f>
        <v>0.65267221054298263</v>
      </c>
      <c r="D2849">
        <f>E2849*(SQRT($C$2/C2849))</f>
        <v>82.199984164992401</v>
      </c>
      <c r="E2849">
        <v>60</v>
      </c>
      <c r="F2849">
        <v>1215</v>
      </c>
      <c r="G2849">
        <v>2750</v>
      </c>
      <c r="H2849">
        <f>CONVERT(G2849,"HP","kW")</f>
        <v>2050.6746468512433</v>
      </c>
      <c r="I2849">
        <v>0.3679</v>
      </c>
      <c r="J2849">
        <v>0.52700000000000002</v>
      </c>
      <c r="K2849">
        <v>0.56730000000000003</v>
      </c>
      <c r="L2849">
        <v>0.38750000000000001</v>
      </c>
      <c r="M2849">
        <v>0.27050000000000002</v>
      </c>
      <c r="N2849">
        <f>CONVERT(O2849,"lbf","N")</f>
        <v>17841.372076648338</v>
      </c>
      <c r="O2849">
        <v>4010.9</v>
      </c>
      <c r="P2849">
        <f t="shared" si="44"/>
        <v>0.69806451612903231</v>
      </c>
    </row>
    <row r="2850" spans="1:16" hidden="1" x14ac:dyDescent="0.25">
      <c r="A2850">
        <v>0</v>
      </c>
      <c r="B2850">
        <v>20000</v>
      </c>
      <c r="C2850">
        <f>1.225 * (1 - 0.00000687559 * B2850) ^ 4.2561</f>
        <v>0.65267221054298263</v>
      </c>
      <c r="D2850">
        <f>E2850*(SQRT($C$2/C2850))</f>
        <v>109.59997888665654</v>
      </c>
      <c r="E2850">
        <v>80</v>
      </c>
      <c r="F2850">
        <v>1215</v>
      </c>
      <c r="G2850">
        <v>2750</v>
      </c>
      <c r="H2850">
        <f>CONVERT(G2850,"HP","kW")</f>
        <v>2050.6746468512433</v>
      </c>
      <c r="I2850">
        <v>0.53120000000000001</v>
      </c>
      <c r="J2850">
        <v>0.70269999999999999</v>
      </c>
      <c r="K2850">
        <v>0.58040000000000003</v>
      </c>
      <c r="L2850">
        <v>0.3876</v>
      </c>
      <c r="M2850">
        <v>0.29299999999999998</v>
      </c>
      <c r="N2850">
        <f>CONVERT(O2850,"lbf","N")</f>
        <v>19320.850585883982</v>
      </c>
      <c r="O2850">
        <v>4343.5</v>
      </c>
      <c r="P2850">
        <f t="shared" si="44"/>
        <v>0.75593395252837969</v>
      </c>
    </row>
    <row r="2851" spans="1:16" hidden="1" x14ac:dyDescent="0.25">
      <c r="A2851">
        <v>0</v>
      </c>
      <c r="B2851">
        <v>20000</v>
      </c>
      <c r="C2851">
        <f>1.225 * (1 - 0.00000687559 * B2851) ^ 4.2561</f>
        <v>0.65267221054298263</v>
      </c>
      <c r="D2851">
        <f>E2851*(SQRT($C$2/C2851))</f>
        <v>136.99997360832069</v>
      </c>
      <c r="E2851">
        <v>100</v>
      </c>
      <c r="F2851">
        <v>1215</v>
      </c>
      <c r="G2851">
        <v>2750</v>
      </c>
      <c r="H2851">
        <f>CONVERT(G2851,"HP","kW")</f>
        <v>2050.6746468512433</v>
      </c>
      <c r="I2851">
        <v>0.67549999999999999</v>
      </c>
      <c r="J2851">
        <v>0.87829999999999997</v>
      </c>
      <c r="K2851">
        <v>0.59660000000000002</v>
      </c>
      <c r="L2851">
        <v>0.38769999999999999</v>
      </c>
      <c r="M2851">
        <v>0.29809999999999998</v>
      </c>
      <c r="N2851">
        <f>CONVERT(O2851,"lbf","N")</f>
        <v>19655.356851351571</v>
      </c>
      <c r="O2851">
        <v>4418.7</v>
      </c>
      <c r="P2851">
        <f t="shared" si="44"/>
        <v>0.76889347433582667</v>
      </c>
    </row>
    <row r="2852" spans="1:16" hidden="1" x14ac:dyDescent="0.25">
      <c r="A2852">
        <v>0</v>
      </c>
      <c r="B2852">
        <v>15000</v>
      </c>
      <c r="C2852">
        <f>1.225 * (1 - 0.00000687559 * B2852) ^ 4.2561</f>
        <v>0.77079726910167001</v>
      </c>
      <c r="D2852">
        <f>E2852*(SQRT($C$2/C2852))</f>
        <v>100.85279711013223</v>
      </c>
      <c r="E2852">
        <v>80</v>
      </c>
      <c r="F2852">
        <v>987</v>
      </c>
      <c r="G2852">
        <v>1750</v>
      </c>
      <c r="H2852">
        <f>CONVERT(G2852,"HP","kW")</f>
        <v>1304.974775268973</v>
      </c>
      <c r="I2852">
        <v>0.63380000000000003</v>
      </c>
      <c r="J2852">
        <v>0.79600000000000004</v>
      </c>
      <c r="K2852">
        <v>0.46889999999999998</v>
      </c>
      <c r="L2852">
        <v>0.38890000000000002</v>
      </c>
      <c r="M2852">
        <v>0.30969999999999998</v>
      </c>
      <c r="N2852">
        <f>CONVERT(O2852,"lbf","N")</f>
        <v>15941.091802609053</v>
      </c>
      <c r="O2852">
        <v>3583.7</v>
      </c>
      <c r="P2852">
        <f t="shared" si="44"/>
        <v>0.7963486757521212</v>
      </c>
    </row>
    <row r="2853" spans="1:16" hidden="1" x14ac:dyDescent="0.25">
      <c r="A2853">
        <v>0</v>
      </c>
      <c r="B2853">
        <v>15000</v>
      </c>
      <c r="C2853">
        <f>1.225 * (1 - 0.00000687559 * B2853) ^ 4.2561</f>
        <v>0.77079726910167001</v>
      </c>
      <c r="D2853">
        <f>E2853*(SQRT($C$2/C2853))</f>
        <v>75.639597832599179</v>
      </c>
      <c r="E2853">
        <v>60</v>
      </c>
      <c r="F2853">
        <v>987</v>
      </c>
      <c r="G2853">
        <v>1750</v>
      </c>
      <c r="H2853">
        <f>CONVERT(G2853,"HP","kW")</f>
        <v>1304.974775268973</v>
      </c>
      <c r="I2853">
        <v>0.43319999999999997</v>
      </c>
      <c r="J2853">
        <v>0.59699999999999998</v>
      </c>
      <c r="K2853">
        <v>0.45590000000000003</v>
      </c>
      <c r="L2853">
        <v>0.3891</v>
      </c>
      <c r="M2853">
        <v>0.28239999999999998</v>
      </c>
      <c r="N2853">
        <f>CONVERT(O2853,"lbf","N")</f>
        <v>14526.557328956216</v>
      </c>
      <c r="O2853">
        <v>3265.7</v>
      </c>
      <c r="P2853">
        <f t="shared" si="44"/>
        <v>0.72577743510665638</v>
      </c>
    </row>
    <row r="2854" spans="1:16" hidden="1" x14ac:dyDescent="0.25">
      <c r="A2854">
        <v>0</v>
      </c>
      <c r="B2854">
        <v>15000</v>
      </c>
      <c r="C2854">
        <f>1.225 * (1 - 0.00000687559 * B2854) ^ 4.2561</f>
        <v>0.77079726910167001</v>
      </c>
      <c r="D2854">
        <f>E2854*(SQRT($C$2/C2854))</f>
        <v>151.27919566519836</v>
      </c>
      <c r="E2854">
        <v>120</v>
      </c>
      <c r="F2854">
        <v>987</v>
      </c>
      <c r="G2854">
        <v>1750</v>
      </c>
      <c r="H2854">
        <f>CONVERT(G2854,"HP","kW")</f>
        <v>1304.974775268973</v>
      </c>
      <c r="I2854">
        <v>0.7964</v>
      </c>
      <c r="J2854">
        <v>1.1939</v>
      </c>
      <c r="K2854">
        <v>0.50409999999999999</v>
      </c>
      <c r="L2854">
        <v>0.3891</v>
      </c>
      <c r="M2854">
        <v>0.25950000000000001</v>
      </c>
      <c r="N2854">
        <f>CONVERT(O2854,"lbf","N")</f>
        <v>13354.450933335072</v>
      </c>
      <c r="O2854">
        <v>3002.2</v>
      </c>
      <c r="P2854">
        <f t="shared" si="44"/>
        <v>0.66692367000771013</v>
      </c>
    </row>
    <row r="2855" spans="1:16" hidden="1" x14ac:dyDescent="0.25">
      <c r="A2855">
        <v>0</v>
      </c>
      <c r="B2855">
        <v>15000</v>
      </c>
      <c r="C2855">
        <f>1.225 * (1 - 0.00000687559 * B2855) ^ 4.2561</f>
        <v>0.77079726910167001</v>
      </c>
      <c r="D2855">
        <f>E2855*(SQRT($C$2/C2855))</f>
        <v>25.213199277533057</v>
      </c>
      <c r="E2855">
        <v>20</v>
      </c>
      <c r="F2855">
        <v>987</v>
      </c>
      <c r="G2855">
        <v>1750</v>
      </c>
      <c r="H2855">
        <f>CONVERT(G2855,"HP","kW")</f>
        <v>1304.974775268973</v>
      </c>
      <c r="I2855">
        <v>0.11269999999999999</v>
      </c>
      <c r="J2855">
        <v>0.19900000000000001</v>
      </c>
      <c r="K2855">
        <v>0.43930000000000002</v>
      </c>
      <c r="L2855">
        <v>0.38929999999999998</v>
      </c>
      <c r="M2855">
        <v>0.2205</v>
      </c>
      <c r="N2855">
        <f>CONVERT(O2855,"lbf","N")</f>
        <v>11340.741008106645</v>
      </c>
      <c r="O2855">
        <v>2549.5</v>
      </c>
      <c r="P2855">
        <f t="shared" si="44"/>
        <v>0.56640123298227596</v>
      </c>
    </row>
    <row r="2856" spans="1:16" hidden="1" x14ac:dyDescent="0.25">
      <c r="A2856">
        <v>0</v>
      </c>
      <c r="B2856">
        <v>15000</v>
      </c>
      <c r="C2856">
        <f>1.225 * (1 - 0.00000687559 * B2856) ^ 4.2561</f>
        <v>0.77079726910167001</v>
      </c>
      <c r="D2856">
        <f>E2856*(SQRT($C$2/C2856))</f>
        <v>327.77159060792974</v>
      </c>
      <c r="E2856">
        <v>260</v>
      </c>
      <c r="F2856">
        <v>987</v>
      </c>
      <c r="G2856">
        <v>1750</v>
      </c>
      <c r="H2856">
        <f>CONVERT(G2856,"HP","kW")</f>
        <v>1304.974775268973</v>
      </c>
      <c r="I2856">
        <v>0.88129999999999997</v>
      </c>
      <c r="J2856">
        <v>2.5869</v>
      </c>
      <c r="K2856">
        <v>0.6865</v>
      </c>
      <c r="L2856">
        <v>0.38929999999999998</v>
      </c>
      <c r="M2856">
        <v>0.1326</v>
      </c>
      <c r="N2856">
        <f>CONVERT(O2856,"lbf","N")</f>
        <v>6820.4582026789249</v>
      </c>
      <c r="O2856">
        <v>1533.3</v>
      </c>
      <c r="P2856">
        <f t="shared" si="44"/>
        <v>0.34061135371179041</v>
      </c>
    </row>
    <row r="2857" spans="1:16" hidden="1" x14ac:dyDescent="0.25">
      <c r="A2857">
        <v>0</v>
      </c>
      <c r="B2857">
        <v>15000</v>
      </c>
      <c r="C2857">
        <f>1.225 * (1 - 0.00000687559 * B2857) ^ 4.2561</f>
        <v>0.77079726910167001</v>
      </c>
      <c r="D2857">
        <f>E2857*(SQRT($C$2/C2857))</f>
        <v>50.426398555066115</v>
      </c>
      <c r="E2857">
        <v>40</v>
      </c>
      <c r="F2857">
        <v>987</v>
      </c>
      <c r="G2857">
        <v>1750</v>
      </c>
      <c r="H2857">
        <f>CONVERT(G2857,"HP","kW")</f>
        <v>1304.974775268973</v>
      </c>
      <c r="I2857">
        <v>0.25769999999999998</v>
      </c>
      <c r="J2857">
        <v>0.39800000000000002</v>
      </c>
      <c r="K2857">
        <v>0.44600000000000001</v>
      </c>
      <c r="L2857">
        <v>0.38940000000000002</v>
      </c>
      <c r="M2857">
        <v>0.25209999999999999</v>
      </c>
      <c r="N2857">
        <f>CONVERT(O2857,"lbf","N")</f>
        <v>12961.672964707572</v>
      </c>
      <c r="O2857">
        <v>2913.9</v>
      </c>
      <c r="P2857">
        <f t="shared" si="44"/>
        <v>0.6474062660503338</v>
      </c>
    </row>
    <row r="2858" spans="1:16" hidden="1" x14ac:dyDescent="0.25">
      <c r="A2858">
        <v>0</v>
      </c>
      <c r="B2858">
        <v>15000</v>
      </c>
      <c r="C2858">
        <f>1.225 * (1 - 0.00000687559 * B2858) ^ 4.2561</f>
        <v>0.77079726910167001</v>
      </c>
      <c r="D2858">
        <f>E2858*(SQRT($C$2/C2858))</f>
        <v>176.49239494273141</v>
      </c>
      <c r="E2858">
        <v>140</v>
      </c>
      <c r="F2858">
        <v>987</v>
      </c>
      <c r="G2858">
        <v>1750</v>
      </c>
      <c r="H2858">
        <f>CONVERT(G2858,"HP","kW")</f>
        <v>1304.974775268973</v>
      </c>
      <c r="I2858">
        <v>0.8327</v>
      </c>
      <c r="J2858">
        <v>1.3929</v>
      </c>
      <c r="K2858">
        <v>0.52510000000000001</v>
      </c>
      <c r="L2858">
        <v>0.38940000000000002</v>
      </c>
      <c r="M2858">
        <v>0.23280000000000001</v>
      </c>
      <c r="N2858">
        <f>CONVERT(O2858,"lbf","N")</f>
        <v>11968.385078019901</v>
      </c>
      <c r="O2858">
        <v>2690.6</v>
      </c>
      <c r="P2858">
        <f t="shared" si="44"/>
        <v>0.5978428351309707</v>
      </c>
    </row>
    <row r="2859" spans="1:16" hidden="1" x14ac:dyDescent="0.25">
      <c r="A2859">
        <v>0</v>
      </c>
      <c r="B2859">
        <v>15000</v>
      </c>
      <c r="C2859">
        <f>1.225 * (1 - 0.00000687559 * B2859) ^ 4.2561</f>
        <v>0.77079726910167001</v>
      </c>
      <c r="D2859">
        <f>E2859*(SQRT($C$2/C2859))</f>
        <v>201.70559422026446</v>
      </c>
      <c r="E2859">
        <v>160</v>
      </c>
      <c r="F2859">
        <v>987</v>
      </c>
      <c r="G2859">
        <v>1750</v>
      </c>
      <c r="H2859">
        <f>CONVERT(G2859,"HP","kW")</f>
        <v>1304.974775268973</v>
      </c>
      <c r="I2859">
        <v>0.85760000000000003</v>
      </c>
      <c r="J2859">
        <v>1.5919000000000001</v>
      </c>
      <c r="K2859">
        <v>0.54810000000000003</v>
      </c>
      <c r="L2859">
        <v>0.38940000000000002</v>
      </c>
      <c r="M2859">
        <v>0.20979999999999999</v>
      </c>
      <c r="N2859">
        <f>CONVERT(O2859,"lbf","N")</f>
        <v>10785.602950522134</v>
      </c>
      <c r="O2859">
        <v>2424.6999999999998</v>
      </c>
      <c r="P2859">
        <f t="shared" si="44"/>
        <v>0.53877760657421669</v>
      </c>
    </row>
    <row r="2860" spans="1:16" hidden="1" x14ac:dyDescent="0.25">
      <c r="A2860">
        <v>0</v>
      </c>
      <c r="B2860">
        <v>15000</v>
      </c>
      <c r="C2860">
        <f>1.225 * (1 - 0.00000687559 * B2860) ^ 4.2561</f>
        <v>0.77079726910167001</v>
      </c>
      <c r="D2860">
        <f>E2860*(SQRT($C$2/C2860))</f>
        <v>226.91879349779754</v>
      </c>
      <c r="E2860">
        <v>180</v>
      </c>
      <c r="F2860">
        <v>987</v>
      </c>
      <c r="G2860">
        <v>1750</v>
      </c>
      <c r="H2860">
        <f>CONVERT(G2860,"HP","kW")</f>
        <v>1304.974775268973</v>
      </c>
      <c r="I2860">
        <v>0.87409999999999999</v>
      </c>
      <c r="J2860">
        <v>1.7908999999999999</v>
      </c>
      <c r="K2860">
        <v>0.57289999999999996</v>
      </c>
      <c r="L2860">
        <v>0.38940000000000002</v>
      </c>
      <c r="M2860">
        <v>0.19</v>
      </c>
      <c r="N2860">
        <f>CONVERT(O2860,"lbf","N")</f>
        <v>9771.8532444042667</v>
      </c>
      <c r="O2860">
        <v>2196.8000000000002</v>
      </c>
      <c r="P2860">
        <f t="shared" si="44"/>
        <v>0.48793014894709807</v>
      </c>
    </row>
    <row r="2861" spans="1:16" hidden="1" x14ac:dyDescent="0.25">
      <c r="A2861" s="4">
        <v>0</v>
      </c>
      <c r="B2861" s="4">
        <v>15000</v>
      </c>
      <c r="C2861" s="4">
        <f>1.225 * (1 - 0.00000687559 * B2861) ^ 4.2561</f>
        <v>0.77079726910167001</v>
      </c>
      <c r="D2861" s="4">
        <f>E2861*(SQRT($C$2/C2861))</f>
        <v>252.13199277533059</v>
      </c>
      <c r="E2861" s="4">
        <v>200</v>
      </c>
      <c r="F2861" s="4">
        <v>987</v>
      </c>
      <c r="G2861" s="4">
        <v>1750</v>
      </c>
      <c r="H2861" s="4">
        <f>CONVERT(G2861,"HP","kW")</f>
        <v>1304.974775268973</v>
      </c>
      <c r="I2861" s="4">
        <v>0.88439999999999996</v>
      </c>
      <c r="J2861" s="4">
        <v>1.9899</v>
      </c>
      <c r="K2861" s="4">
        <v>0.59930000000000005</v>
      </c>
      <c r="L2861" s="4">
        <v>0.38940000000000002</v>
      </c>
      <c r="M2861" s="4">
        <v>0.1731</v>
      </c>
      <c r="N2861" s="4">
        <f>CONVERT(O2861,"lbf","N")</f>
        <v>8898.2225191671041</v>
      </c>
      <c r="O2861" s="4">
        <v>2000.4</v>
      </c>
      <c r="P2861">
        <f t="shared" si="44"/>
        <v>0.44453004622496145</v>
      </c>
    </row>
    <row r="2862" spans="1:16" hidden="1" x14ac:dyDescent="0.25">
      <c r="A2862">
        <v>0</v>
      </c>
      <c r="B2862">
        <v>15000</v>
      </c>
      <c r="C2862">
        <f>1.225 * (1 - 0.00000687559 * B2862) ^ 4.2561</f>
        <v>0.77079726910167001</v>
      </c>
      <c r="D2862">
        <f>E2862*(SQRT($C$2/C2862))</f>
        <v>277.34519205286364</v>
      </c>
      <c r="E2862">
        <v>220</v>
      </c>
      <c r="F2862">
        <v>987</v>
      </c>
      <c r="G2862">
        <v>1750</v>
      </c>
      <c r="H2862">
        <f>CONVERT(G2862,"HP","kW")</f>
        <v>1304.974775268973</v>
      </c>
      <c r="I2862">
        <v>0.88959999999999995</v>
      </c>
      <c r="J2862">
        <v>2.1888999999999998</v>
      </c>
      <c r="K2862">
        <v>0.62719999999999998</v>
      </c>
      <c r="L2862">
        <v>0.38940000000000002</v>
      </c>
      <c r="M2862">
        <v>0.15820000000000001</v>
      </c>
      <c r="N2862">
        <f>CONVERT(O2862,"lbf","N")</f>
        <v>8136.2421564729793</v>
      </c>
      <c r="O2862">
        <v>1829.1</v>
      </c>
      <c r="P2862">
        <f t="shared" si="44"/>
        <v>0.40626605033384694</v>
      </c>
    </row>
    <row r="2863" spans="1:16" hidden="1" x14ac:dyDescent="0.25">
      <c r="A2863">
        <v>0</v>
      </c>
      <c r="B2863">
        <v>15000</v>
      </c>
      <c r="C2863">
        <f>1.225 * (1 - 0.00000687559 * B2863) ^ 4.2561</f>
        <v>0.77079726910167001</v>
      </c>
      <c r="D2863">
        <f>E2863*(SQRT($C$2/C2863))</f>
        <v>302.55839133039672</v>
      </c>
      <c r="E2863">
        <v>240</v>
      </c>
      <c r="F2863">
        <v>987</v>
      </c>
      <c r="G2863">
        <v>1750</v>
      </c>
      <c r="H2863">
        <f>CONVERT(G2863,"HP","kW")</f>
        <v>1304.974775268973</v>
      </c>
      <c r="I2863">
        <v>0.88990000000000002</v>
      </c>
      <c r="J2863">
        <v>2.3879000000000001</v>
      </c>
      <c r="K2863">
        <v>0.65629999999999999</v>
      </c>
      <c r="L2863">
        <v>0.38940000000000002</v>
      </c>
      <c r="M2863">
        <v>0.14510000000000001</v>
      </c>
      <c r="N2863">
        <f>CONVERT(O2863,"lbf","N")</f>
        <v>7460.5572931149118</v>
      </c>
      <c r="O2863">
        <v>1677.2</v>
      </c>
      <c r="P2863">
        <f t="shared" si="44"/>
        <v>0.3726245505906523</v>
      </c>
    </row>
    <row r="2864" spans="1:16" hidden="1" x14ac:dyDescent="0.25">
      <c r="A2864">
        <v>0</v>
      </c>
      <c r="B2864">
        <v>15000</v>
      </c>
      <c r="C2864">
        <f>1.225 * (1 - 0.00000687559 * B2864) ^ 4.2561</f>
        <v>0.77079726910167001</v>
      </c>
      <c r="D2864">
        <f>E2864*(SQRT($C$2/C2864))</f>
        <v>126.06599638766529</v>
      </c>
      <c r="E2864">
        <v>100</v>
      </c>
      <c r="F2864">
        <v>987</v>
      </c>
      <c r="G2864">
        <v>1750</v>
      </c>
      <c r="H2864">
        <f>CONVERT(G2864,"HP","kW")</f>
        <v>1304.974775268973</v>
      </c>
      <c r="I2864">
        <v>0.74080000000000001</v>
      </c>
      <c r="J2864">
        <v>0.995</v>
      </c>
      <c r="K2864">
        <v>0.48520000000000002</v>
      </c>
      <c r="L2864">
        <v>0.38950000000000001</v>
      </c>
      <c r="M2864">
        <v>0.28999999999999998</v>
      </c>
      <c r="N2864">
        <f>CONVERT(O2864,"lbf","N")</f>
        <v>14907.325099222515</v>
      </c>
      <c r="O2864">
        <v>3351.3</v>
      </c>
      <c r="P2864">
        <f t="shared" si="44"/>
        <v>0.74454428754813862</v>
      </c>
    </row>
    <row r="2865" spans="1:16" hidden="1" x14ac:dyDescent="0.25">
      <c r="A2865">
        <v>0</v>
      </c>
      <c r="B2865">
        <v>15000</v>
      </c>
      <c r="C2865">
        <f>1.225 * (1 - 0.00000687559 * B2865) ^ 4.2561</f>
        <v>0.77079726910167001</v>
      </c>
      <c r="D2865">
        <f>E2865*(SQRT($C$2/C2865))</f>
        <v>0</v>
      </c>
      <c r="E2865">
        <v>0</v>
      </c>
      <c r="F2865">
        <v>987</v>
      </c>
      <c r="G2865">
        <v>1750</v>
      </c>
      <c r="H2865">
        <f>CONVERT(G2865,"HP","kW")</f>
        <v>1304.974775268973</v>
      </c>
      <c r="I2865">
        <v>0</v>
      </c>
      <c r="J2865">
        <v>0</v>
      </c>
      <c r="K2865">
        <v>0.435</v>
      </c>
      <c r="L2865">
        <v>0.3896</v>
      </c>
      <c r="M2865">
        <v>0.19370000000000001</v>
      </c>
      <c r="N2865">
        <f>CONVERT(O2865,"lbf","N")</f>
        <v>9953.7855084684197</v>
      </c>
      <c r="O2865">
        <v>2237.6999999999998</v>
      </c>
      <c r="P2865">
        <f t="shared" si="44"/>
        <v>0.49717659137577003</v>
      </c>
    </row>
    <row r="2866" spans="1:16" hidden="1" x14ac:dyDescent="0.25">
      <c r="A2866">
        <v>0</v>
      </c>
      <c r="B2866">
        <v>25000</v>
      </c>
      <c r="C2866">
        <f>1.225 * (1 - 0.00000687559 * B2866) ^ 4.2561</f>
        <v>0.54892259437885793</v>
      </c>
      <c r="D2866">
        <f>E2866*(SQRT($C$2/C2866))</f>
        <v>149.38689160910337</v>
      </c>
      <c r="E2866">
        <v>100</v>
      </c>
      <c r="F2866">
        <v>987</v>
      </c>
      <c r="G2866">
        <v>1250</v>
      </c>
      <c r="H2866">
        <f>CONVERT(G2866,"HP","kW")</f>
        <v>932.12483947783778</v>
      </c>
      <c r="I2866">
        <v>0.79239999999999999</v>
      </c>
      <c r="J2866">
        <v>1.179</v>
      </c>
      <c r="K2866">
        <v>0.52300000000000002</v>
      </c>
      <c r="L2866">
        <v>0.3901</v>
      </c>
      <c r="M2866">
        <v>0.2621</v>
      </c>
      <c r="N2866">
        <f>CONVERT(O2866,"lbf","N")</f>
        <v>9610.8276219318359</v>
      </c>
      <c r="O2866">
        <v>2160.6</v>
      </c>
      <c r="P2866">
        <f t="shared" si="44"/>
        <v>0.67187900538323508</v>
      </c>
    </row>
    <row r="2867" spans="1:16" hidden="1" x14ac:dyDescent="0.25">
      <c r="A2867">
        <v>0</v>
      </c>
      <c r="B2867">
        <v>25000</v>
      </c>
      <c r="C2867">
        <f>1.225 * (1 - 0.00000687559 * B2867) ^ 4.2561</f>
        <v>0.54892259437885793</v>
      </c>
      <c r="D2867">
        <f>E2867*(SQRT($C$2/C2867))</f>
        <v>388.40591818366875</v>
      </c>
      <c r="E2867">
        <v>260</v>
      </c>
      <c r="F2867">
        <v>987</v>
      </c>
      <c r="G2867">
        <v>1250</v>
      </c>
      <c r="H2867">
        <f>CONVERT(G2867,"HP","kW")</f>
        <v>932.12483947783778</v>
      </c>
      <c r="I2867">
        <v>0.69499999999999995</v>
      </c>
      <c r="J2867">
        <v>3.0653999999999999</v>
      </c>
      <c r="K2867">
        <v>0.79400000000000004</v>
      </c>
      <c r="L2867">
        <v>0.39029999999999998</v>
      </c>
      <c r="M2867">
        <v>8.8499999999999995E-2</v>
      </c>
      <c r="N2867">
        <f>CONVERT(O2867,"lbf","N")</f>
        <v>3242.3087353633787</v>
      </c>
      <c r="O2867">
        <v>728.9</v>
      </c>
      <c r="P2867">
        <f t="shared" si="44"/>
        <v>0.22674865488086088</v>
      </c>
    </row>
    <row r="2868" spans="1:16" hidden="1" x14ac:dyDescent="0.25">
      <c r="A2868">
        <v>0</v>
      </c>
      <c r="B2868">
        <v>25000</v>
      </c>
      <c r="C2868">
        <f>1.225 * (1 - 0.00000687559 * B2868) ^ 4.2561</f>
        <v>0.54892259437885793</v>
      </c>
      <c r="D2868">
        <f>E2868*(SQRT($C$2/C2868))</f>
        <v>119.50951328728269</v>
      </c>
      <c r="E2868">
        <v>80</v>
      </c>
      <c r="F2868">
        <v>987</v>
      </c>
      <c r="G2868">
        <v>1250</v>
      </c>
      <c r="H2868">
        <f>CONVERT(G2868,"HP","kW")</f>
        <v>932.12483947783778</v>
      </c>
      <c r="I2868">
        <v>0.71699999999999997</v>
      </c>
      <c r="J2868">
        <v>0.94320000000000004</v>
      </c>
      <c r="K2868">
        <v>0.50029999999999997</v>
      </c>
      <c r="L2868">
        <v>0.39040000000000002</v>
      </c>
      <c r="M2868">
        <v>0.29680000000000001</v>
      </c>
      <c r="N2868">
        <f>CONVERT(O2868,"lbf","N")</f>
        <v>10870.563983373611</v>
      </c>
      <c r="O2868">
        <v>2443.8000000000002</v>
      </c>
      <c r="P2868">
        <f t="shared" si="44"/>
        <v>0.76024590163934425</v>
      </c>
    </row>
    <row r="2869" spans="1:16" hidden="1" x14ac:dyDescent="0.25">
      <c r="A2869">
        <v>0</v>
      </c>
      <c r="B2869">
        <v>25000</v>
      </c>
      <c r="C2869">
        <f>1.225 * (1 - 0.00000687559 * B2869) ^ 4.2561</f>
        <v>0.54892259437885793</v>
      </c>
      <c r="D2869">
        <f>E2869*(SQRT($C$2/C2869))</f>
        <v>29.877378321820672</v>
      </c>
      <c r="E2869">
        <v>20</v>
      </c>
      <c r="F2869">
        <v>987</v>
      </c>
      <c r="G2869">
        <v>1250</v>
      </c>
      <c r="H2869">
        <f>CONVERT(G2869,"HP","kW")</f>
        <v>932.12483947783778</v>
      </c>
      <c r="I2869">
        <v>0.13689999999999999</v>
      </c>
      <c r="J2869">
        <v>0.23580000000000001</v>
      </c>
      <c r="K2869">
        <v>0.4582</v>
      </c>
      <c r="L2869">
        <v>0.39050000000000001</v>
      </c>
      <c r="M2869">
        <v>0.2266</v>
      </c>
      <c r="N2869">
        <f>CONVERT(O2869,"lbf","N")</f>
        <v>8300.3815340760939</v>
      </c>
      <c r="O2869">
        <v>1866</v>
      </c>
      <c r="P2869">
        <f t="shared" si="44"/>
        <v>0.58028169014084507</v>
      </c>
    </row>
    <row r="2870" spans="1:16" hidden="1" x14ac:dyDescent="0.25">
      <c r="A2870">
        <v>0</v>
      </c>
      <c r="B2870">
        <v>25000</v>
      </c>
      <c r="C2870">
        <f>1.225 * (1 - 0.00000687559 * B2870) ^ 4.2561</f>
        <v>0.54892259437885793</v>
      </c>
      <c r="D2870">
        <f>E2870*(SQRT($C$2/C2870))</f>
        <v>59.754756643641343</v>
      </c>
      <c r="E2870">
        <v>40</v>
      </c>
      <c r="F2870">
        <v>987</v>
      </c>
      <c r="G2870">
        <v>1250</v>
      </c>
      <c r="H2870">
        <f>CONVERT(G2870,"HP","kW")</f>
        <v>932.12483947783778</v>
      </c>
      <c r="I2870">
        <v>0.31869999999999998</v>
      </c>
      <c r="J2870">
        <v>0.47160000000000002</v>
      </c>
      <c r="K2870">
        <v>0.46760000000000002</v>
      </c>
      <c r="L2870">
        <v>0.39050000000000001</v>
      </c>
      <c r="M2870">
        <v>0.26390000000000002</v>
      </c>
      <c r="N2870">
        <f>CONVERT(O2870,"lbf","N")</f>
        <v>9664.6511034764881</v>
      </c>
      <c r="O2870">
        <v>2172.6999999999998</v>
      </c>
      <c r="P2870">
        <f t="shared" si="44"/>
        <v>0.67580025608194627</v>
      </c>
    </row>
    <row r="2871" spans="1:16" hidden="1" x14ac:dyDescent="0.25">
      <c r="A2871">
        <v>0</v>
      </c>
      <c r="B2871">
        <v>25000</v>
      </c>
      <c r="C2871">
        <f>1.225 * (1 - 0.00000687559 * B2871) ^ 4.2561</f>
        <v>0.54892259437885793</v>
      </c>
      <c r="D2871">
        <f>E2871*(SQRT($C$2/C2871))</f>
        <v>179.26426993092403</v>
      </c>
      <c r="E2871">
        <v>120</v>
      </c>
      <c r="F2871">
        <v>987</v>
      </c>
      <c r="G2871">
        <v>1250</v>
      </c>
      <c r="H2871">
        <f>CONVERT(G2871,"HP","kW")</f>
        <v>932.12483947783778</v>
      </c>
      <c r="I2871">
        <v>0.83520000000000005</v>
      </c>
      <c r="J2871">
        <v>1.4148000000000001</v>
      </c>
      <c r="K2871">
        <v>0.54900000000000004</v>
      </c>
      <c r="L2871">
        <v>0.39050000000000001</v>
      </c>
      <c r="M2871">
        <v>0.23050000000000001</v>
      </c>
      <c r="N2871">
        <f>CONVERT(O2871,"lbf","N")</f>
        <v>8442.2798036029035</v>
      </c>
      <c r="O2871">
        <v>1897.9</v>
      </c>
      <c r="P2871">
        <f t="shared" si="44"/>
        <v>0.59026888604353389</v>
      </c>
    </row>
    <row r="2872" spans="1:16" hidden="1" x14ac:dyDescent="0.25">
      <c r="A2872">
        <v>0</v>
      </c>
      <c r="B2872">
        <v>25000</v>
      </c>
      <c r="C2872">
        <f>1.225 * (1 - 0.00000687559 * B2872) ^ 4.2561</f>
        <v>0.54892259437885793</v>
      </c>
      <c r="D2872">
        <f>E2872*(SQRT($C$2/C2872))</f>
        <v>209.14164825274472</v>
      </c>
      <c r="E2872">
        <v>140</v>
      </c>
      <c r="F2872">
        <v>987</v>
      </c>
      <c r="G2872">
        <v>1250</v>
      </c>
      <c r="H2872">
        <f>CONVERT(G2872,"HP","kW")</f>
        <v>932.12483947783778</v>
      </c>
      <c r="I2872">
        <v>0.86260000000000003</v>
      </c>
      <c r="J2872">
        <v>1.6506000000000001</v>
      </c>
      <c r="K2872">
        <v>0.57779999999999998</v>
      </c>
      <c r="L2872">
        <v>0.39050000000000001</v>
      </c>
      <c r="M2872">
        <v>0.2041</v>
      </c>
      <c r="N2872">
        <f>CONVERT(O2872,"lbf","N")</f>
        <v>7473.9019579606929</v>
      </c>
      <c r="O2872">
        <v>1680.2</v>
      </c>
      <c r="P2872">
        <f t="shared" si="44"/>
        <v>0.52266325224071697</v>
      </c>
    </row>
    <row r="2873" spans="1:16" hidden="1" x14ac:dyDescent="0.25">
      <c r="A2873">
        <v>0</v>
      </c>
      <c r="B2873">
        <v>25000</v>
      </c>
      <c r="C2873">
        <f>1.225 * (1 - 0.00000687559 * B2873) ^ 4.2561</f>
        <v>0.54892259437885793</v>
      </c>
      <c r="D2873">
        <f>E2873*(SQRT($C$2/C2873))</f>
        <v>239.01902657456537</v>
      </c>
      <c r="E2873">
        <v>160</v>
      </c>
      <c r="F2873">
        <v>987</v>
      </c>
      <c r="G2873">
        <v>1250</v>
      </c>
      <c r="H2873">
        <f>CONVERT(G2873,"HP","kW")</f>
        <v>932.12483947783778</v>
      </c>
      <c r="I2873">
        <v>0.87929999999999997</v>
      </c>
      <c r="J2873">
        <v>1.8864000000000001</v>
      </c>
      <c r="K2873">
        <v>0.60919999999999996</v>
      </c>
      <c r="L2873">
        <v>0.39050000000000001</v>
      </c>
      <c r="M2873">
        <v>0.182</v>
      </c>
      <c r="N2873">
        <f>CONVERT(O2873,"lbf","N")</f>
        <v>6665.6600904678598</v>
      </c>
      <c r="O2873">
        <v>1498.5</v>
      </c>
      <c r="P2873">
        <f t="shared" si="44"/>
        <v>0.46606914212548012</v>
      </c>
    </row>
    <row r="2874" spans="1:16" hidden="1" x14ac:dyDescent="0.25">
      <c r="A2874">
        <v>0</v>
      </c>
      <c r="B2874">
        <v>25000</v>
      </c>
      <c r="C2874">
        <f>1.225 * (1 - 0.00000687559 * B2874) ^ 4.2561</f>
        <v>0.54892259437885793</v>
      </c>
      <c r="D2874">
        <f>E2874*(SQRT($C$2/C2874))</f>
        <v>268.89640489638606</v>
      </c>
      <c r="E2874">
        <v>180</v>
      </c>
      <c r="F2874">
        <v>987</v>
      </c>
      <c r="G2874">
        <v>1250</v>
      </c>
      <c r="H2874">
        <f>CONVERT(G2874,"HP","kW")</f>
        <v>932.12483947783778</v>
      </c>
      <c r="I2874">
        <v>0.88800000000000001</v>
      </c>
      <c r="J2874">
        <v>2.1221999999999999</v>
      </c>
      <c r="K2874">
        <v>0.64280000000000004</v>
      </c>
      <c r="L2874">
        <v>0.39050000000000001</v>
      </c>
      <c r="M2874">
        <v>0.16339999999999999</v>
      </c>
      <c r="N2874">
        <f>CONVERT(O2874,"lbf","N")</f>
        <v>5983.7477168484247</v>
      </c>
      <c r="O2874">
        <v>1345.2</v>
      </c>
      <c r="P2874">
        <f t="shared" si="44"/>
        <v>0.41843790012804094</v>
      </c>
    </row>
    <row r="2875" spans="1:16" hidden="1" x14ac:dyDescent="0.25">
      <c r="A2875">
        <v>0</v>
      </c>
      <c r="B2875">
        <v>25000</v>
      </c>
      <c r="C2875">
        <f>1.225 * (1 - 0.00000687559 * B2875) ^ 4.2561</f>
        <v>0.54892259437885793</v>
      </c>
      <c r="D2875">
        <f>E2875*(SQRT($C$2/C2875))</f>
        <v>328.65116154002743</v>
      </c>
      <c r="E2875">
        <v>220</v>
      </c>
      <c r="F2875">
        <v>987</v>
      </c>
      <c r="G2875">
        <v>1250</v>
      </c>
      <c r="H2875">
        <f>CONVERT(G2875,"HP","kW")</f>
        <v>932.12483947783778</v>
      </c>
      <c r="I2875">
        <v>0.878</v>
      </c>
      <c r="J2875">
        <v>2.5937999999999999</v>
      </c>
      <c r="K2875">
        <v>0.71560000000000001</v>
      </c>
      <c r="L2875">
        <v>0.39050000000000001</v>
      </c>
      <c r="M2875">
        <v>0.13220000000000001</v>
      </c>
      <c r="N2875">
        <f>CONVERT(O2875,"lbf","N")</f>
        <v>4840.5547617264765</v>
      </c>
      <c r="O2875">
        <v>1088.2</v>
      </c>
      <c r="P2875">
        <f t="shared" si="44"/>
        <v>0.33854033290653013</v>
      </c>
    </row>
    <row r="2876" spans="1:16" hidden="1" x14ac:dyDescent="0.25">
      <c r="A2876">
        <v>0</v>
      </c>
      <c r="B2876">
        <v>25000</v>
      </c>
      <c r="C2876">
        <f>1.225 * (1 - 0.00000687559 * B2876) ^ 4.2561</f>
        <v>0.54892259437885793</v>
      </c>
      <c r="D2876">
        <f>E2876*(SQRT($C$2/C2876))</f>
        <v>358.52853986184806</v>
      </c>
      <c r="E2876">
        <v>240</v>
      </c>
      <c r="F2876">
        <v>987</v>
      </c>
      <c r="G2876">
        <v>1250</v>
      </c>
      <c r="H2876">
        <f>CONVERT(G2876,"HP","kW")</f>
        <v>932.12483947783778</v>
      </c>
      <c r="I2876">
        <v>0.82130000000000003</v>
      </c>
      <c r="J2876">
        <v>2.8296000000000001</v>
      </c>
      <c r="K2876">
        <v>0.75419999999999998</v>
      </c>
      <c r="L2876">
        <v>0.39050000000000001</v>
      </c>
      <c r="M2876">
        <v>0.1133</v>
      </c>
      <c r="N2876">
        <f>CONVERT(O2876,"lbf","N")</f>
        <v>4150.6355891995727</v>
      </c>
      <c r="O2876">
        <v>933.1</v>
      </c>
      <c r="P2876">
        <f t="shared" si="44"/>
        <v>0.29014084507042254</v>
      </c>
    </row>
    <row r="2877" spans="1:16" hidden="1" x14ac:dyDescent="0.25">
      <c r="A2877">
        <v>0</v>
      </c>
      <c r="B2877">
        <v>25000</v>
      </c>
      <c r="C2877">
        <f>1.225 * (1 - 0.00000687559 * B2877) ^ 4.2561</f>
        <v>0.54892259437885793</v>
      </c>
      <c r="D2877">
        <f>E2877*(SQRT($C$2/C2877))</f>
        <v>298.77378321820675</v>
      </c>
      <c r="E2877">
        <v>200</v>
      </c>
      <c r="F2877">
        <v>987</v>
      </c>
      <c r="G2877">
        <v>1250</v>
      </c>
      <c r="H2877">
        <f>CONVERT(G2877,"HP","kW")</f>
        <v>932.12483947783778</v>
      </c>
      <c r="I2877">
        <v>0.88939999999999997</v>
      </c>
      <c r="J2877">
        <v>2.3580000000000001</v>
      </c>
      <c r="K2877">
        <v>0.6784</v>
      </c>
      <c r="L2877">
        <v>0.39069999999999999</v>
      </c>
      <c r="M2877">
        <v>0.14729999999999999</v>
      </c>
      <c r="N2877">
        <f>CONVERT(O2877,"lbf","N")</f>
        <v>5393.9135306648814</v>
      </c>
      <c r="O2877">
        <v>1212.5999999999999</v>
      </c>
      <c r="P2877">
        <f t="shared" si="44"/>
        <v>0.37701561300230352</v>
      </c>
    </row>
    <row r="2878" spans="1:16" hidden="1" x14ac:dyDescent="0.25">
      <c r="A2878">
        <v>0</v>
      </c>
      <c r="B2878">
        <v>25000</v>
      </c>
      <c r="C2878">
        <f>1.225 * (1 - 0.00000687559 * B2878) ^ 4.2561</f>
        <v>0.54892259437885793</v>
      </c>
      <c r="D2878">
        <f>E2878*(SQRT($C$2/C2878))</f>
        <v>0</v>
      </c>
      <c r="E2878">
        <v>0</v>
      </c>
      <c r="F2878">
        <v>987</v>
      </c>
      <c r="G2878">
        <v>1250</v>
      </c>
      <c r="H2878">
        <f>CONVERT(G2878,"HP","kW")</f>
        <v>932.12483947783778</v>
      </c>
      <c r="I2878">
        <v>0</v>
      </c>
      <c r="J2878">
        <v>0</v>
      </c>
      <c r="K2878">
        <v>0.45269999999999999</v>
      </c>
      <c r="L2878">
        <v>0.39079999999999998</v>
      </c>
      <c r="M2878">
        <v>0.1933</v>
      </c>
      <c r="N2878">
        <f>CONVERT(O2878,"lbf","N")</f>
        <v>7073.5620125872465</v>
      </c>
      <c r="O2878">
        <v>1590.2</v>
      </c>
      <c r="P2878">
        <f t="shared" si="44"/>
        <v>0.49462640736949848</v>
      </c>
    </row>
    <row r="2879" spans="1:16" hidden="1" x14ac:dyDescent="0.25">
      <c r="A2879">
        <v>0</v>
      </c>
      <c r="B2879">
        <v>25000</v>
      </c>
      <c r="C2879">
        <f>1.225 * (1 - 0.00000687559 * B2879) ^ 4.2561</f>
        <v>0.54892259437885793</v>
      </c>
      <c r="D2879">
        <f>E2879*(SQRT($C$2/C2879))</f>
        <v>89.632134965462015</v>
      </c>
      <c r="E2879">
        <v>60</v>
      </c>
      <c r="F2879">
        <v>987</v>
      </c>
      <c r="G2879">
        <v>1250</v>
      </c>
      <c r="H2879">
        <f>CONVERT(G2879,"HP","kW")</f>
        <v>932.12483947783778</v>
      </c>
      <c r="I2879">
        <v>0.54290000000000005</v>
      </c>
      <c r="J2879">
        <v>0.70740000000000003</v>
      </c>
      <c r="K2879">
        <v>0.48159999999999997</v>
      </c>
      <c r="L2879">
        <v>0.39079999999999998</v>
      </c>
      <c r="M2879">
        <v>0.2999</v>
      </c>
      <c r="N2879">
        <f>CONVERT(O2879,"lbf","N")</f>
        <v>10974.20754700918</v>
      </c>
      <c r="O2879">
        <v>2467.1</v>
      </c>
      <c r="P2879">
        <f t="shared" si="44"/>
        <v>0.76740020470829073</v>
      </c>
    </row>
    <row r="2880" spans="1:16" hidden="1" x14ac:dyDescent="0.25">
      <c r="A2880">
        <v>0</v>
      </c>
      <c r="B2880">
        <v>20000</v>
      </c>
      <c r="C2880">
        <f>1.225 * (1 - 0.00000687559 * B2880) ^ 4.2561</f>
        <v>0.65267221054298263</v>
      </c>
      <c r="D2880">
        <f>E2880*(SQRT($C$2/C2880))</f>
        <v>27.399994721664136</v>
      </c>
      <c r="E2880">
        <v>20</v>
      </c>
      <c r="F2880">
        <v>987</v>
      </c>
      <c r="G2880">
        <v>1500</v>
      </c>
      <c r="H2880">
        <f>CONVERT(G2880,"HP","kW")</f>
        <v>1118.5498073734054</v>
      </c>
      <c r="I2880">
        <v>0.1205</v>
      </c>
      <c r="J2880">
        <v>0.2162</v>
      </c>
      <c r="K2880">
        <v>0.44850000000000001</v>
      </c>
      <c r="L2880">
        <v>0.39400000000000002</v>
      </c>
      <c r="M2880">
        <v>0.21959999999999999</v>
      </c>
      <c r="N2880">
        <f>CONVERT(O2880,"lbf","N")</f>
        <v>9562.3420063254962</v>
      </c>
      <c r="O2880">
        <v>2149.6999999999998</v>
      </c>
      <c r="P2880">
        <f t="shared" si="44"/>
        <v>0.5573604060913705</v>
      </c>
    </row>
    <row r="2881" spans="1:16" hidden="1" x14ac:dyDescent="0.25">
      <c r="A2881">
        <v>0</v>
      </c>
      <c r="B2881">
        <v>20000</v>
      </c>
      <c r="C2881">
        <f>1.225 * (1 - 0.00000687559 * B2881) ^ 4.2561</f>
        <v>0.65267221054298263</v>
      </c>
      <c r="D2881">
        <f>E2881*(SQRT($C$2/C2881))</f>
        <v>109.59997888665654</v>
      </c>
      <c r="E2881">
        <v>80</v>
      </c>
      <c r="F2881">
        <v>987</v>
      </c>
      <c r="G2881">
        <v>1500</v>
      </c>
      <c r="H2881">
        <f>CONVERT(G2881,"HP","kW")</f>
        <v>1118.5498073734054</v>
      </c>
      <c r="I2881">
        <v>0.67449999999999999</v>
      </c>
      <c r="J2881">
        <v>0.86499999999999999</v>
      </c>
      <c r="K2881">
        <v>0.48349999999999999</v>
      </c>
      <c r="L2881">
        <v>0.39400000000000002</v>
      </c>
      <c r="M2881">
        <v>0.30719999999999997</v>
      </c>
      <c r="N2881">
        <f>CONVERT(O2881,"lbf","N")</f>
        <v>13382.02990734969</v>
      </c>
      <c r="O2881">
        <v>3008.4</v>
      </c>
      <c r="P2881">
        <f t="shared" si="44"/>
        <v>0.77969543147208109</v>
      </c>
    </row>
    <row r="2882" spans="1:16" hidden="1" x14ac:dyDescent="0.25">
      <c r="A2882">
        <v>0</v>
      </c>
      <c r="B2882">
        <v>20000</v>
      </c>
      <c r="C2882">
        <f>1.225 * (1 - 0.00000687559 * B2882) ^ 4.2561</f>
        <v>0.65267221054298263</v>
      </c>
      <c r="D2882">
        <f>E2882*(SQRT($C$2/C2882))</f>
        <v>54.799989443328272</v>
      </c>
      <c r="E2882">
        <v>40</v>
      </c>
      <c r="F2882">
        <v>987</v>
      </c>
      <c r="G2882">
        <v>1500</v>
      </c>
      <c r="H2882">
        <f>CONVERT(G2882,"HP","kW")</f>
        <v>1118.5498073734054</v>
      </c>
      <c r="I2882">
        <v>0.28029999999999999</v>
      </c>
      <c r="J2882">
        <v>0.4325</v>
      </c>
      <c r="K2882">
        <v>0.45639999999999997</v>
      </c>
      <c r="L2882">
        <v>0.39410000000000001</v>
      </c>
      <c r="M2882">
        <v>0.25540000000000002</v>
      </c>
      <c r="N2882">
        <f>CONVERT(O2882,"lbf","N")</f>
        <v>11121.443682474301</v>
      </c>
      <c r="O2882">
        <v>2500.1999999999998</v>
      </c>
      <c r="P2882">
        <f t="shared" si="44"/>
        <v>0.64805886830753623</v>
      </c>
    </row>
    <row r="2883" spans="1:16" hidden="1" x14ac:dyDescent="0.25">
      <c r="A2883">
        <v>0</v>
      </c>
      <c r="B2883">
        <v>20000</v>
      </c>
      <c r="C2883">
        <f>1.225 * (1 - 0.00000687559 * B2883) ^ 4.2561</f>
        <v>0.65267221054298263</v>
      </c>
      <c r="D2883">
        <f>E2883*(SQRT($C$2/C2883))</f>
        <v>82.199984164992401</v>
      </c>
      <c r="E2883">
        <v>60</v>
      </c>
      <c r="F2883">
        <v>987</v>
      </c>
      <c r="G2883">
        <v>1500</v>
      </c>
      <c r="H2883">
        <f>CONVERT(G2883,"HP","kW")</f>
        <v>1118.5498073734054</v>
      </c>
      <c r="I2883">
        <v>0.47570000000000001</v>
      </c>
      <c r="J2883">
        <v>0.64870000000000005</v>
      </c>
      <c r="K2883">
        <v>0.46810000000000002</v>
      </c>
      <c r="L2883">
        <v>0.39410000000000001</v>
      </c>
      <c r="M2883">
        <v>0.28899999999999998</v>
      </c>
      <c r="N2883">
        <f>CONVERT(O2883,"lbf","N")</f>
        <v>12583.574127410429</v>
      </c>
      <c r="O2883">
        <v>2828.9</v>
      </c>
      <c r="P2883">
        <f t="shared" ref="P2883:P2946" si="45">M2883/L2883</f>
        <v>0.73331641715300677</v>
      </c>
    </row>
    <row r="2884" spans="1:16" hidden="1" x14ac:dyDescent="0.25">
      <c r="A2884">
        <v>0</v>
      </c>
      <c r="B2884">
        <v>20000</v>
      </c>
      <c r="C2884">
        <f>1.225 * (1 - 0.00000687559 * B2884) ^ 4.2561</f>
        <v>0.65267221054298263</v>
      </c>
      <c r="D2884">
        <f>E2884*(SQRT($C$2/C2884))</f>
        <v>164.3999683299848</v>
      </c>
      <c r="E2884">
        <v>120</v>
      </c>
      <c r="F2884">
        <v>987</v>
      </c>
      <c r="G2884">
        <v>1500</v>
      </c>
      <c r="H2884">
        <f>CONVERT(G2884,"HP","kW")</f>
        <v>1118.5498073734054</v>
      </c>
      <c r="I2884">
        <v>0.81530000000000002</v>
      </c>
      <c r="J2884">
        <v>1.2975000000000001</v>
      </c>
      <c r="K2884">
        <v>0.52490000000000003</v>
      </c>
      <c r="L2884">
        <v>0.39410000000000001</v>
      </c>
      <c r="M2884">
        <v>0.2477</v>
      </c>
      <c r="N2884">
        <f>CONVERT(O2884,"lbf","N")</f>
        <v>10782.93401755298</v>
      </c>
      <c r="O2884">
        <v>2424.1</v>
      </c>
      <c r="P2884">
        <f t="shared" si="45"/>
        <v>0.62852068003044914</v>
      </c>
    </row>
    <row r="2885" spans="1:16" hidden="1" x14ac:dyDescent="0.25">
      <c r="A2885">
        <v>0</v>
      </c>
      <c r="B2885">
        <v>20000</v>
      </c>
      <c r="C2885">
        <f>1.225 * (1 - 0.00000687559 * B2885) ^ 4.2561</f>
        <v>0.65267221054298263</v>
      </c>
      <c r="D2885">
        <f>E2885*(SQRT($C$2/C2885))</f>
        <v>191.79996305164894</v>
      </c>
      <c r="E2885">
        <v>140</v>
      </c>
      <c r="F2885">
        <v>987</v>
      </c>
      <c r="G2885">
        <v>1500</v>
      </c>
      <c r="H2885">
        <f>CONVERT(G2885,"HP","kW")</f>
        <v>1118.5498073734054</v>
      </c>
      <c r="I2885">
        <v>0.84770000000000001</v>
      </c>
      <c r="J2885">
        <v>1.5137</v>
      </c>
      <c r="K2885">
        <v>0.54949999999999999</v>
      </c>
      <c r="L2885">
        <v>0.39410000000000001</v>
      </c>
      <c r="M2885">
        <v>0.22070000000000001</v>
      </c>
      <c r="N2885">
        <f>CONVERT(O2885,"lbf","N")</f>
        <v>9609.4931554472587</v>
      </c>
      <c r="O2885">
        <v>2160.3000000000002</v>
      </c>
      <c r="P2885">
        <f t="shared" si="45"/>
        <v>0.56001014970819585</v>
      </c>
    </row>
    <row r="2886" spans="1:16" hidden="1" x14ac:dyDescent="0.25">
      <c r="A2886">
        <v>0</v>
      </c>
      <c r="B2886">
        <v>20000</v>
      </c>
      <c r="C2886">
        <f>1.225 * (1 - 0.00000687559 * B2886) ^ 4.2561</f>
        <v>0.65267221054298263</v>
      </c>
      <c r="D2886">
        <f>E2886*(SQRT($C$2/C2886))</f>
        <v>219.19995777331309</v>
      </c>
      <c r="E2886">
        <v>160</v>
      </c>
      <c r="F2886">
        <v>987</v>
      </c>
      <c r="G2886">
        <v>1500</v>
      </c>
      <c r="H2886">
        <f>CONVERT(G2886,"HP","kW")</f>
        <v>1118.5498073734054</v>
      </c>
      <c r="I2886">
        <v>0.86870000000000003</v>
      </c>
      <c r="J2886">
        <v>1.73</v>
      </c>
      <c r="K2886">
        <v>0.57630000000000003</v>
      </c>
      <c r="L2886">
        <v>0.39410000000000001</v>
      </c>
      <c r="M2886">
        <v>0.19789999999999999</v>
      </c>
      <c r="N2886">
        <f>CONVERT(O2886,"lbf","N")</f>
        <v>8617.5397352441669</v>
      </c>
      <c r="O2886">
        <v>1937.3</v>
      </c>
      <c r="P2886">
        <f t="shared" si="45"/>
        <v>0.50215681299162651</v>
      </c>
    </row>
    <row r="2887" spans="1:16" hidden="1" x14ac:dyDescent="0.25">
      <c r="A2887">
        <v>0</v>
      </c>
      <c r="B2887">
        <v>20000</v>
      </c>
      <c r="C2887">
        <f>1.225 * (1 - 0.00000687559 * B2887) ^ 4.2561</f>
        <v>0.65267221054298263</v>
      </c>
      <c r="D2887">
        <f>E2887*(SQRT($C$2/C2887))</f>
        <v>246.59995249497723</v>
      </c>
      <c r="E2887">
        <v>180</v>
      </c>
      <c r="F2887">
        <v>987</v>
      </c>
      <c r="G2887">
        <v>1500</v>
      </c>
      <c r="H2887">
        <f>CONVERT(G2887,"HP","kW")</f>
        <v>1118.5498073734054</v>
      </c>
      <c r="I2887">
        <v>0.88180000000000003</v>
      </c>
      <c r="J2887">
        <v>1.9461999999999999</v>
      </c>
      <c r="K2887">
        <v>0.60509999999999997</v>
      </c>
      <c r="L2887">
        <v>0.39410000000000001</v>
      </c>
      <c r="M2887">
        <v>0.17860000000000001</v>
      </c>
      <c r="N2887">
        <f>CONVERT(O2887,"lbf","N")</f>
        <v>7775.0465613138285</v>
      </c>
      <c r="O2887">
        <v>1747.9</v>
      </c>
      <c r="P2887">
        <f t="shared" si="45"/>
        <v>0.4531844709464603</v>
      </c>
    </row>
    <row r="2888" spans="1:16" hidden="1" x14ac:dyDescent="0.25">
      <c r="A2888">
        <v>0</v>
      </c>
      <c r="B2888">
        <v>20000</v>
      </c>
      <c r="C2888">
        <f>1.225 * (1 - 0.00000687559 * B2888) ^ 4.2561</f>
        <v>0.65267221054298263</v>
      </c>
      <c r="D2888">
        <f>E2888*(SQRT($C$2/C2888))</f>
        <v>273.99994721664137</v>
      </c>
      <c r="E2888">
        <v>200</v>
      </c>
      <c r="F2888">
        <v>987</v>
      </c>
      <c r="G2888">
        <v>1500</v>
      </c>
      <c r="H2888">
        <f>CONVERT(G2888,"HP","kW")</f>
        <v>1118.5498073734054</v>
      </c>
      <c r="I2888">
        <v>0.88859999999999995</v>
      </c>
      <c r="J2888">
        <v>2.1625000000000001</v>
      </c>
      <c r="K2888">
        <v>0.63570000000000004</v>
      </c>
      <c r="L2888">
        <v>0.39410000000000001</v>
      </c>
      <c r="M2888">
        <v>0.16200000000000001</v>
      </c>
      <c r="N2888">
        <f>CONVERT(O2888,"lbf","N")</f>
        <v>7051.3209045109452</v>
      </c>
      <c r="O2888">
        <v>1585.2</v>
      </c>
      <c r="P2888">
        <f t="shared" si="45"/>
        <v>0.41106318193351943</v>
      </c>
    </row>
    <row r="2889" spans="1:16" hidden="1" x14ac:dyDescent="0.25">
      <c r="A2889">
        <v>0</v>
      </c>
      <c r="B2889">
        <v>20000</v>
      </c>
      <c r="C2889">
        <f>1.225 * (1 - 0.00000687559 * B2889) ^ 4.2561</f>
        <v>0.65267221054298263</v>
      </c>
      <c r="D2889">
        <f>E2889*(SQRT($C$2/C2889))</f>
        <v>328.7999366599696</v>
      </c>
      <c r="E2889">
        <v>240</v>
      </c>
      <c r="F2889">
        <v>987</v>
      </c>
      <c r="G2889">
        <v>1500</v>
      </c>
      <c r="H2889">
        <f>CONVERT(G2889,"HP","kW")</f>
        <v>1118.5498073734054</v>
      </c>
      <c r="I2889">
        <v>0.87980000000000003</v>
      </c>
      <c r="J2889">
        <v>2.5950000000000002</v>
      </c>
      <c r="K2889">
        <v>0.70130000000000003</v>
      </c>
      <c r="L2889">
        <v>0.39410000000000001</v>
      </c>
      <c r="M2889">
        <v>0.1336</v>
      </c>
      <c r="N2889">
        <f>CONVERT(O2889,"lbf","N")</f>
        <v>5817.829050599209</v>
      </c>
      <c r="O2889">
        <v>1307.9000000000001</v>
      </c>
      <c r="P2889">
        <f t="shared" si="45"/>
        <v>0.33900025374270487</v>
      </c>
    </row>
    <row r="2890" spans="1:16" hidden="1" x14ac:dyDescent="0.25">
      <c r="A2890">
        <v>0</v>
      </c>
      <c r="B2890">
        <v>20000</v>
      </c>
      <c r="C2890">
        <f>1.225 * (1 - 0.00000687559 * B2890) ^ 4.2561</f>
        <v>0.65267221054298263</v>
      </c>
      <c r="D2890">
        <f>E2890*(SQRT($C$2/C2890))</f>
        <v>356.19993138163375</v>
      </c>
      <c r="E2890">
        <v>260</v>
      </c>
      <c r="F2890">
        <v>987</v>
      </c>
      <c r="G2890">
        <v>1500</v>
      </c>
      <c r="H2890">
        <f>CONVERT(G2890,"HP","kW")</f>
        <v>1118.5498073734054</v>
      </c>
      <c r="I2890">
        <v>0.84399999999999997</v>
      </c>
      <c r="J2890">
        <v>2.8111999999999999</v>
      </c>
      <c r="K2890">
        <v>0.73599999999999999</v>
      </c>
      <c r="L2890">
        <v>0.39410000000000001</v>
      </c>
      <c r="M2890">
        <v>0.1183</v>
      </c>
      <c r="N2890">
        <f>CONVERT(O2890,"lbf","N")</f>
        <v>5151.9302747947113</v>
      </c>
      <c r="O2890">
        <v>1158.2</v>
      </c>
      <c r="P2890">
        <f t="shared" si="45"/>
        <v>0.30017761989342806</v>
      </c>
    </row>
    <row r="2891" spans="1:16" hidden="1" x14ac:dyDescent="0.25">
      <c r="A2891">
        <v>0</v>
      </c>
      <c r="B2891">
        <v>20000</v>
      </c>
      <c r="C2891">
        <f>1.225 * (1 - 0.00000687559 * B2891) ^ 4.2561</f>
        <v>0.65267221054298263</v>
      </c>
      <c r="D2891">
        <f>E2891*(SQRT($C$2/C2891))</f>
        <v>136.99997360832069</v>
      </c>
      <c r="E2891">
        <v>100</v>
      </c>
      <c r="F2891">
        <v>987</v>
      </c>
      <c r="G2891">
        <v>1500</v>
      </c>
      <c r="H2891">
        <f>CONVERT(G2891,"HP","kW")</f>
        <v>1118.5498073734054</v>
      </c>
      <c r="I2891">
        <v>0.76690000000000003</v>
      </c>
      <c r="J2891">
        <v>1.0811999999999999</v>
      </c>
      <c r="K2891">
        <v>0.50280000000000002</v>
      </c>
      <c r="L2891">
        <v>0.39419999999999999</v>
      </c>
      <c r="M2891">
        <v>0.27960000000000002</v>
      </c>
      <c r="N2891">
        <f>CONVERT(O2891,"lbf","N")</f>
        <v>12170.779161514254</v>
      </c>
      <c r="O2891">
        <v>2736.1</v>
      </c>
      <c r="P2891">
        <f t="shared" si="45"/>
        <v>0.70928462709284634</v>
      </c>
    </row>
    <row r="2892" spans="1:16" hidden="1" x14ac:dyDescent="0.25">
      <c r="A2892">
        <v>0</v>
      </c>
      <c r="B2892">
        <v>20000</v>
      </c>
      <c r="C2892">
        <f>1.225 * (1 - 0.00000687559 * B2892) ^ 4.2561</f>
        <v>0.65267221054298263</v>
      </c>
      <c r="D2892">
        <f>E2892*(SQRT($C$2/C2892))</f>
        <v>0</v>
      </c>
      <c r="E2892">
        <v>0</v>
      </c>
      <c r="F2892">
        <v>987</v>
      </c>
      <c r="G2892">
        <v>1500</v>
      </c>
      <c r="H2892">
        <f>CONVERT(G2892,"HP","kW")</f>
        <v>1118.5498073734054</v>
      </c>
      <c r="I2892">
        <v>0</v>
      </c>
      <c r="J2892">
        <v>0</v>
      </c>
      <c r="K2892">
        <v>0.44359999999999999</v>
      </c>
      <c r="L2892">
        <v>0.39450000000000002</v>
      </c>
      <c r="M2892">
        <v>0.19089999999999999</v>
      </c>
      <c r="N2892">
        <f>CONVERT(O2892,"lbf","N")</f>
        <v>8304.8297556913549</v>
      </c>
      <c r="O2892">
        <v>1867</v>
      </c>
      <c r="P2892">
        <f t="shared" si="45"/>
        <v>0.48390367553865649</v>
      </c>
    </row>
    <row r="2893" spans="1:16" hidden="1" x14ac:dyDescent="0.25">
      <c r="A2893">
        <v>0</v>
      </c>
      <c r="B2893">
        <v>20000</v>
      </c>
      <c r="C2893">
        <f>1.225 * (1 - 0.00000687559 * B2893) ^ 4.2561</f>
        <v>0.65267221054298263</v>
      </c>
      <c r="D2893">
        <f>E2893*(SQRT($C$2/C2893))</f>
        <v>301.39994193830552</v>
      </c>
      <c r="E2893">
        <v>220</v>
      </c>
      <c r="F2893">
        <v>987</v>
      </c>
      <c r="G2893">
        <v>1500</v>
      </c>
      <c r="H2893">
        <f>CONVERT(G2893,"HP","kW")</f>
        <v>1118.5498073734054</v>
      </c>
      <c r="I2893">
        <v>0.88929999999999998</v>
      </c>
      <c r="J2893">
        <v>2.3786999999999998</v>
      </c>
      <c r="K2893">
        <v>0.66779999999999995</v>
      </c>
      <c r="L2893">
        <v>0.39450000000000002</v>
      </c>
      <c r="M2893">
        <v>0.14749999999999999</v>
      </c>
      <c r="N2893">
        <f>CONVERT(O2893,"lbf","N")</f>
        <v>6415.2252135286935</v>
      </c>
      <c r="O2893">
        <v>1442.2</v>
      </c>
      <c r="P2893">
        <f t="shared" si="45"/>
        <v>0.37389100126742708</v>
      </c>
    </row>
    <row r="2894" spans="1:16" hidden="1" x14ac:dyDescent="0.25">
      <c r="A2894">
        <v>0</v>
      </c>
      <c r="B2894">
        <v>25000</v>
      </c>
      <c r="C2894">
        <f>1.225 * (1 - 0.00000687559 * B2894) ^ 4.2561</f>
        <v>0.54892259437885793</v>
      </c>
      <c r="D2894">
        <f>E2894*(SQRT($C$2/C2894))</f>
        <v>0</v>
      </c>
      <c r="E2894">
        <v>0</v>
      </c>
      <c r="F2894">
        <v>1150</v>
      </c>
      <c r="G2894">
        <v>2000</v>
      </c>
      <c r="H2894">
        <f>CONVERT(G2894,"HP","kW")</f>
        <v>1491.3997431645405</v>
      </c>
      <c r="I2894">
        <v>0</v>
      </c>
      <c r="J2894">
        <v>0</v>
      </c>
      <c r="K2894">
        <v>0.52639999999999998</v>
      </c>
      <c r="L2894">
        <v>0.3947</v>
      </c>
      <c r="M2894">
        <v>0.21179999999999999</v>
      </c>
      <c r="N2894">
        <f>CONVERT(O2894,"lbf","N")</f>
        <v>10537.837006552125</v>
      </c>
      <c r="O2894">
        <v>2369</v>
      </c>
      <c r="P2894">
        <f t="shared" si="45"/>
        <v>0.53661008360780338</v>
      </c>
    </row>
    <row r="2895" spans="1:16" hidden="1" x14ac:dyDescent="0.25">
      <c r="A2895">
        <v>0</v>
      </c>
      <c r="B2895">
        <v>25000</v>
      </c>
      <c r="C2895">
        <f>1.225 * (1 - 0.00000687559 * B2895) ^ 4.2561</f>
        <v>0.54892259437885793</v>
      </c>
      <c r="D2895">
        <f>E2895*(SQRT($C$2/C2895))</f>
        <v>89.632134965462015</v>
      </c>
      <c r="E2895">
        <v>60</v>
      </c>
      <c r="F2895">
        <v>1150</v>
      </c>
      <c r="G2895">
        <v>2000</v>
      </c>
      <c r="H2895">
        <f>CONVERT(G2895,"HP","kW")</f>
        <v>1491.3997431645405</v>
      </c>
      <c r="I2895">
        <v>0.43059999999999998</v>
      </c>
      <c r="J2895">
        <v>0.60709999999999997</v>
      </c>
      <c r="K2895">
        <v>0.55349999999999999</v>
      </c>
      <c r="L2895">
        <v>0.3947</v>
      </c>
      <c r="M2895">
        <v>0.27989999999999998</v>
      </c>
      <c r="N2895">
        <f>CONVERT(O2895,"lbf","N")</f>
        <v>13927.381877380627</v>
      </c>
      <c r="O2895">
        <v>3131</v>
      </c>
      <c r="P2895">
        <f t="shared" si="45"/>
        <v>0.70914618697745124</v>
      </c>
    </row>
    <row r="2896" spans="1:16" hidden="1" x14ac:dyDescent="0.25">
      <c r="A2896">
        <v>0</v>
      </c>
      <c r="B2896">
        <v>25000</v>
      </c>
      <c r="C2896">
        <f>1.225 * (1 - 0.00000687559 * B2896) ^ 4.2561</f>
        <v>0.54892259437885793</v>
      </c>
      <c r="D2896">
        <f>E2896*(SQRT($C$2/C2896))</f>
        <v>119.50951328728269</v>
      </c>
      <c r="E2896">
        <v>80</v>
      </c>
      <c r="F2896">
        <v>1150</v>
      </c>
      <c r="G2896">
        <v>2000</v>
      </c>
      <c r="H2896">
        <f>CONVERT(G2896,"HP","kW")</f>
        <v>1491.3997431645405</v>
      </c>
      <c r="I2896">
        <v>0.62670000000000003</v>
      </c>
      <c r="J2896">
        <v>0.8095</v>
      </c>
      <c r="K2896">
        <v>0.56969999999999998</v>
      </c>
      <c r="L2896">
        <v>0.3947</v>
      </c>
      <c r="M2896">
        <v>0.30559999999999998</v>
      </c>
      <c r="N2896">
        <f>CONVERT(O2896,"lbf","N")</f>
        <v>15203.576658798864</v>
      </c>
      <c r="O2896">
        <v>3417.9</v>
      </c>
      <c r="P2896">
        <f t="shared" si="45"/>
        <v>0.77425893083354447</v>
      </c>
    </row>
    <row r="2897" spans="1:16" hidden="1" x14ac:dyDescent="0.25">
      <c r="A2897">
        <v>0</v>
      </c>
      <c r="B2897">
        <v>25000</v>
      </c>
      <c r="C2897">
        <f>1.225 * (1 - 0.00000687559 * B2897) ^ 4.2561</f>
        <v>0.54892259437885793</v>
      </c>
      <c r="D2897">
        <f>E2897*(SQRT($C$2/C2897))</f>
        <v>179.26426993092403</v>
      </c>
      <c r="E2897">
        <v>120</v>
      </c>
      <c r="F2897">
        <v>1150</v>
      </c>
      <c r="G2897">
        <v>2000</v>
      </c>
      <c r="H2897">
        <f>CONVERT(G2897,"HP","kW")</f>
        <v>1491.3997431645405</v>
      </c>
      <c r="I2897">
        <v>0.79520000000000002</v>
      </c>
      <c r="J2897">
        <v>1.2142999999999999</v>
      </c>
      <c r="K2897">
        <v>0.61360000000000003</v>
      </c>
      <c r="L2897">
        <v>0.39479999999999998</v>
      </c>
      <c r="M2897">
        <v>0.2586</v>
      </c>
      <c r="N2897">
        <f>CONVERT(O2897,"lbf","N")</f>
        <v>12859.808689718106</v>
      </c>
      <c r="O2897">
        <v>2891</v>
      </c>
      <c r="P2897">
        <f t="shared" si="45"/>
        <v>0.65501519756838911</v>
      </c>
    </row>
    <row r="2898" spans="1:16" hidden="1" x14ac:dyDescent="0.25">
      <c r="A2898">
        <v>0</v>
      </c>
      <c r="B2898">
        <v>25000</v>
      </c>
      <c r="C2898">
        <f>1.225 * (1 - 0.00000687559 * B2898) ^ 4.2561</f>
        <v>0.54892259437885793</v>
      </c>
      <c r="D2898">
        <f>E2898*(SQRT($C$2/C2898))</f>
        <v>29.877378321820672</v>
      </c>
      <c r="E2898">
        <v>20</v>
      </c>
      <c r="F2898">
        <v>1150</v>
      </c>
      <c r="G2898">
        <v>2000</v>
      </c>
      <c r="H2898">
        <f>CONVERT(G2898,"HP","kW")</f>
        <v>1491.3997431645405</v>
      </c>
      <c r="I2898">
        <v>0.1169</v>
      </c>
      <c r="J2898">
        <v>0.2024</v>
      </c>
      <c r="K2898">
        <v>0.53220000000000001</v>
      </c>
      <c r="L2898">
        <v>0.39489999999999997</v>
      </c>
      <c r="M2898">
        <v>0.2281</v>
      </c>
      <c r="N2898">
        <f>CONVERT(O2898,"lbf","N")</f>
        <v>11345.634051883431</v>
      </c>
      <c r="O2898">
        <v>2550.6</v>
      </c>
      <c r="P2898">
        <f t="shared" si="45"/>
        <v>0.57761458597113191</v>
      </c>
    </row>
    <row r="2899" spans="1:16" hidden="1" x14ac:dyDescent="0.25">
      <c r="A2899">
        <v>0</v>
      </c>
      <c r="B2899">
        <v>25000</v>
      </c>
      <c r="C2899">
        <f>1.225 * (1 - 0.00000687559 * B2899) ^ 4.2561</f>
        <v>0.54892259437885793</v>
      </c>
      <c r="D2899">
        <f>E2899*(SQRT($C$2/C2899))</f>
        <v>358.52853986184806</v>
      </c>
      <c r="E2899">
        <v>240</v>
      </c>
      <c r="F2899">
        <v>1150</v>
      </c>
      <c r="G2899">
        <v>2000</v>
      </c>
      <c r="H2899">
        <f>CONVERT(G2899,"HP","kW")</f>
        <v>1491.3997431645405</v>
      </c>
      <c r="I2899">
        <v>0.81440000000000001</v>
      </c>
      <c r="J2899">
        <v>2.4285000000000001</v>
      </c>
      <c r="K2899">
        <v>0.80310000000000004</v>
      </c>
      <c r="L2899">
        <v>0.39489999999999997</v>
      </c>
      <c r="M2899">
        <v>0.13239999999999999</v>
      </c>
      <c r="N2899">
        <f>CONVERT(O2899,"lbf","N")</f>
        <v>6585.1472792316445</v>
      </c>
      <c r="O2899">
        <v>1480.4</v>
      </c>
      <c r="P2899">
        <f t="shared" si="45"/>
        <v>0.33527475310205113</v>
      </c>
    </row>
    <row r="2900" spans="1:16" hidden="1" x14ac:dyDescent="0.25">
      <c r="A2900">
        <v>0</v>
      </c>
      <c r="B2900">
        <v>25000</v>
      </c>
      <c r="C2900">
        <f>1.225 * (1 - 0.00000687559 * B2900) ^ 4.2561</f>
        <v>0.54892259437885793</v>
      </c>
      <c r="D2900">
        <f>E2900*(SQRT($C$2/C2900))</f>
        <v>149.38689160910337</v>
      </c>
      <c r="E2900">
        <v>100</v>
      </c>
      <c r="F2900">
        <v>1150</v>
      </c>
      <c r="G2900">
        <v>2000</v>
      </c>
      <c r="H2900">
        <f>CONVERT(G2900,"HP","kW")</f>
        <v>1491.3997431645405</v>
      </c>
      <c r="I2900">
        <v>0.73360000000000003</v>
      </c>
      <c r="J2900">
        <v>1.0119</v>
      </c>
      <c r="K2900">
        <v>0.59009999999999996</v>
      </c>
      <c r="L2900">
        <v>0.39500000000000002</v>
      </c>
      <c r="M2900">
        <v>0.28639999999999999</v>
      </c>
      <c r="N2900">
        <f>CONVERT(O2900,"lbf","N")</f>
        <v>14236.533279641229</v>
      </c>
      <c r="O2900">
        <v>3200.5</v>
      </c>
      <c r="P2900">
        <f t="shared" si="45"/>
        <v>0.7250632911392404</v>
      </c>
    </row>
    <row r="2901" spans="1:16" hidden="1" x14ac:dyDescent="0.25">
      <c r="A2901">
        <v>0</v>
      </c>
      <c r="B2901">
        <v>25000</v>
      </c>
      <c r="C2901">
        <f>1.225 * (1 - 0.00000687559 * B2901) ^ 4.2561</f>
        <v>0.54892259437885793</v>
      </c>
      <c r="D2901">
        <f>E2901*(SQRT($C$2/C2901))</f>
        <v>209.14164825274472</v>
      </c>
      <c r="E2901">
        <v>140</v>
      </c>
      <c r="F2901">
        <v>1150</v>
      </c>
      <c r="G2901">
        <v>2000</v>
      </c>
      <c r="H2901">
        <f>CONVERT(G2901,"HP","kW")</f>
        <v>1491.3997431645405</v>
      </c>
      <c r="I2901">
        <v>0.83189999999999997</v>
      </c>
      <c r="J2901">
        <v>1.4166000000000001</v>
      </c>
      <c r="K2901">
        <v>0.63980000000000004</v>
      </c>
      <c r="L2901">
        <v>0.39500000000000002</v>
      </c>
      <c r="M2901">
        <v>0.23200000000000001</v>
      </c>
      <c r="N2901">
        <f>CONVERT(O2901,"lbf","N")</f>
        <v>11531.124893239796</v>
      </c>
      <c r="O2901">
        <v>2592.3000000000002</v>
      </c>
      <c r="P2901">
        <f t="shared" si="45"/>
        <v>0.58734177215189876</v>
      </c>
    </row>
    <row r="2902" spans="1:16" hidden="1" x14ac:dyDescent="0.25">
      <c r="A2902">
        <v>0</v>
      </c>
      <c r="B2902">
        <v>25000</v>
      </c>
      <c r="C2902">
        <f>1.225 * (1 - 0.00000687559 * B2902) ^ 4.2561</f>
        <v>0.54892259437885793</v>
      </c>
      <c r="D2902">
        <f>E2902*(SQRT($C$2/C2902))</f>
        <v>239.01902657456537</v>
      </c>
      <c r="E2902">
        <v>160</v>
      </c>
      <c r="F2902">
        <v>1150</v>
      </c>
      <c r="G2902">
        <v>2000</v>
      </c>
      <c r="H2902">
        <f>CONVERT(G2902,"HP","kW")</f>
        <v>1491.3997431645405</v>
      </c>
      <c r="I2902">
        <v>0.85660000000000003</v>
      </c>
      <c r="J2902">
        <v>1.619</v>
      </c>
      <c r="K2902">
        <v>0.66849999999999998</v>
      </c>
      <c r="L2902">
        <v>0.39500000000000002</v>
      </c>
      <c r="M2902">
        <v>0.20899999999999999</v>
      </c>
      <c r="N2902">
        <f>CONVERT(O2902,"lbf","N")</f>
        <v>10390.156048925477</v>
      </c>
      <c r="O2902">
        <v>2335.8000000000002</v>
      </c>
      <c r="P2902">
        <f t="shared" si="45"/>
        <v>0.52911392405063284</v>
      </c>
    </row>
    <row r="2903" spans="1:16" hidden="1" x14ac:dyDescent="0.25">
      <c r="A2903">
        <v>0</v>
      </c>
      <c r="B2903">
        <v>25000</v>
      </c>
      <c r="C2903">
        <f>1.225 * (1 - 0.00000687559 * B2903) ^ 4.2561</f>
        <v>0.54892259437885793</v>
      </c>
      <c r="D2903">
        <f>E2903*(SQRT($C$2/C2903))</f>
        <v>268.89640489638606</v>
      </c>
      <c r="E2903">
        <v>180</v>
      </c>
      <c r="F2903">
        <v>1150</v>
      </c>
      <c r="G2903">
        <v>2000</v>
      </c>
      <c r="H2903">
        <f>CONVERT(G2903,"HP","kW")</f>
        <v>1491.3997431645405</v>
      </c>
      <c r="I2903">
        <v>0.87309999999999999</v>
      </c>
      <c r="J2903">
        <v>1.8213999999999999</v>
      </c>
      <c r="K2903">
        <v>0.69940000000000002</v>
      </c>
      <c r="L2903">
        <v>0.39500000000000002</v>
      </c>
      <c r="M2903">
        <v>0.1893</v>
      </c>
      <c r="N2903">
        <f>CONVERT(O2903,"lbf","N")</f>
        <v>9412.8817600527436</v>
      </c>
      <c r="O2903">
        <v>2116.1</v>
      </c>
      <c r="P2903">
        <f t="shared" si="45"/>
        <v>0.47924050632911391</v>
      </c>
    </row>
    <row r="2904" spans="1:16" hidden="1" x14ac:dyDescent="0.25">
      <c r="A2904">
        <v>0</v>
      </c>
      <c r="B2904">
        <v>25000</v>
      </c>
      <c r="C2904">
        <f>1.225 * (1 - 0.00000687559 * B2904) ^ 4.2561</f>
        <v>0.54892259437885793</v>
      </c>
      <c r="D2904">
        <f>E2904*(SQRT($C$2/C2904))</f>
        <v>328.65116154002743</v>
      </c>
      <c r="E2904">
        <v>220</v>
      </c>
      <c r="F2904">
        <v>1150</v>
      </c>
      <c r="G2904">
        <v>2000</v>
      </c>
      <c r="H2904">
        <f>CONVERT(G2904,"HP","kW")</f>
        <v>1491.3997431645405</v>
      </c>
      <c r="I2904">
        <v>0.86309999999999998</v>
      </c>
      <c r="J2904">
        <v>2.2262</v>
      </c>
      <c r="K2904">
        <v>0.76690000000000003</v>
      </c>
      <c r="L2904">
        <v>0.39500000000000002</v>
      </c>
      <c r="M2904">
        <v>0.1532</v>
      </c>
      <c r="N2904">
        <f>CONVERT(O2904,"lbf","N")</f>
        <v>7614.0209388413978</v>
      </c>
      <c r="O2904">
        <v>1711.7</v>
      </c>
      <c r="P2904">
        <f t="shared" si="45"/>
        <v>0.38784810126582275</v>
      </c>
    </row>
    <row r="2905" spans="1:16" hidden="1" x14ac:dyDescent="0.25">
      <c r="A2905">
        <v>0</v>
      </c>
      <c r="B2905">
        <v>25000</v>
      </c>
      <c r="C2905">
        <f>1.225 * (1 - 0.00000687559 * B2905) ^ 4.2561</f>
        <v>0.54892259437885793</v>
      </c>
      <c r="D2905">
        <f>E2905*(SQRT($C$2/C2905))</f>
        <v>388.40591818366875</v>
      </c>
      <c r="E2905">
        <v>260</v>
      </c>
      <c r="F2905">
        <v>1150</v>
      </c>
      <c r="G2905">
        <v>2000</v>
      </c>
      <c r="H2905">
        <f>CONVERT(G2905,"HP","kW")</f>
        <v>1491.3997431645405</v>
      </c>
      <c r="I2905">
        <v>0.71550000000000002</v>
      </c>
      <c r="J2905">
        <v>2.6309</v>
      </c>
      <c r="K2905">
        <v>0.84060000000000001</v>
      </c>
      <c r="L2905">
        <v>0.39500000000000002</v>
      </c>
      <c r="M2905">
        <v>0.1074</v>
      </c>
      <c r="N2905">
        <f>CONVERT(O2905,"lbf","N")</f>
        <v>5340.5348712817558</v>
      </c>
      <c r="O2905">
        <v>1200.5999999999999</v>
      </c>
      <c r="P2905">
        <f t="shared" si="45"/>
        <v>0.27189873417721516</v>
      </c>
    </row>
    <row r="2906" spans="1:16" hidden="1" x14ac:dyDescent="0.25">
      <c r="A2906">
        <v>0</v>
      </c>
      <c r="B2906">
        <v>25000</v>
      </c>
      <c r="C2906">
        <f>1.225 * (1 - 0.00000687559 * B2906) ^ 4.2561</f>
        <v>0.54892259437885793</v>
      </c>
      <c r="D2906">
        <f>E2906*(SQRT($C$2/C2906))</f>
        <v>298.77378321820675</v>
      </c>
      <c r="E2906">
        <v>200</v>
      </c>
      <c r="F2906">
        <v>1150</v>
      </c>
      <c r="G2906">
        <v>2000</v>
      </c>
      <c r="H2906">
        <f>CONVERT(G2906,"HP","kW")</f>
        <v>1491.3997431645405</v>
      </c>
      <c r="I2906">
        <v>0.879</v>
      </c>
      <c r="J2906">
        <v>2.0238</v>
      </c>
      <c r="K2906">
        <v>0.73229999999999995</v>
      </c>
      <c r="L2906">
        <v>0.39510000000000001</v>
      </c>
      <c r="M2906">
        <v>0.1716</v>
      </c>
      <c r="N2906">
        <f>CONVERT(O2906,"lbf","N")</f>
        <v>8529.0201251004837</v>
      </c>
      <c r="O2906">
        <v>1917.4</v>
      </c>
      <c r="P2906">
        <f t="shared" si="45"/>
        <v>0.43432042520880787</v>
      </c>
    </row>
    <row r="2907" spans="1:16" hidden="1" x14ac:dyDescent="0.25">
      <c r="A2907">
        <v>0</v>
      </c>
      <c r="B2907">
        <v>25000</v>
      </c>
      <c r="C2907">
        <f>1.225 * (1 - 0.00000687559 * B2907) ^ 4.2561</f>
        <v>0.54892259437885793</v>
      </c>
      <c r="D2907">
        <f>E2907*(SQRT($C$2/C2907))</f>
        <v>59.754756643641343</v>
      </c>
      <c r="E2907">
        <v>40</v>
      </c>
      <c r="F2907">
        <v>1150</v>
      </c>
      <c r="G2907">
        <v>2000</v>
      </c>
      <c r="H2907">
        <f>CONVERT(G2907,"HP","kW")</f>
        <v>1491.3997431645405</v>
      </c>
      <c r="I2907">
        <v>0.25790000000000002</v>
      </c>
      <c r="J2907">
        <v>0.40479999999999999</v>
      </c>
      <c r="K2907">
        <v>0.54100000000000004</v>
      </c>
      <c r="L2907">
        <v>0.39550000000000002</v>
      </c>
      <c r="M2907">
        <v>0.252</v>
      </c>
      <c r="N2907">
        <f>CONVERT(O2907,"lbf","N")</f>
        <v>12513.737048050838</v>
      </c>
      <c r="O2907">
        <v>2813.2</v>
      </c>
      <c r="P2907">
        <f t="shared" si="45"/>
        <v>0.63716814159292035</v>
      </c>
    </row>
    <row r="2908" spans="1:16" hidden="1" x14ac:dyDescent="0.25">
      <c r="A2908">
        <v>0</v>
      </c>
      <c r="B2908">
        <v>30000</v>
      </c>
      <c r="C2908">
        <f>1.225 * (1 - 0.00000687559 * B2908) ^ 4.2561</f>
        <v>0.45828836225470948</v>
      </c>
      <c r="D2908">
        <f>E2908*(SQRT($C$2/C2908))</f>
        <v>98.095679593519407</v>
      </c>
      <c r="E2908">
        <v>60</v>
      </c>
      <c r="F2908">
        <v>1215</v>
      </c>
      <c r="G2908">
        <v>2000</v>
      </c>
      <c r="H2908">
        <f>CONVERT(G2908,"HP","kW")</f>
        <v>1491.3997431645405</v>
      </c>
      <c r="I2908">
        <v>0.43259999999999998</v>
      </c>
      <c r="J2908">
        <v>0.62890000000000001</v>
      </c>
      <c r="K2908">
        <v>0.59889999999999999</v>
      </c>
      <c r="L2908">
        <v>0.40079999999999999</v>
      </c>
      <c r="M2908">
        <v>0.2757</v>
      </c>
      <c r="N2908">
        <f>CONVERT(O2908,"lbf","N")</f>
        <v>12785.968210904783</v>
      </c>
      <c r="O2908">
        <v>2874.4</v>
      </c>
      <c r="P2908">
        <f t="shared" si="45"/>
        <v>0.68787425149700598</v>
      </c>
    </row>
    <row r="2909" spans="1:16" hidden="1" x14ac:dyDescent="0.25">
      <c r="A2909">
        <v>0</v>
      </c>
      <c r="B2909">
        <v>30000</v>
      </c>
      <c r="C2909">
        <f>1.225 * (1 - 0.00000687559 * B2909) ^ 4.2561</f>
        <v>0.45828836225470948</v>
      </c>
      <c r="D2909">
        <f>E2909*(SQRT($C$2/C2909))</f>
        <v>130.79423945802586</v>
      </c>
      <c r="E2909">
        <v>80</v>
      </c>
      <c r="F2909">
        <v>1215</v>
      </c>
      <c r="G2909">
        <v>2000</v>
      </c>
      <c r="H2909">
        <f>CONVERT(G2909,"HP","kW")</f>
        <v>1491.3997431645405</v>
      </c>
      <c r="I2909">
        <v>0.62939999999999996</v>
      </c>
      <c r="J2909">
        <v>0.83860000000000001</v>
      </c>
      <c r="K2909">
        <v>0.61760000000000004</v>
      </c>
      <c r="L2909">
        <v>0.40110000000000001</v>
      </c>
      <c r="M2909">
        <v>0.30099999999999999</v>
      </c>
      <c r="N2909">
        <f>CONVERT(O2909,"lbf","N")</f>
        <v>13950.957451941507</v>
      </c>
      <c r="O2909">
        <v>3136.3</v>
      </c>
      <c r="P2909">
        <f t="shared" si="45"/>
        <v>0.75043630017452001</v>
      </c>
    </row>
    <row r="2910" spans="1:16" hidden="1" x14ac:dyDescent="0.25">
      <c r="A2910">
        <v>0</v>
      </c>
      <c r="B2910">
        <v>30000</v>
      </c>
      <c r="C2910">
        <f>1.225 * (1 - 0.00000687559 * B2910) ^ 4.2561</f>
        <v>0.45828836225470948</v>
      </c>
      <c r="D2910">
        <f>E2910*(SQRT($C$2/C2910))</f>
        <v>425.08127823858405</v>
      </c>
      <c r="E2910">
        <v>260</v>
      </c>
      <c r="F2910">
        <v>1215</v>
      </c>
      <c r="G2910">
        <v>2000</v>
      </c>
      <c r="H2910">
        <f>CONVERT(G2910,"HP","kW")</f>
        <v>1491.3997431645405</v>
      </c>
      <c r="I2910">
        <v>0.44219999999999998</v>
      </c>
      <c r="J2910">
        <v>2.7252999999999998</v>
      </c>
      <c r="K2910">
        <v>0.92659999999999998</v>
      </c>
      <c r="L2910">
        <v>0.40110000000000001</v>
      </c>
      <c r="M2910">
        <v>6.5100000000000005E-2</v>
      </c>
      <c r="N2910">
        <f>CONVERT(O2910,"lbf","N")</f>
        <v>3015.8942551466189</v>
      </c>
      <c r="O2910">
        <v>678</v>
      </c>
      <c r="P2910">
        <f t="shared" si="45"/>
        <v>0.16230366492146597</v>
      </c>
    </row>
    <row r="2911" spans="1:16" hidden="1" x14ac:dyDescent="0.25">
      <c r="A2911">
        <v>0</v>
      </c>
      <c r="B2911">
        <v>30000</v>
      </c>
      <c r="C2911">
        <f>1.225 * (1 - 0.00000687559 * B2911) ^ 4.2561</f>
        <v>0.45828836225470948</v>
      </c>
      <c r="D2911">
        <f>E2911*(SQRT($C$2/C2911))</f>
        <v>0</v>
      </c>
      <c r="E2911">
        <v>0</v>
      </c>
      <c r="F2911">
        <v>1215</v>
      </c>
      <c r="G2911">
        <v>2000</v>
      </c>
      <c r="H2911">
        <f>CONVERT(G2911,"HP","kW")</f>
        <v>1491.3997431645405</v>
      </c>
      <c r="I2911">
        <v>0</v>
      </c>
      <c r="J2911">
        <v>0</v>
      </c>
      <c r="K2911">
        <v>0.56740000000000002</v>
      </c>
      <c r="L2911">
        <v>0.4012</v>
      </c>
      <c r="M2911">
        <v>0.21679999999999999</v>
      </c>
      <c r="N2911">
        <f>CONVERT(O2911,"lbf","N")</f>
        <v>10045.418873742788</v>
      </c>
      <c r="O2911">
        <v>2258.3000000000002</v>
      </c>
      <c r="P2911">
        <f t="shared" si="45"/>
        <v>0.5403788634097707</v>
      </c>
    </row>
    <row r="2912" spans="1:16" hidden="1" x14ac:dyDescent="0.25">
      <c r="A2912">
        <v>0</v>
      </c>
      <c r="B2912">
        <v>30000</v>
      </c>
      <c r="C2912">
        <f>1.225 * (1 - 0.00000687559 * B2912) ^ 4.2561</f>
        <v>0.45828836225470948</v>
      </c>
      <c r="D2912">
        <f>E2912*(SQRT($C$2/C2912))</f>
        <v>32.698559864506464</v>
      </c>
      <c r="E2912">
        <v>20</v>
      </c>
      <c r="F2912">
        <v>1215</v>
      </c>
      <c r="G2912">
        <v>2000</v>
      </c>
      <c r="H2912">
        <f>CONVERT(G2912,"HP","kW")</f>
        <v>1491.3997431645405</v>
      </c>
      <c r="I2912">
        <v>0.1203</v>
      </c>
      <c r="J2912">
        <v>0.20960000000000001</v>
      </c>
      <c r="K2912">
        <v>0.57430000000000003</v>
      </c>
      <c r="L2912">
        <v>0.4012</v>
      </c>
      <c r="M2912">
        <v>0.2301</v>
      </c>
      <c r="N2912">
        <f>CONVERT(O2912,"lbf","N")</f>
        <v>10662.38721177942</v>
      </c>
      <c r="O2912">
        <v>2397</v>
      </c>
      <c r="P2912">
        <f t="shared" si="45"/>
        <v>0.57352941176470584</v>
      </c>
    </row>
    <row r="2913" spans="1:16" hidden="1" x14ac:dyDescent="0.25">
      <c r="A2913">
        <v>0</v>
      </c>
      <c r="B2913">
        <v>30000</v>
      </c>
      <c r="C2913">
        <f>1.225 * (1 - 0.00000687559 * B2913) ^ 4.2561</f>
        <v>0.45828836225470948</v>
      </c>
      <c r="D2913">
        <f>E2913*(SQRT($C$2/C2913))</f>
        <v>163.49279932253233</v>
      </c>
      <c r="E2913">
        <v>100</v>
      </c>
      <c r="F2913">
        <v>1215</v>
      </c>
      <c r="G2913">
        <v>2000</v>
      </c>
      <c r="H2913">
        <f>CONVERT(G2913,"HP","kW")</f>
        <v>1491.3997431645405</v>
      </c>
      <c r="I2913">
        <v>0.73860000000000003</v>
      </c>
      <c r="J2913">
        <v>1.0482</v>
      </c>
      <c r="K2913">
        <v>0.64100000000000001</v>
      </c>
      <c r="L2913">
        <v>0.4012</v>
      </c>
      <c r="M2913">
        <v>0.28270000000000001</v>
      </c>
      <c r="N2913">
        <f>CONVERT(O2913,"lbf","N")</f>
        <v>13097.788546134543</v>
      </c>
      <c r="O2913">
        <v>2944.5</v>
      </c>
      <c r="P2913">
        <f t="shared" si="45"/>
        <v>0.70463609172482555</v>
      </c>
    </row>
    <row r="2914" spans="1:16" hidden="1" x14ac:dyDescent="0.25">
      <c r="A2914">
        <v>0</v>
      </c>
      <c r="B2914">
        <v>30000</v>
      </c>
      <c r="C2914">
        <f>1.225 * (1 - 0.00000687559 * B2914) ^ 4.2561</f>
        <v>0.45828836225470948</v>
      </c>
      <c r="D2914">
        <f>E2914*(SQRT($C$2/C2914))</f>
        <v>196.19135918703881</v>
      </c>
      <c r="E2914">
        <v>120</v>
      </c>
      <c r="F2914">
        <v>1215</v>
      </c>
      <c r="G2914">
        <v>2000</v>
      </c>
      <c r="H2914">
        <f>CONVERT(G2914,"HP","kW")</f>
        <v>1491.3997431645405</v>
      </c>
      <c r="I2914">
        <v>0.79990000000000006</v>
      </c>
      <c r="J2914">
        <v>1.2578</v>
      </c>
      <c r="K2914">
        <v>0.66800000000000004</v>
      </c>
      <c r="L2914">
        <v>0.4012</v>
      </c>
      <c r="M2914">
        <v>0.25509999999999999</v>
      </c>
      <c r="N2914">
        <f>CONVERT(O2914,"lbf","N")</f>
        <v>11820.704120393253</v>
      </c>
      <c r="O2914">
        <v>2657.4</v>
      </c>
      <c r="P2914">
        <f t="shared" si="45"/>
        <v>0.63584247258225324</v>
      </c>
    </row>
    <row r="2915" spans="1:16" hidden="1" x14ac:dyDescent="0.25">
      <c r="A2915">
        <v>0</v>
      </c>
      <c r="B2915">
        <v>30000</v>
      </c>
      <c r="C2915">
        <f>1.225 * (1 - 0.00000687559 * B2915) ^ 4.2561</f>
        <v>0.45828836225470948</v>
      </c>
      <c r="D2915">
        <f>E2915*(SQRT($C$2/C2915))</f>
        <v>228.88991905154526</v>
      </c>
      <c r="E2915">
        <v>140</v>
      </c>
      <c r="F2915">
        <v>1215</v>
      </c>
      <c r="G2915">
        <v>2000</v>
      </c>
      <c r="H2915">
        <f>CONVERT(G2915,"HP","kW")</f>
        <v>1491.3997431645405</v>
      </c>
      <c r="I2915">
        <v>0.83460000000000001</v>
      </c>
      <c r="J2915">
        <v>1.4675</v>
      </c>
      <c r="K2915">
        <v>0.69799999999999995</v>
      </c>
      <c r="L2915">
        <v>0.4012</v>
      </c>
      <c r="M2915">
        <v>0.22819999999999999</v>
      </c>
      <c r="N2915">
        <f>CONVERT(O2915,"lbf","N")</f>
        <v>10571.643490828104</v>
      </c>
      <c r="O2915">
        <v>2376.6</v>
      </c>
      <c r="P2915">
        <f t="shared" si="45"/>
        <v>0.5687936191425722</v>
      </c>
    </row>
    <row r="2916" spans="1:16" hidden="1" x14ac:dyDescent="0.25">
      <c r="A2916">
        <v>0</v>
      </c>
      <c r="B2916">
        <v>30000</v>
      </c>
      <c r="C2916">
        <f>1.225 * (1 - 0.00000687559 * B2916) ^ 4.2561</f>
        <v>0.45828836225470948</v>
      </c>
      <c r="D2916">
        <f>E2916*(SQRT($C$2/C2916))</f>
        <v>261.58847891605171</v>
      </c>
      <c r="E2916">
        <v>160</v>
      </c>
      <c r="F2916">
        <v>1215</v>
      </c>
      <c r="G2916">
        <v>2000</v>
      </c>
      <c r="H2916">
        <f>CONVERT(G2916,"HP","kW")</f>
        <v>1491.3997431645405</v>
      </c>
      <c r="I2916">
        <v>0.85270000000000001</v>
      </c>
      <c r="J2916">
        <v>1.6771</v>
      </c>
      <c r="K2916">
        <v>0.73070000000000002</v>
      </c>
      <c r="L2916">
        <v>0.4012</v>
      </c>
      <c r="M2916">
        <v>0.20399999999999999</v>
      </c>
      <c r="N2916">
        <f>CONVERT(O2916,"lbf","N")</f>
        <v>9450.6916437824584</v>
      </c>
      <c r="O2916">
        <v>2124.6</v>
      </c>
      <c r="P2916">
        <f t="shared" si="45"/>
        <v>0.50847457627118642</v>
      </c>
    </row>
    <row r="2917" spans="1:16" hidden="1" x14ac:dyDescent="0.25">
      <c r="A2917">
        <v>0</v>
      </c>
      <c r="B2917">
        <v>30000</v>
      </c>
      <c r="C2917">
        <f>1.225 * (1 - 0.00000687559 * B2917) ^ 4.2561</f>
        <v>0.45828836225470948</v>
      </c>
      <c r="D2917">
        <f>E2917*(SQRT($C$2/C2917))</f>
        <v>294.28703878055819</v>
      </c>
      <c r="E2917">
        <v>180</v>
      </c>
      <c r="F2917">
        <v>1215</v>
      </c>
      <c r="G2917">
        <v>2000</v>
      </c>
      <c r="H2917">
        <f>CONVERT(G2917,"HP","kW")</f>
        <v>1491.3997431645405</v>
      </c>
      <c r="I2917">
        <v>0.85160000000000002</v>
      </c>
      <c r="J2917">
        <v>1.8867</v>
      </c>
      <c r="K2917">
        <v>0.76590000000000003</v>
      </c>
      <c r="L2917">
        <v>0.4012</v>
      </c>
      <c r="M2917">
        <v>0.18110000000000001</v>
      </c>
      <c r="N2917">
        <f>CONVERT(O2917,"lbf","N")</f>
        <v>8389.7907885428285</v>
      </c>
      <c r="O2917">
        <v>1886.1</v>
      </c>
      <c r="P2917">
        <f t="shared" si="45"/>
        <v>0.45139581256231309</v>
      </c>
    </row>
    <row r="2918" spans="1:16" hidden="1" x14ac:dyDescent="0.25">
      <c r="A2918">
        <v>0</v>
      </c>
      <c r="B2918">
        <v>30000</v>
      </c>
      <c r="C2918">
        <f>1.225 * (1 - 0.00000687559 * B2918) ^ 4.2561</f>
        <v>0.45828836225470948</v>
      </c>
      <c r="D2918">
        <f>E2918*(SQRT($C$2/C2918))</f>
        <v>326.98559864506467</v>
      </c>
      <c r="E2918">
        <v>200</v>
      </c>
      <c r="F2918">
        <v>1215</v>
      </c>
      <c r="G2918">
        <v>2000</v>
      </c>
      <c r="H2918">
        <f>CONVERT(G2918,"HP","kW")</f>
        <v>1491.3997431645405</v>
      </c>
      <c r="I2918">
        <v>0.83030000000000004</v>
      </c>
      <c r="J2918">
        <v>2.0964</v>
      </c>
      <c r="K2918">
        <v>0.8034</v>
      </c>
      <c r="L2918">
        <v>0.4012</v>
      </c>
      <c r="M2918">
        <v>0.15890000000000001</v>
      </c>
      <c r="N2918">
        <f>CONVERT(O2918,"lbf","N")</f>
        <v>7361.3619510946028</v>
      </c>
      <c r="O2918">
        <v>1654.9</v>
      </c>
      <c r="P2918">
        <f t="shared" si="45"/>
        <v>0.39606181455633105</v>
      </c>
    </row>
    <row r="2919" spans="1:16" hidden="1" x14ac:dyDescent="0.25">
      <c r="A2919">
        <v>0</v>
      </c>
      <c r="B2919">
        <v>30000</v>
      </c>
      <c r="C2919">
        <f>1.225 * (1 - 0.00000687559 * B2919) ^ 4.2561</f>
        <v>0.45828836225470948</v>
      </c>
      <c r="D2919">
        <f>E2919*(SQRT($C$2/C2919))</f>
        <v>359.68415850957115</v>
      </c>
      <c r="E2919">
        <v>220</v>
      </c>
      <c r="F2919">
        <v>1215</v>
      </c>
      <c r="G2919">
        <v>2000</v>
      </c>
      <c r="H2919">
        <f>CONVERT(G2919,"HP","kW")</f>
        <v>1491.3997431645405</v>
      </c>
      <c r="I2919">
        <v>0.77110000000000001</v>
      </c>
      <c r="J2919">
        <v>2.306</v>
      </c>
      <c r="K2919">
        <v>0.84279999999999999</v>
      </c>
      <c r="L2919">
        <v>0.4012</v>
      </c>
      <c r="M2919">
        <v>0.1341</v>
      </c>
      <c r="N2919">
        <f>CONVERT(O2919,"lbf","N")</f>
        <v>6215.0552408419708</v>
      </c>
      <c r="O2919">
        <v>1397.2</v>
      </c>
      <c r="P2919">
        <f t="shared" si="45"/>
        <v>0.33424725822532403</v>
      </c>
    </row>
    <row r="2920" spans="1:16" hidden="1" x14ac:dyDescent="0.25">
      <c r="A2920">
        <v>0</v>
      </c>
      <c r="B2920">
        <v>30000</v>
      </c>
      <c r="C2920">
        <f>1.225 * (1 - 0.00000687559 * B2920) ^ 4.2561</f>
        <v>0.45828836225470948</v>
      </c>
      <c r="D2920">
        <f>E2920*(SQRT($C$2/C2920))</f>
        <v>392.38271837407763</v>
      </c>
      <c r="E2920">
        <v>240</v>
      </c>
      <c r="F2920">
        <v>1215</v>
      </c>
      <c r="G2920">
        <v>2000</v>
      </c>
      <c r="H2920">
        <f>CONVERT(G2920,"HP","kW")</f>
        <v>1491.3997431645405</v>
      </c>
      <c r="I2920">
        <v>0.64870000000000005</v>
      </c>
      <c r="J2920">
        <v>2.5156999999999998</v>
      </c>
      <c r="K2920">
        <v>0.88400000000000001</v>
      </c>
      <c r="L2920">
        <v>0.4012</v>
      </c>
      <c r="M2920">
        <v>0.10349999999999999</v>
      </c>
      <c r="N2920">
        <f>CONVERT(O2920,"lbf","N")</f>
        <v>4792.9587904431892</v>
      </c>
      <c r="O2920">
        <v>1077.5</v>
      </c>
      <c r="P2920">
        <f t="shared" si="45"/>
        <v>0.25797607178464604</v>
      </c>
    </row>
    <row r="2921" spans="1:16" hidden="1" x14ac:dyDescent="0.25">
      <c r="A2921">
        <v>0</v>
      </c>
      <c r="B2921">
        <v>30000</v>
      </c>
      <c r="C2921">
        <f>1.225 * (1 - 0.00000687559 * B2921) ^ 4.2561</f>
        <v>0.45828836225470948</v>
      </c>
      <c r="D2921">
        <f>E2921*(SQRT($C$2/C2921))</f>
        <v>65.397119729012928</v>
      </c>
      <c r="E2921">
        <v>40</v>
      </c>
      <c r="F2921">
        <v>1215</v>
      </c>
      <c r="G2921">
        <v>2000</v>
      </c>
      <c r="H2921">
        <f>CONVERT(G2921,"HP","kW")</f>
        <v>1491.3997431645405</v>
      </c>
      <c r="I2921">
        <v>0.26179999999999998</v>
      </c>
      <c r="J2921">
        <v>0.41930000000000001</v>
      </c>
      <c r="K2921">
        <v>0.58460000000000001</v>
      </c>
      <c r="L2921">
        <v>0.40150000000000002</v>
      </c>
      <c r="M2921">
        <v>0.25069999999999998</v>
      </c>
      <c r="N2921">
        <f>CONVERT(O2921,"lbf","N")</f>
        <v>11607.189482860749</v>
      </c>
      <c r="O2921">
        <v>2609.4</v>
      </c>
      <c r="P2921">
        <f t="shared" si="45"/>
        <v>0.62440846824408458</v>
      </c>
    </row>
    <row r="2922" spans="1:16" hidden="1" x14ac:dyDescent="0.25">
      <c r="A2922">
        <v>0</v>
      </c>
      <c r="B2922">
        <v>5000</v>
      </c>
      <c r="C2922">
        <f>1.225 * (1 - 0.00000687559 * B2922) ^ 4.2561</f>
        <v>1.0555380742846066</v>
      </c>
      <c r="D2922">
        <f>E2922*(SQRT($C$2/C2922))</f>
        <v>172.3657904487294</v>
      </c>
      <c r="E2922">
        <v>160</v>
      </c>
      <c r="F2922">
        <v>987</v>
      </c>
      <c r="G2922">
        <v>2500</v>
      </c>
      <c r="H2922">
        <f>CONVERT(G2922,"HP","kW")</f>
        <v>1864.2496789556756</v>
      </c>
      <c r="I2922">
        <v>0.82320000000000004</v>
      </c>
      <c r="J2922">
        <v>1.3604000000000001</v>
      </c>
      <c r="K2922">
        <v>0.50249999999999995</v>
      </c>
      <c r="L2922">
        <v>0.40579999999999999</v>
      </c>
      <c r="M2922">
        <v>0.2455</v>
      </c>
      <c r="N2922">
        <f>CONVERT(O2922,"lbf","N")</f>
        <v>17306.251016332502</v>
      </c>
      <c r="O2922">
        <v>3890.6</v>
      </c>
      <c r="P2922">
        <f t="shared" si="45"/>
        <v>0.60497782158698865</v>
      </c>
    </row>
    <row r="2923" spans="1:16" hidden="1" x14ac:dyDescent="0.25">
      <c r="A2923">
        <v>0</v>
      </c>
      <c r="B2923">
        <v>5000</v>
      </c>
      <c r="C2923">
        <f>1.225 * (1 - 0.00000687559 * B2923) ^ 4.2561</f>
        <v>1.0555380742846066</v>
      </c>
      <c r="D2923">
        <f>E2923*(SQRT($C$2/C2923))</f>
        <v>0</v>
      </c>
      <c r="E2923">
        <v>0</v>
      </c>
      <c r="F2923">
        <v>987</v>
      </c>
      <c r="G2923">
        <v>2500</v>
      </c>
      <c r="H2923">
        <f>CONVERT(G2923,"HP","kW")</f>
        <v>1864.2496789556756</v>
      </c>
      <c r="I2923">
        <v>0</v>
      </c>
      <c r="J2923">
        <v>0</v>
      </c>
      <c r="K2923">
        <v>0.41920000000000002</v>
      </c>
      <c r="L2923">
        <v>0.40589999999999998</v>
      </c>
      <c r="M2923">
        <v>0.18390000000000001</v>
      </c>
      <c r="N2923">
        <f>CONVERT(O2923,"lbf","N")</f>
        <v>12953.221343638577</v>
      </c>
      <c r="O2923">
        <v>2912</v>
      </c>
      <c r="P2923">
        <f t="shared" si="45"/>
        <v>0.45306725794530678</v>
      </c>
    </row>
    <row r="2924" spans="1:16" hidden="1" x14ac:dyDescent="0.25">
      <c r="A2924">
        <v>0</v>
      </c>
      <c r="B2924">
        <v>5000</v>
      </c>
      <c r="C2924">
        <f>1.225 * (1 - 0.00000687559 * B2924) ^ 4.2561</f>
        <v>1.0555380742846066</v>
      </c>
      <c r="D2924">
        <f>E2924*(SQRT($C$2/C2924))</f>
        <v>21.545723806091175</v>
      </c>
      <c r="E2924">
        <v>20</v>
      </c>
      <c r="F2924">
        <v>987</v>
      </c>
      <c r="G2924">
        <v>2500</v>
      </c>
      <c r="H2924">
        <f>CONVERT(G2924,"HP","kW")</f>
        <v>1864.2496789556756</v>
      </c>
      <c r="I2924">
        <v>8.3699999999999997E-2</v>
      </c>
      <c r="J2924">
        <v>0.17</v>
      </c>
      <c r="K2924">
        <v>0.42309999999999998</v>
      </c>
      <c r="L2924">
        <v>0.40589999999999998</v>
      </c>
      <c r="M2924">
        <v>0.19969999999999999</v>
      </c>
      <c r="N2924">
        <f>CONVERT(O2924,"lbf","N")</f>
        <v>14071.059435553541</v>
      </c>
      <c r="O2924">
        <v>3163.3</v>
      </c>
      <c r="P2924">
        <f t="shared" si="45"/>
        <v>0.4919931017491993</v>
      </c>
    </row>
    <row r="2925" spans="1:16" hidden="1" x14ac:dyDescent="0.25">
      <c r="A2925">
        <v>0</v>
      </c>
      <c r="B2925">
        <v>5000</v>
      </c>
      <c r="C2925">
        <f>1.225 * (1 - 0.00000687559 * B2925) ^ 4.2561</f>
        <v>1.0555380742846066</v>
      </c>
      <c r="D2925">
        <f>E2925*(SQRT($C$2/C2925))</f>
        <v>43.09144761218235</v>
      </c>
      <c r="E2925">
        <v>40</v>
      </c>
      <c r="F2925">
        <v>987</v>
      </c>
      <c r="G2925">
        <v>2500</v>
      </c>
      <c r="H2925">
        <f>CONVERT(G2925,"HP","kW")</f>
        <v>1864.2496789556756</v>
      </c>
      <c r="I2925">
        <v>0.19289999999999999</v>
      </c>
      <c r="J2925">
        <v>0.34010000000000001</v>
      </c>
      <c r="K2925">
        <v>0.4279</v>
      </c>
      <c r="L2925">
        <v>0.40589999999999998</v>
      </c>
      <c r="M2925">
        <v>0.23019999999999999</v>
      </c>
      <c r="N2925">
        <f>CONVERT(O2925,"lbf","N")</f>
        <v>16223.998697339623</v>
      </c>
      <c r="O2925">
        <v>3647.3</v>
      </c>
      <c r="P2925">
        <f t="shared" si="45"/>
        <v>0.56713476225671344</v>
      </c>
    </row>
    <row r="2926" spans="1:16" hidden="1" x14ac:dyDescent="0.25">
      <c r="A2926">
        <v>0</v>
      </c>
      <c r="B2926">
        <v>5000</v>
      </c>
      <c r="C2926">
        <f>1.225 * (1 - 0.00000687559 * B2926) ^ 4.2561</f>
        <v>1.0555380742846066</v>
      </c>
      <c r="D2926">
        <f>E2926*(SQRT($C$2/C2926))</f>
        <v>64.637171418273525</v>
      </c>
      <c r="E2926">
        <v>60</v>
      </c>
      <c r="F2926">
        <v>987</v>
      </c>
      <c r="G2926">
        <v>2500</v>
      </c>
      <c r="H2926">
        <f>CONVERT(G2926,"HP","kW")</f>
        <v>1864.2496789556756</v>
      </c>
      <c r="I2926">
        <v>0.32769999999999999</v>
      </c>
      <c r="J2926">
        <v>0.5101</v>
      </c>
      <c r="K2926">
        <v>0.435</v>
      </c>
      <c r="L2926">
        <v>0.40610000000000002</v>
      </c>
      <c r="M2926">
        <v>0.26090000000000002</v>
      </c>
      <c r="N2926">
        <f>CONVERT(O2926,"lbf","N")</f>
        <v>18371.155271025866</v>
      </c>
      <c r="O2926">
        <v>4130</v>
      </c>
      <c r="P2926">
        <f t="shared" si="45"/>
        <v>0.64245259788229503</v>
      </c>
    </row>
    <row r="2927" spans="1:16" hidden="1" x14ac:dyDescent="0.25">
      <c r="A2927">
        <v>0</v>
      </c>
      <c r="B2927">
        <v>5000</v>
      </c>
      <c r="C2927">
        <f>1.225 * (1 - 0.00000687559 * B2927) ^ 4.2561</f>
        <v>1.0555380742846066</v>
      </c>
      <c r="D2927">
        <f>E2927*(SQRT($C$2/C2927))</f>
        <v>86.1828952243647</v>
      </c>
      <c r="E2927">
        <v>80</v>
      </c>
      <c r="F2927">
        <v>987</v>
      </c>
      <c r="G2927">
        <v>2500</v>
      </c>
      <c r="H2927">
        <f>CONVERT(G2927,"HP","kW")</f>
        <v>1864.2496789556756</v>
      </c>
      <c r="I2927">
        <v>0.48349999999999999</v>
      </c>
      <c r="J2927">
        <v>0.68020000000000003</v>
      </c>
      <c r="K2927">
        <v>0.44429999999999997</v>
      </c>
      <c r="L2927">
        <v>0.40620000000000001</v>
      </c>
      <c r="M2927">
        <v>0.28870000000000001</v>
      </c>
      <c r="N2927">
        <f>CONVERT(O2927,"lbf","N")</f>
        <v>20330.596892548114</v>
      </c>
      <c r="O2927">
        <v>4570.5</v>
      </c>
      <c r="P2927">
        <f t="shared" si="45"/>
        <v>0.71073362875430823</v>
      </c>
    </row>
    <row r="2928" spans="1:16" hidden="1" x14ac:dyDescent="0.25">
      <c r="A2928">
        <v>0</v>
      </c>
      <c r="B2928">
        <v>5000</v>
      </c>
      <c r="C2928">
        <f>1.225 * (1 - 0.00000687559 * B2928) ^ 4.2561</f>
        <v>1.0555380742846066</v>
      </c>
      <c r="D2928">
        <f>E2928*(SQRT($C$2/C2928))</f>
        <v>107.72861903045587</v>
      </c>
      <c r="E2928">
        <v>100</v>
      </c>
      <c r="F2928">
        <v>987</v>
      </c>
      <c r="G2928">
        <v>2500</v>
      </c>
      <c r="H2928">
        <f>CONVERT(G2928,"HP","kW")</f>
        <v>1864.2496789556756</v>
      </c>
      <c r="I2928">
        <v>0.65280000000000005</v>
      </c>
      <c r="J2928">
        <v>0.85019999999999996</v>
      </c>
      <c r="K2928">
        <v>0.45579999999999998</v>
      </c>
      <c r="L2928">
        <v>0.40620000000000001</v>
      </c>
      <c r="M2928">
        <v>0.31180000000000002</v>
      </c>
      <c r="N2928">
        <f>CONVERT(O2928,"lbf","N")</f>
        <v>21959.090825894986</v>
      </c>
      <c r="O2928">
        <v>4936.6000000000004</v>
      </c>
      <c r="P2928">
        <f t="shared" si="45"/>
        <v>0.76760216642048251</v>
      </c>
    </row>
    <row r="2929" spans="1:16" hidden="1" x14ac:dyDescent="0.25">
      <c r="A2929">
        <v>0</v>
      </c>
      <c r="B2929">
        <v>5000</v>
      </c>
      <c r="C2929">
        <f>1.225 * (1 - 0.00000687559 * B2929) ^ 4.2561</f>
        <v>1.0555380742846066</v>
      </c>
      <c r="D2929">
        <f>E2929*(SQRT($C$2/C2929))</f>
        <v>129.27434283654705</v>
      </c>
      <c r="E2929">
        <v>120</v>
      </c>
      <c r="F2929">
        <v>987</v>
      </c>
      <c r="G2929">
        <v>2500</v>
      </c>
      <c r="H2929">
        <f>CONVERT(G2929,"HP","kW")</f>
        <v>1864.2496789556756</v>
      </c>
      <c r="I2929">
        <v>0.7409</v>
      </c>
      <c r="J2929">
        <v>1.0203</v>
      </c>
      <c r="K2929">
        <v>0.46970000000000001</v>
      </c>
      <c r="L2929">
        <v>0.40620000000000001</v>
      </c>
      <c r="M2929">
        <v>0.2949</v>
      </c>
      <c r="N2929">
        <f>CONVERT(O2929,"lbf","N")</f>
        <v>20768.30189948975</v>
      </c>
      <c r="O2929">
        <v>4668.8999999999996</v>
      </c>
      <c r="P2929">
        <f t="shared" si="45"/>
        <v>0.72599704579025104</v>
      </c>
    </row>
    <row r="2930" spans="1:16" hidden="1" x14ac:dyDescent="0.25">
      <c r="A2930">
        <v>0</v>
      </c>
      <c r="B2930">
        <v>5000</v>
      </c>
      <c r="C2930">
        <f>1.225 * (1 - 0.00000687559 * B2930) ^ 4.2561</f>
        <v>1.0555380742846066</v>
      </c>
      <c r="D2930">
        <f>E2930*(SQRT($C$2/C2930))</f>
        <v>193.91151425482059</v>
      </c>
      <c r="E2930">
        <v>180</v>
      </c>
      <c r="F2930">
        <v>987</v>
      </c>
      <c r="G2930">
        <v>2500</v>
      </c>
      <c r="H2930">
        <f>CONVERT(G2930,"HP","kW")</f>
        <v>1864.2496789556756</v>
      </c>
      <c r="I2930">
        <v>0.84709999999999996</v>
      </c>
      <c r="J2930">
        <v>1.5304</v>
      </c>
      <c r="K2930">
        <v>0.52110000000000001</v>
      </c>
      <c r="L2930">
        <v>0.40620000000000001</v>
      </c>
      <c r="M2930">
        <v>0.2248</v>
      </c>
      <c r="N2930">
        <f>CONVERT(O2930,"lbf","N")</f>
        <v>15830.331084389069</v>
      </c>
      <c r="O2930">
        <v>3558.8</v>
      </c>
      <c r="P2930">
        <f t="shared" si="45"/>
        <v>0.5534219596258001</v>
      </c>
    </row>
    <row r="2931" spans="1:16" hidden="1" x14ac:dyDescent="0.25">
      <c r="A2931">
        <v>0</v>
      </c>
      <c r="B2931">
        <v>5000</v>
      </c>
      <c r="C2931">
        <f>1.225 * (1 - 0.00000687559 * B2931) ^ 4.2561</f>
        <v>1.0555380742846066</v>
      </c>
      <c r="D2931">
        <f>E2931*(SQRT($C$2/C2931))</f>
        <v>215.45723806091175</v>
      </c>
      <c r="E2931">
        <v>200</v>
      </c>
      <c r="F2931">
        <v>987</v>
      </c>
      <c r="G2931">
        <v>2500</v>
      </c>
      <c r="H2931">
        <f>CONVERT(G2931,"HP","kW")</f>
        <v>1864.2496789556756</v>
      </c>
      <c r="I2931">
        <v>0.86429999999999996</v>
      </c>
      <c r="J2931">
        <v>1.7004999999999999</v>
      </c>
      <c r="K2931">
        <v>0.54100000000000004</v>
      </c>
      <c r="L2931">
        <v>0.40620000000000001</v>
      </c>
      <c r="M2931">
        <v>0.20649999999999999</v>
      </c>
      <c r="N2931">
        <f>CONVERT(O2931,"lbf","N")</f>
        <v>14537.233060832839</v>
      </c>
      <c r="O2931">
        <v>3268.1</v>
      </c>
      <c r="P2931">
        <f t="shared" si="45"/>
        <v>0.50837026095519444</v>
      </c>
    </row>
    <row r="2932" spans="1:16" hidden="1" x14ac:dyDescent="0.25">
      <c r="A2932">
        <v>0</v>
      </c>
      <c r="B2932">
        <v>5000</v>
      </c>
      <c r="C2932">
        <f>1.225 * (1 - 0.00000687559 * B2932) ^ 4.2561</f>
        <v>1.0555380742846066</v>
      </c>
      <c r="D2932">
        <f>E2932*(SQRT($C$2/C2932))</f>
        <v>237.00296186700291</v>
      </c>
      <c r="E2932">
        <v>220</v>
      </c>
      <c r="F2932">
        <v>987</v>
      </c>
      <c r="G2932">
        <v>2500</v>
      </c>
      <c r="H2932">
        <f>CONVERT(G2932,"HP","kW")</f>
        <v>1864.2496789556756</v>
      </c>
      <c r="I2932">
        <v>0.87629999999999997</v>
      </c>
      <c r="J2932">
        <v>1.8705000000000001</v>
      </c>
      <c r="K2932">
        <v>0.56210000000000004</v>
      </c>
      <c r="L2932">
        <v>0.40620000000000001</v>
      </c>
      <c r="M2932">
        <v>0.1903</v>
      </c>
      <c r="N2932">
        <f>CONVERT(O2932,"lbf","N")</f>
        <v>13399.377971649206</v>
      </c>
      <c r="O2932">
        <v>3012.3</v>
      </c>
      <c r="P2932">
        <f t="shared" si="45"/>
        <v>0.46848842934515017</v>
      </c>
    </row>
    <row r="2933" spans="1:16" hidden="1" x14ac:dyDescent="0.25">
      <c r="A2933">
        <v>0</v>
      </c>
      <c r="B2933">
        <v>5000</v>
      </c>
      <c r="C2933">
        <f>1.225 * (1 - 0.00000687559 * B2933) ^ 4.2561</f>
        <v>1.0555380742846066</v>
      </c>
      <c r="D2933">
        <f>E2933*(SQRT($C$2/C2933))</f>
        <v>258.5486856730941</v>
      </c>
      <c r="E2933">
        <v>240</v>
      </c>
      <c r="F2933">
        <v>987</v>
      </c>
      <c r="G2933">
        <v>2500</v>
      </c>
      <c r="H2933">
        <f>CONVERT(G2933,"HP","kW")</f>
        <v>1864.2496789556756</v>
      </c>
      <c r="I2933">
        <v>0.88419999999999999</v>
      </c>
      <c r="J2933">
        <v>2.0406</v>
      </c>
      <c r="K2933">
        <v>0.58430000000000004</v>
      </c>
      <c r="L2933">
        <v>0.40620000000000001</v>
      </c>
      <c r="M2933">
        <v>0.17599999999999999</v>
      </c>
      <c r="N2933">
        <f>CONVERT(O2933,"lbf","N")</f>
        <v>12392.745420115752</v>
      </c>
      <c r="O2933">
        <v>2786</v>
      </c>
      <c r="P2933">
        <f t="shared" si="45"/>
        <v>0.43328409650418509</v>
      </c>
    </row>
    <row r="2934" spans="1:16" hidden="1" x14ac:dyDescent="0.25">
      <c r="A2934">
        <v>0</v>
      </c>
      <c r="B2934">
        <v>5000</v>
      </c>
      <c r="C2934">
        <f>1.225 * (1 - 0.00000687559 * B2934) ^ 4.2561</f>
        <v>1.0555380742846066</v>
      </c>
      <c r="D2934">
        <f>E2934*(SQRT($C$2/C2934))</f>
        <v>280.09440947918529</v>
      </c>
      <c r="E2934">
        <v>260</v>
      </c>
      <c r="F2934">
        <v>987</v>
      </c>
      <c r="G2934">
        <v>2500</v>
      </c>
      <c r="H2934">
        <f>CONVERT(G2934,"HP","kW")</f>
        <v>1864.2496789556756</v>
      </c>
      <c r="I2934">
        <v>0.88839999999999997</v>
      </c>
      <c r="J2934">
        <v>2.2105999999999999</v>
      </c>
      <c r="K2934">
        <v>0.60740000000000005</v>
      </c>
      <c r="L2934">
        <v>0.40620000000000001</v>
      </c>
      <c r="M2934">
        <v>0.16320000000000001</v>
      </c>
      <c r="N2934">
        <f>CONVERT(O2934,"lbf","N")</f>
        <v>11494.204653833132</v>
      </c>
      <c r="O2934">
        <v>2584</v>
      </c>
      <c r="P2934">
        <f t="shared" si="45"/>
        <v>0.40177252584933532</v>
      </c>
    </row>
    <row r="2935" spans="1:16" hidden="1" x14ac:dyDescent="0.25">
      <c r="A2935">
        <v>0</v>
      </c>
      <c r="B2935">
        <v>5000</v>
      </c>
      <c r="C2935">
        <f>1.225 * (1 - 0.00000687559 * B2935) ^ 4.2561</f>
        <v>1.0555380742846066</v>
      </c>
      <c r="D2935">
        <f>E2935*(SQRT($C$2/C2935))</f>
        <v>150.82006664263821</v>
      </c>
      <c r="E2935">
        <v>140</v>
      </c>
      <c r="F2935">
        <v>987</v>
      </c>
      <c r="G2935">
        <v>2500</v>
      </c>
      <c r="H2935">
        <f>CONVERT(G2935,"HP","kW")</f>
        <v>1864.2496789556756</v>
      </c>
      <c r="I2935">
        <v>0.79010000000000002</v>
      </c>
      <c r="J2935">
        <v>1.1902999999999999</v>
      </c>
      <c r="K2935">
        <v>0.48530000000000001</v>
      </c>
      <c r="L2935">
        <v>0.40629999999999999</v>
      </c>
      <c r="M2935">
        <v>0.2697</v>
      </c>
      <c r="N2935">
        <f>CONVERT(O2935,"lbf","N")</f>
        <v>18983.23056528571</v>
      </c>
      <c r="O2935">
        <v>4267.6000000000004</v>
      </c>
      <c r="P2935">
        <f t="shared" si="45"/>
        <v>0.6637952252030519</v>
      </c>
    </row>
    <row r="2936" spans="1:16" hidden="1" x14ac:dyDescent="0.25">
      <c r="A2936">
        <v>0</v>
      </c>
      <c r="B2936">
        <v>30000</v>
      </c>
      <c r="C2936">
        <f>1.225 * (1 - 0.00000687559 * B2936) ^ 4.2561</f>
        <v>0.45828836225470948</v>
      </c>
      <c r="D2936">
        <f>E2936*(SQRT($C$2/C2936))</f>
        <v>130.79423945802586</v>
      </c>
      <c r="E2936">
        <v>80</v>
      </c>
      <c r="F2936">
        <v>1150</v>
      </c>
      <c r="G2936">
        <v>1750</v>
      </c>
      <c r="H2936">
        <f>CONVERT(G2936,"HP","kW")</f>
        <v>1304.974775268973</v>
      </c>
      <c r="I2936">
        <v>0.65500000000000003</v>
      </c>
      <c r="J2936">
        <v>0.88590000000000002</v>
      </c>
      <c r="K2936">
        <v>0.58909999999999996</v>
      </c>
      <c r="L2936">
        <v>0.41370000000000001</v>
      </c>
      <c r="M2936">
        <v>0.30580000000000002</v>
      </c>
      <c r="N2936">
        <f>CONVERT(O2936,"lbf","N")</f>
        <v>12703.231288860936</v>
      </c>
      <c r="O2936">
        <v>2855.8</v>
      </c>
      <c r="P2936">
        <f t="shared" si="45"/>
        <v>0.73918298283780515</v>
      </c>
    </row>
    <row r="2937" spans="1:16" hidden="1" x14ac:dyDescent="0.25">
      <c r="A2937">
        <v>0</v>
      </c>
      <c r="B2937">
        <v>30000</v>
      </c>
      <c r="C2937">
        <f>1.225 * (1 - 0.00000687559 * B2937) ^ 4.2561</f>
        <v>0.45828836225470948</v>
      </c>
      <c r="D2937">
        <f>E2937*(SQRT($C$2/C2937))</f>
        <v>0</v>
      </c>
      <c r="E2937">
        <v>0</v>
      </c>
      <c r="F2937">
        <v>1150</v>
      </c>
      <c r="G2937">
        <v>1750</v>
      </c>
      <c r="H2937">
        <f>CONVERT(G2937,"HP","kW")</f>
        <v>1304.974775268973</v>
      </c>
      <c r="I2937">
        <v>0</v>
      </c>
      <c r="J2937">
        <v>0</v>
      </c>
      <c r="K2937">
        <v>0.53790000000000004</v>
      </c>
      <c r="L2937">
        <v>0.4138</v>
      </c>
      <c r="M2937">
        <v>0.2064</v>
      </c>
      <c r="N2937">
        <f>CONVERT(O2937,"lbf","N")</f>
        <v>8571.2782304454577</v>
      </c>
      <c r="O2937">
        <v>1926.9</v>
      </c>
      <c r="P2937">
        <f t="shared" si="45"/>
        <v>0.4987916868052199</v>
      </c>
    </row>
    <row r="2938" spans="1:16" hidden="1" x14ac:dyDescent="0.25">
      <c r="A2938">
        <v>0</v>
      </c>
      <c r="B2938">
        <v>30000</v>
      </c>
      <c r="C2938">
        <f>1.225 * (1 - 0.00000687559 * B2938) ^ 4.2561</f>
        <v>0.45828836225470948</v>
      </c>
      <c r="D2938">
        <f>E2938*(SQRT($C$2/C2938))</f>
        <v>32.698559864506464</v>
      </c>
      <c r="E2938">
        <v>20</v>
      </c>
      <c r="F2938">
        <v>1150</v>
      </c>
      <c r="G2938">
        <v>1750</v>
      </c>
      <c r="H2938">
        <f>CONVERT(G2938,"HP","kW")</f>
        <v>1304.974775268973</v>
      </c>
      <c r="I2938">
        <v>0.1188</v>
      </c>
      <c r="J2938">
        <v>0.2215</v>
      </c>
      <c r="K2938">
        <v>0.54459999999999997</v>
      </c>
      <c r="L2938">
        <v>0.4138</v>
      </c>
      <c r="M2938">
        <v>0.22209999999999999</v>
      </c>
      <c r="N2938">
        <f>CONVERT(O2938,"lbf","N")</f>
        <v>9220.2737641119656</v>
      </c>
      <c r="O2938">
        <v>2072.8000000000002</v>
      </c>
      <c r="P2938">
        <f t="shared" si="45"/>
        <v>0.53673272112131465</v>
      </c>
    </row>
    <row r="2939" spans="1:16" hidden="1" x14ac:dyDescent="0.25">
      <c r="A2939">
        <v>0</v>
      </c>
      <c r="B2939">
        <v>30000</v>
      </c>
      <c r="C2939">
        <f>1.225 * (1 - 0.00000687559 * B2939) ^ 4.2561</f>
        <v>0.45828836225470948</v>
      </c>
      <c r="D2939">
        <f>E2939*(SQRT($C$2/C2939))</f>
        <v>98.095679593519407</v>
      </c>
      <c r="E2939">
        <v>60</v>
      </c>
      <c r="F2939">
        <v>1150</v>
      </c>
      <c r="G2939">
        <v>1750</v>
      </c>
      <c r="H2939">
        <f>CONVERT(G2939,"HP","kW")</f>
        <v>1304.974775268973</v>
      </c>
      <c r="I2939">
        <v>0.45040000000000002</v>
      </c>
      <c r="J2939">
        <v>0.66449999999999998</v>
      </c>
      <c r="K2939">
        <v>0.56969999999999998</v>
      </c>
      <c r="L2939">
        <v>0.4138</v>
      </c>
      <c r="M2939">
        <v>0.28050000000000003</v>
      </c>
      <c r="N2939">
        <f>CONVERT(O2939,"lbf","N")</f>
        <v>11647.66829955962</v>
      </c>
      <c r="O2939">
        <v>2618.5</v>
      </c>
      <c r="P2939">
        <f t="shared" si="45"/>
        <v>0.67786370227162884</v>
      </c>
    </row>
    <row r="2940" spans="1:16" hidden="1" x14ac:dyDescent="0.25">
      <c r="A2940">
        <v>0</v>
      </c>
      <c r="B2940">
        <v>30000</v>
      </c>
      <c r="C2940">
        <f>1.225 * (1 - 0.00000687559 * B2940) ^ 4.2561</f>
        <v>0.45828836225470948</v>
      </c>
      <c r="D2940">
        <f>E2940*(SQRT($C$2/C2940))</f>
        <v>294.28703878055819</v>
      </c>
      <c r="E2940">
        <v>180</v>
      </c>
      <c r="F2940">
        <v>1150</v>
      </c>
      <c r="G2940">
        <v>1750</v>
      </c>
      <c r="H2940">
        <f>CONVERT(G2940,"HP","kW")</f>
        <v>1304.974775268973</v>
      </c>
      <c r="I2940">
        <v>0.87019999999999997</v>
      </c>
      <c r="J2940">
        <v>1.9934000000000001</v>
      </c>
      <c r="K2940">
        <v>0.74280000000000002</v>
      </c>
      <c r="L2940">
        <v>0.41389999999999999</v>
      </c>
      <c r="M2940">
        <v>0.1807</v>
      </c>
      <c r="N2940">
        <f>CONVERT(O2940,"lbf","N")</f>
        <v>7501.036109813781</v>
      </c>
      <c r="O2940">
        <v>1686.3</v>
      </c>
      <c r="P2940">
        <f t="shared" si="45"/>
        <v>0.43657888378835469</v>
      </c>
    </row>
    <row r="2941" spans="1:16" hidden="1" x14ac:dyDescent="0.25">
      <c r="A2941">
        <v>0</v>
      </c>
      <c r="B2941">
        <v>30000</v>
      </c>
      <c r="C2941">
        <f>1.225 * (1 - 0.00000687559 * B2941) ^ 4.2561</f>
        <v>0.45828836225470948</v>
      </c>
      <c r="D2941">
        <f>E2941*(SQRT($C$2/C2941))</f>
        <v>359.68415850957115</v>
      </c>
      <c r="E2941">
        <v>220</v>
      </c>
      <c r="F2941">
        <v>1150</v>
      </c>
      <c r="G2941">
        <v>1750</v>
      </c>
      <c r="H2941">
        <f>CONVERT(G2941,"HP","kW")</f>
        <v>1304.974775268973</v>
      </c>
      <c r="I2941">
        <v>0.79120000000000001</v>
      </c>
      <c r="J2941">
        <v>2.4363999999999999</v>
      </c>
      <c r="K2941">
        <v>0.82169999999999999</v>
      </c>
      <c r="L2941">
        <v>0.41389999999999999</v>
      </c>
      <c r="M2941">
        <v>0.13439999999999999</v>
      </c>
      <c r="N2941">
        <f>CONVERT(O2941,"lbf","N")</f>
        <v>5579.8491941827715</v>
      </c>
      <c r="O2941">
        <v>1254.4000000000001</v>
      </c>
      <c r="P2941">
        <f t="shared" si="45"/>
        <v>0.32471611500362407</v>
      </c>
    </row>
    <row r="2942" spans="1:16" hidden="1" x14ac:dyDescent="0.25">
      <c r="A2942">
        <v>0</v>
      </c>
      <c r="B2942">
        <v>30000</v>
      </c>
      <c r="C2942">
        <f>1.225 * (1 - 0.00000687559 * B2942) ^ 4.2561</f>
        <v>0.45828836225470948</v>
      </c>
      <c r="D2942">
        <f>E2942*(SQRT($C$2/C2942))</f>
        <v>196.19135918703881</v>
      </c>
      <c r="E2942">
        <v>120</v>
      </c>
      <c r="F2942">
        <v>1150</v>
      </c>
      <c r="G2942">
        <v>1750</v>
      </c>
      <c r="H2942">
        <f>CONVERT(G2942,"HP","kW")</f>
        <v>1304.974775268973</v>
      </c>
      <c r="I2942">
        <v>0.81120000000000003</v>
      </c>
      <c r="J2942">
        <v>1.3289</v>
      </c>
      <c r="K2942">
        <v>0.64149999999999996</v>
      </c>
      <c r="L2942">
        <v>0.41399999999999998</v>
      </c>
      <c r="M2942">
        <v>0.25269999999999998</v>
      </c>
      <c r="N2942">
        <f>CONVERT(O2942,"lbf","N")</f>
        <v>10488.461746622734</v>
      </c>
      <c r="O2942">
        <v>2357.9</v>
      </c>
      <c r="P2942">
        <f t="shared" si="45"/>
        <v>0.61038647342995167</v>
      </c>
    </row>
    <row r="2943" spans="1:16" hidden="1" x14ac:dyDescent="0.25">
      <c r="A2943">
        <v>0</v>
      </c>
      <c r="B2943">
        <v>30000</v>
      </c>
      <c r="C2943">
        <f>1.225 * (1 - 0.00000687559 * B2943) ^ 4.2561</f>
        <v>0.45828836225470948</v>
      </c>
      <c r="D2943">
        <f>E2943*(SQRT($C$2/C2943))</f>
        <v>228.88991905154526</v>
      </c>
      <c r="E2943">
        <v>140</v>
      </c>
      <c r="F2943">
        <v>1150</v>
      </c>
      <c r="G2943">
        <v>1750</v>
      </c>
      <c r="H2943">
        <f>CONVERT(G2943,"HP","kW")</f>
        <v>1304.974775268973</v>
      </c>
      <c r="I2943">
        <v>0.84430000000000005</v>
      </c>
      <c r="J2943">
        <v>1.5504</v>
      </c>
      <c r="K2943">
        <v>0.67249999999999999</v>
      </c>
      <c r="L2943">
        <v>0.41399999999999998</v>
      </c>
      <c r="M2943">
        <v>0.22550000000000001</v>
      </c>
      <c r="N2943">
        <f>CONVERT(O2943,"lbf","N")</f>
        <v>9356.8341677004628</v>
      </c>
      <c r="O2943">
        <v>2103.5</v>
      </c>
      <c r="P2943">
        <f t="shared" si="45"/>
        <v>0.54468599033816434</v>
      </c>
    </row>
    <row r="2944" spans="1:16" hidden="1" x14ac:dyDescent="0.25">
      <c r="A2944">
        <v>0</v>
      </c>
      <c r="B2944">
        <v>30000</v>
      </c>
      <c r="C2944">
        <f>1.225 * (1 - 0.00000687559 * B2944) ^ 4.2561</f>
        <v>0.45828836225470948</v>
      </c>
      <c r="D2944">
        <f>E2944*(SQRT($C$2/C2944))</f>
        <v>261.58847891605171</v>
      </c>
      <c r="E2944">
        <v>160</v>
      </c>
      <c r="F2944">
        <v>1150</v>
      </c>
      <c r="G2944">
        <v>1750</v>
      </c>
      <c r="H2944">
        <f>CONVERT(G2944,"HP","kW")</f>
        <v>1304.974775268973</v>
      </c>
      <c r="I2944">
        <v>0.86539999999999995</v>
      </c>
      <c r="J2944">
        <v>1.7719</v>
      </c>
      <c r="K2944">
        <v>0.70640000000000003</v>
      </c>
      <c r="L2944">
        <v>0.41399999999999998</v>
      </c>
      <c r="M2944">
        <v>0.20219999999999999</v>
      </c>
      <c r="N2944">
        <f>CONVERT(O2944,"lbf","N")</f>
        <v>8392.4597215119866</v>
      </c>
      <c r="O2944">
        <v>1886.7</v>
      </c>
      <c r="P2944">
        <f t="shared" si="45"/>
        <v>0.48840579710144927</v>
      </c>
    </row>
    <row r="2945" spans="1:16" hidden="1" x14ac:dyDescent="0.25">
      <c r="A2945">
        <v>0</v>
      </c>
      <c r="B2945">
        <v>30000</v>
      </c>
      <c r="C2945">
        <f>1.225 * (1 - 0.00000687559 * B2945) ^ 4.2561</f>
        <v>0.45828836225470948</v>
      </c>
      <c r="D2945">
        <f>E2945*(SQRT($C$2/C2945))</f>
        <v>326.98559864506467</v>
      </c>
      <c r="E2945">
        <v>200</v>
      </c>
      <c r="F2945">
        <v>1150</v>
      </c>
      <c r="G2945">
        <v>1750</v>
      </c>
      <c r="H2945">
        <f>CONVERT(G2945,"HP","kW")</f>
        <v>1304.974775268973</v>
      </c>
      <c r="I2945">
        <v>0.85040000000000004</v>
      </c>
      <c r="J2945">
        <v>2.2149000000000001</v>
      </c>
      <c r="K2945">
        <v>0.78129999999999999</v>
      </c>
      <c r="L2945">
        <v>0.41399999999999998</v>
      </c>
      <c r="M2945">
        <v>0.159</v>
      </c>
      <c r="N2945">
        <f>CONVERT(O2945,"lbf","N")</f>
        <v>6597.6022997543741</v>
      </c>
      <c r="O2945">
        <v>1483.2</v>
      </c>
      <c r="P2945">
        <f t="shared" si="45"/>
        <v>0.38405797101449279</v>
      </c>
    </row>
    <row r="2946" spans="1:16" hidden="1" x14ac:dyDescent="0.25">
      <c r="A2946">
        <v>0</v>
      </c>
      <c r="B2946">
        <v>30000</v>
      </c>
      <c r="C2946">
        <f>1.225 * (1 - 0.00000687559 * B2946) ^ 4.2561</f>
        <v>0.45828836225470948</v>
      </c>
      <c r="D2946">
        <f>E2946*(SQRT($C$2/C2946))</f>
        <v>392.38271837407763</v>
      </c>
      <c r="E2946">
        <v>240</v>
      </c>
      <c r="F2946">
        <v>1150</v>
      </c>
      <c r="G2946">
        <v>1750</v>
      </c>
      <c r="H2946">
        <f>CONVERT(G2946,"HP","kW")</f>
        <v>1304.974775268973</v>
      </c>
      <c r="I2946">
        <v>0.65559999999999996</v>
      </c>
      <c r="J2946">
        <v>2.6577999999999999</v>
      </c>
      <c r="K2946">
        <v>0.86380000000000001</v>
      </c>
      <c r="L2946">
        <v>0.41399999999999998</v>
      </c>
      <c r="M2946">
        <v>0.1021</v>
      </c>
      <c r="N2946">
        <f>CONVERT(O2946,"lbf","N")</f>
        <v>4238.7103771817301</v>
      </c>
      <c r="O2946">
        <v>952.9</v>
      </c>
      <c r="P2946">
        <f t="shared" si="45"/>
        <v>0.24661835748792271</v>
      </c>
    </row>
    <row r="2947" spans="1:16" hidden="1" x14ac:dyDescent="0.25">
      <c r="A2947">
        <v>0</v>
      </c>
      <c r="B2947">
        <v>30000</v>
      </c>
      <c r="C2947">
        <f>1.225 * (1 - 0.00000687559 * B2947) ^ 4.2561</f>
        <v>0.45828836225470948</v>
      </c>
      <c r="D2947">
        <f>E2947*(SQRT($C$2/C2947))</f>
        <v>65.397119729012928</v>
      </c>
      <c r="E2947">
        <v>40</v>
      </c>
      <c r="F2947">
        <v>1150</v>
      </c>
      <c r="G2947">
        <v>1750</v>
      </c>
      <c r="H2947">
        <f>CONVERT(G2947,"HP","kW")</f>
        <v>1304.974775268973</v>
      </c>
      <c r="I2947">
        <v>0.2661</v>
      </c>
      <c r="J2947">
        <v>0.443</v>
      </c>
      <c r="K2947">
        <v>0.55489999999999995</v>
      </c>
      <c r="L2947">
        <v>0.4143</v>
      </c>
      <c r="M2947">
        <v>0.24890000000000001</v>
      </c>
      <c r="N2947">
        <f>CONVERT(O2947,"lbf","N")</f>
        <v>10321.208613888939</v>
      </c>
      <c r="O2947">
        <v>2320.3000000000002</v>
      </c>
      <c r="P2947">
        <f t="shared" ref="P2947:P3010" si="46">M2947/L2947</f>
        <v>0.60077238715906345</v>
      </c>
    </row>
    <row r="2948" spans="1:16" hidden="1" x14ac:dyDescent="0.25">
      <c r="A2948">
        <v>0</v>
      </c>
      <c r="B2948">
        <v>30000</v>
      </c>
      <c r="C2948">
        <f>1.225 * (1 - 0.00000687559 * B2948) ^ 4.2561</f>
        <v>0.45828836225470948</v>
      </c>
      <c r="D2948">
        <f>E2948*(SQRT($C$2/C2948))</f>
        <v>163.49279932253233</v>
      </c>
      <c r="E2948">
        <v>100</v>
      </c>
      <c r="F2948">
        <v>1150</v>
      </c>
      <c r="G2948">
        <v>1750</v>
      </c>
      <c r="H2948">
        <f>CONVERT(G2948,"HP","kW")</f>
        <v>1304.974775268973</v>
      </c>
      <c r="I2948">
        <v>0.75580000000000003</v>
      </c>
      <c r="J2948">
        <v>1.1073999999999999</v>
      </c>
      <c r="K2948">
        <v>0.61350000000000005</v>
      </c>
      <c r="L2948">
        <v>0.4143</v>
      </c>
      <c r="M2948">
        <v>0.2828</v>
      </c>
      <c r="N2948">
        <f>CONVERT(O2948,"lbf","N")</f>
        <v>11726.846644311256</v>
      </c>
      <c r="O2948">
        <v>2636.3</v>
      </c>
      <c r="P2948">
        <f t="shared" si="46"/>
        <v>0.68259715182235092</v>
      </c>
    </row>
    <row r="2949" spans="1:16" hidden="1" x14ac:dyDescent="0.25">
      <c r="A2949">
        <v>0</v>
      </c>
      <c r="B2949">
        <v>30000</v>
      </c>
      <c r="C2949">
        <f>1.225 * (1 - 0.00000687559 * B2949) ^ 4.2561</f>
        <v>0.45828836225470948</v>
      </c>
      <c r="D2949">
        <f>E2949*(SQRT($C$2/C2949))</f>
        <v>425.08127823858405</v>
      </c>
      <c r="E2949">
        <v>260</v>
      </c>
      <c r="F2949">
        <v>1150</v>
      </c>
      <c r="G2949">
        <v>1750</v>
      </c>
      <c r="H2949">
        <f>CONVERT(G2949,"HP","kW")</f>
        <v>1304.974775268973</v>
      </c>
      <c r="I2949">
        <v>0.42480000000000001</v>
      </c>
      <c r="J2949">
        <v>2.8793000000000002</v>
      </c>
      <c r="K2949">
        <v>0.90739999999999998</v>
      </c>
      <c r="L2949">
        <v>0.41449999999999998</v>
      </c>
      <c r="M2949">
        <v>6.1199999999999997E-2</v>
      </c>
      <c r="N2949">
        <f>CONVERT(O2949,"lbf","N")</f>
        <v>2535.0414985369589</v>
      </c>
      <c r="O2949">
        <v>569.9</v>
      </c>
      <c r="P2949">
        <f t="shared" si="46"/>
        <v>0.14764776839565741</v>
      </c>
    </row>
    <row r="2950" spans="1:16" hidden="1" x14ac:dyDescent="0.25">
      <c r="A2950">
        <v>0</v>
      </c>
      <c r="B2950">
        <v>20000</v>
      </c>
      <c r="C2950">
        <f>1.225 * (1 - 0.00000687559 * B2950) ^ 4.2561</f>
        <v>0.65267221054298263</v>
      </c>
      <c r="D2950">
        <f>E2950*(SQRT($C$2/C2950))</f>
        <v>0</v>
      </c>
      <c r="E2950">
        <v>0</v>
      </c>
      <c r="F2950">
        <v>1150</v>
      </c>
      <c r="G2950">
        <v>2500</v>
      </c>
      <c r="H2950">
        <f>CONVERT(G2950,"HP","kW")</f>
        <v>1864.2496789556756</v>
      </c>
      <c r="I2950">
        <v>0</v>
      </c>
      <c r="J2950">
        <v>0</v>
      </c>
      <c r="K2950">
        <v>0.51659999999999995</v>
      </c>
      <c r="L2950">
        <v>0.41510000000000002</v>
      </c>
      <c r="M2950">
        <v>0.1968</v>
      </c>
      <c r="N2950">
        <f>CONVERT(O2950,"lbf","N")</f>
        <v>11635.658101198418</v>
      </c>
      <c r="O2950">
        <v>2615.8000000000002</v>
      </c>
      <c r="P2950">
        <f t="shared" si="46"/>
        <v>0.4741026258732835</v>
      </c>
    </row>
    <row r="2951" spans="1:16" hidden="1" x14ac:dyDescent="0.25">
      <c r="A2951">
        <v>0</v>
      </c>
      <c r="B2951">
        <v>20000</v>
      </c>
      <c r="C2951">
        <f>1.225 * (1 - 0.00000687559 * B2951) ^ 4.2561</f>
        <v>0.65267221054298263</v>
      </c>
      <c r="D2951">
        <f>E2951*(SQRT($C$2/C2951))</f>
        <v>54.799989443328272</v>
      </c>
      <c r="E2951">
        <v>40</v>
      </c>
      <c r="F2951">
        <v>1150</v>
      </c>
      <c r="G2951">
        <v>2500</v>
      </c>
      <c r="H2951">
        <f>CONVERT(G2951,"HP","kW")</f>
        <v>1864.2496789556756</v>
      </c>
      <c r="I2951">
        <v>0.21149999999999999</v>
      </c>
      <c r="J2951">
        <v>0.37119999999999997</v>
      </c>
      <c r="K2951">
        <v>0.52880000000000005</v>
      </c>
      <c r="L2951">
        <v>0.41520000000000001</v>
      </c>
      <c r="M2951">
        <v>0.23649999999999999</v>
      </c>
      <c r="N2951">
        <f>CONVERT(O2951,"lbf","N")</f>
        <v>13982.984647571382</v>
      </c>
      <c r="O2951">
        <v>3143.5</v>
      </c>
      <c r="P2951">
        <f t="shared" si="46"/>
        <v>0.56960500963391136</v>
      </c>
    </row>
    <row r="2952" spans="1:16" hidden="1" x14ac:dyDescent="0.25">
      <c r="A2952">
        <v>0</v>
      </c>
      <c r="B2952">
        <v>20000</v>
      </c>
      <c r="C2952">
        <f>1.225 * (1 - 0.00000687559 * B2952) ^ 4.2561</f>
        <v>0.65267221054298263</v>
      </c>
      <c r="D2952">
        <f>E2952*(SQRT($C$2/C2952))</f>
        <v>328.7999366599696</v>
      </c>
      <c r="E2952">
        <v>240</v>
      </c>
      <c r="F2952">
        <v>1150</v>
      </c>
      <c r="G2952">
        <v>2500</v>
      </c>
      <c r="H2952">
        <f>CONVERT(G2952,"HP","kW")</f>
        <v>1864.2496789556756</v>
      </c>
      <c r="I2952">
        <v>0.87219999999999998</v>
      </c>
      <c r="J2952">
        <v>2.2271999999999998</v>
      </c>
      <c r="K2952">
        <v>0.75160000000000005</v>
      </c>
      <c r="L2952">
        <v>0.41520000000000001</v>
      </c>
      <c r="M2952">
        <v>0.16259999999999999</v>
      </c>
      <c r="N2952">
        <f>CONVERT(O2952,"lbf","N")</f>
        <v>9613.0517327394664</v>
      </c>
      <c r="O2952">
        <v>2161.1</v>
      </c>
      <c r="P2952">
        <f t="shared" si="46"/>
        <v>0.39161849710982655</v>
      </c>
    </row>
    <row r="2953" spans="1:16" hidden="1" x14ac:dyDescent="0.25">
      <c r="A2953">
        <v>0</v>
      </c>
      <c r="B2953">
        <v>20000</v>
      </c>
      <c r="C2953">
        <f>1.225 * (1 - 0.00000687559 * B2953) ^ 4.2561</f>
        <v>0.65267221054298263</v>
      </c>
      <c r="D2953">
        <f>E2953*(SQRT($C$2/C2953))</f>
        <v>27.399994721664136</v>
      </c>
      <c r="E2953">
        <v>20</v>
      </c>
      <c r="F2953">
        <v>1150</v>
      </c>
      <c r="G2953">
        <v>2500</v>
      </c>
      <c r="H2953">
        <f>CONVERT(G2953,"HP","kW")</f>
        <v>1864.2496789556756</v>
      </c>
      <c r="I2953">
        <v>9.4799999999999995E-2</v>
      </c>
      <c r="J2953">
        <v>0.18559999999999999</v>
      </c>
      <c r="K2953">
        <v>0.52159999999999995</v>
      </c>
      <c r="L2953">
        <v>0.4153</v>
      </c>
      <c r="M2953">
        <v>0.21210000000000001</v>
      </c>
      <c r="N2953">
        <f>CONVERT(O2953,"lbf","N")</f>
        <v>12535.533333965614</v>
      </c>
      <c r="O2953">
        <v>2818.1</v>
      </c>
      <c r="P2953">
        <f t="shared" si="46"/>
        <v>0.51071514567782328</v>
      </c>
    </row>
    <row r="2954" spans="1:16" hidden="1" x14ac:dyDescent="0.25">
      <c r="A2954">
        <v>0</v>
      </c>
      <c r="B2954">
        <v>20000</v>
      </c>
      <c r="C2954">
        <f>1.225 * (1 - 0.00000687559 * B2954) ^ 4.2561</f>
        <v>0.65267221054298263</v>
      </c>
      <c r="D2954">
        <f>E2954*(SQRT($C$2/C2954))</f>
        <v>82.199984164992401</v>
      </c>
      <c r="E2954">
        <v>60</v>
      </c>
      <c r="F2954">
        <v>1150</v>
      </c>
      <c r="G2954">
        <v>2500</v>
      </c>
      <c r="H2954">
        <f>CONVERT(G2954,"HP","kW")</f>
        <v>1864.2496789556756</v>
      </c>
      <c r="I2954">
        <v>0.35570000000000002</v>
      </c>
      <c r="J2954">
        <v>0.55679999999999996</v>
      </c>
      <c r="K2954">
        <v>0.53910000000000002</v>
      </c>
      <c r="L2954">
        <v>0.4153</v>
      </c>
      <c r="M2954">
        <v>0.26529999999999998</v>
      </c>
      <c r="N2954">
        <f>CONVERT(O2954,"lbf","N")</f>
        <v>15679.981193793263</v>
      </c>
      <c r="O2954">
        <v>3525</v>
      </c>
      <c r="P2954">
        <f t="shared" si="46"/>
        <v>0.63881531423067661</v>
      </c>
    </row>
    <row r="2955" spans="1:16" hidden="1" x14ac:dyDescent="0.25">
      <c r="A2955">
        <v>0</v>
      </c>
      <c r="B2955">
        <v>20000</v>
      </c>
      <c r="C2955">
        <f>1.225 * (1 - 0.00000687559 * B2955) ^ 4.2561</f>
        <v>0.65267221054298263</v>
      </c>
      <c r="D2955">
        <f>E2955*(SQRT($C$2/C2955))</f>
        <v>109.59997888665654</v>
      </c>
      <c r="E2955">
        <v>80</v>
      </c>
      <c r="F2955">
        <v>1150</v>
      </c>
      <c r="G2955">
        <v>2500</v>
      </c>
      <c r="H2955">
        <f>CONVERT(G2955,"HP","kW")</f>
        <v>1864.2496789556756</v>
      </c>
      <c r="I2955">
        <v>0.52559999999999996</v>
      </c>
      <c r="J2955">
        <v>0.74239999999999995</v>
      </c>
      <c r="K2955">
        <v>0.55259999999999998</v>
      </c>
      <c r="L2955">
        <v>0.4153</v>
      </c>
      <c r="M2955">
        <v>0.29399999999999998</v>
      </c>
      <c r="N2955">
        <f>CONVERT(O2955,"lbf","N")</f>
        <v>17379.646672984301</v>
      </c>
      <c r="O2955">
        <v>3907.1</v>
      </c>
      <c r="P2955">
        <f t="shared" si="46"/>
        <v>0.70792198410787377</v>
      </c>
    </row>
    <row r="2956" spans="1:16" hidden="1" x14ac:dyDescent="0.25">
      <c r="A2956">
        <v>0</v>
      </c>
      <c r="B2956">
        <v>20000</v>
      </c>
      <c r="C2956">
        <f>1.225 * (1 - 0.00000687559 * B2956) ^ 4.2561</f>
        <v>0.65267221054298263</v>
      </c>
      <c r="D2956">
        <f>E2956*(SQRT($C$2/C2956))</f>
        <v>136.99997360832069</v>
      </c>
      <c r="E2956">
        <v>100</v>
      </c>
      <c r="F2956">
        <v>1150</v>
      </c>
      <c r="G2956">
        <v>2500</v>
      </c>
      <c r="H2956">
        <f>CONVERT(G2956,"HP","kW")</f>
        <v>1864.2496789556756</v>
      </c>
      <c r="I2956">
        <v>0.68230000000000002</v>
      </c>
      <c r="J2956">
        <v>0.92800000000000005</v>
      </c>
      <c r="K2956">
        <v>0.56930000000000003</v>
      </c>
      <c r="L2956">
        <v>0.4153</v>
      </c>
      <c r="M2956">
        <v>0.30530000000000002</v>
      </c>
      <c r="N2956">
        <f>CONVERT(O2956,"lbf","N")</f>
        <v>18046.879915273377</v>
      </c>
      <c r="O2956">
        <v>4057.1</v>
      </c>
      <c r="P2956">
        <f t="shared" si="46"/>
        <v>0.73513123043582951</v>
      </c>
    </row>
    <row r="2957" spans="1:16" hidden="1" x14ac:dyDescent="0.25">
      <c r="A2957">
        <v>0</v>
      </c>
      <c r="B2957">
        <v>20000</v>
      </c>
      <c r="C2957">
        <f>1.225 * (1 - 0.00000687559 * B2957) ^ 4.2561</f>
        <v>0.65267221054298263</v>
      </c>
      <c r="D2957">
        <f>E2957*(SQRT($C$2/C2957))</f>
        <v>191.79996305164894</v>
      </c>
      <c r="E2957">
        <v>140</v>
      </c>
      <c r="F2957">
        <v>1150</v>
      </c>
      <c r="G2957">
        <v>2500</v>
      </c>
      <c r="H2957">
        <f>CONVERT(G2957,"HP","kW")</f>
        <v>1864.2496789556756</v>
      </c>
      <c r="I2957">
        <v>0.80620000000000003</v>
      </c>
      <c r="J2957">
        <v>1.2991999999999999</v>
      </c>
      <c r="K2957">
        <v>0.61160000000000003</v>
      </c>
      <c r="L2957">
        <v>0.4153</v>
      </c>
      <c r="M2957">
        <v>0.25769999999999998</v>
      </c>
      <c r="N2957">
        <f>CONVERT(O2957,"lbf","N")</f>
        <v>15232.934921459582</v>
      </c>
      <c r="O2957">
        <v>3424.5</v>
      </c>
      <c r="P2957">
        <f t="shared" si="46"/>
        <v>0.62051529015169749</v>
      </c>
    </row>
    <row r="2958" spans="1:16" hidden="1" x14ac:dyDescent="0.25">
      <c r="A2958">
        <v>0</v>
      </c>
      <c r="B2958">
        <v>20000</v>
      </c>
      <c r="C2958">
        <f>1.225 * (1 - 0.00000687559 * B2958) ^ 4.2561</f>
        <v>0.65267221054298263</v>
      </c>
      <c r="D2958">
        <f>E2958*(SQRT($C$2/C2958))</f>
        <v>219.19995777331309</v>
      </c>
      <c r="E2958">
        <v>160</v>
      </c>
      <c r="F2958">
        <v>1150</v>
      </c>
      <c r="G2958">
        <v>2500</v>
      </c>
      <c r="H2958">
        <f>CONVERT(G2958,"HP","kW")</f>
        <v>1864.2496789556756</v>
      </c>
      <c r="I2958">
        <v>0.83640000000000003</v>
      </c>
      <c r="J2958">
        <v>1.4847999999999999</v>
      </c>
      <c r="K2958">
        <v>0.63600000000000001</v>
      </c>
      <c r="L2958">
        <v>0.4153</v>
      </c>
      <c r="M2958">
        <v>0.2339</v>
      </c>
      <c r="N2958">
        <f>CONVERT(O2958,"lbf","N")</f>
        <v>13827.296891037264</v>
      </c>
      <c r="O2958">
        <v>3108.5</v>
      </c>
      <c r="P2958">
        <f t="shared" si="46"/>
        <v>0.56320732000963158</v>
      </c>
    </row>
    <row r="2959" spans="1:16" hidden="1" x14ac:dyDescent="0.25">
      <c r="A2959">
        <v>0</v>
      </c>
      <c r="B2959">
        <v>20000</v>
      </c>
      <c r="C2959">
        <f>1.225 * (1 - 0.00000687559 * B2959) ^ 4.2561</f>
        <v>0.65267221054298263</v>
      </c>
      <c r="D2959">
        <f>E2959*(SQRT($C$2/C2959))</f>
        <v>246.59995249497723</v>
      </c>
      <c r="E2959">
        <v>180</v>
      </c>
      <c r="F2959">
        <v>1150</v>
      </c>
      <c r="G2959">
        <v>2500</v>
      </c>
      <c r="H2959">
        <f>CONVERT(G2959,"HP","kW")</f>
        <v>1864.2496789556756</v>
      </c>
      <c r="I2959">
        <v>0.85740000000000005</v>
      </c>
      <c r="J2959">
        <v>1.6704000000000001</v>
      </c>
      <c r="K2959">
        <v>0.66239999999999999</v>
      </c>
      <c r="L2959">
        <v>0.4153</v>
      </c>
      <c r="M2959">
        <v>0.21310000000000001</v>
      </c>
      <c r="N2959">
        <f>CONVERT(O2959,"lbf","N")</f>
        <v>12599.142903063841</v>
      </c>
      <c r="O2959">
        <v>2832.4</v>
      </c>
      <c r="P2959">
        <f t="shared" si="46"/>
        <v>0.51312304358295213</v>
      </c>
    </row>
    <row r="2960" spans="1:16" hidden="1" x14ac:dyDescent="0.25">
      <c r="A2960">
        <v>0</v>
      </c>
      <c r="B2960">
        <v>20000</v>
      </c>
      <c r="C2960">
        <f>1.225 * (1 - 0.00000687559 * B2960) ^ 4.2561</f>
        <v>0.65267221054298263</v>
      </c>
      <c r="D2960">
        <f>E2960*(SQRT($C$2/C2960))</f>
        <v>273.99994721664137</v>
      </c>
      <c r="E2960">
        <v>200</v>
      </c>
      <c r="F2960">
        <v>1150</v>
      </c>
      <c r="G2960">
        <v>2500</v>
      </c>
      <c r="H2960">
        <f>CONVERT(G2960,"HP","kW")</f>
        <v>1864.2496789556756</v>
      </c>
      <c r="I2960">
        <v>0.87170000000000003</v>
      </c>
      <c r="J2960">
        <v>1.8560000000000001</v>
      </c>
      <c r="K2960">
        <v>0.69059999999999999</v>
      </c>
      <c r="L2960">
        <v>0.4153</v>
      </c>
      <c r="M2960">
        <v>0.1951</v>
      </c>
      <c r="N2960">
        <f>CONVERT(O2960,"lbf","N")</f>
        <v>11529.790426755217</v>
      </c>
      <c r="O2960">
        <v>2592</v>
      </c>
      <c r="P2960">
        <f t="shared" si="46"/>
        <v>0.46978088129063328</v>
      </c>
    </row>
    <row r="2961" spans="1:16" hidden="1" x14ac:dyDescent="0.25">
      <c r="A2961">
        <v>0</v>
      </c>
      <c r="B2961">
        <v>20000</v>
      </c>
      <c r="C2961">
        <f>1.225 * (1 - 0.00000687559 * B2961) ^ 4.2561</f>
        <v>0.65267221054298263</v>
      </c>
      <c r="D2961">
        <f>E2961*(SQRT($C$2/C2961))</f>
        <v>301.39994193830552</v>
      </c>
      <c r="E2961">
        <v>220</v>
      </c>
      <c r="F2961">
        <v>1150</v>
      </c>
      <c r="G2961">
        <v>2500</v>
      </c>
      <c r="H2961">
        <f>CONVERT(G2961,"HP","kW")</f>
        <v>1864.2496789556756</v>
      </c>
      <c r="I2961">
        <v>0.88060000000000005</v>
      </c>
      <c r="J2961">
        <v>2.0415999999999999</v>
      </c>
      <c r="K2961">
        <v>0.72040000000000004</v>
      </c>
      <c r="L2961">
        <v>0.4153</v>
      </c>
      <c r="M2961">
        <v>0.17910000000000001</v>
      </c>
      <c r="N2961">
        <f>CONVERT(O2961,"lbf","N")</f>
        <v>10588.101910804569</v>
      </c>
      <c r="O2961">
        <v>2380.3000000000002</v>
      </c>
      <c r="P2961">
        <f t="shared" si="46"/>
        <v>0.43125451480857213</v>
      </c>
    </row>
    <row r="2962" spans="1:16" hidden="1" x14ac:dyDescent="0.25">
      <c r="A2962">
        <v>0</v>
      </c>
      <c r="B2962">
        <v>20000</v>
      </c>
      <c r="C2962">
        <f>1.225 * (1 - 0.00000687559 * B2962) ^ 4.2561</f>
        <v>0.65267221054298263</v>
      </c>
      <c r="D2962">
        <f>E2962*(SQRT($C$2/C2962))</f>
        <v>356.19993138163375</v>
      </c>
      <c r="E2962">
        <v>260</v>
      </c>
      <c r="F2962">
        <v>1150</v>
      </c>
      <c r="G2962">
        <v>2500</v>
      </c>
      <c r="H2962">
        <f>CONVERT(G2962,"HP","kW")</f>
        <v>1864.2496789556756</v>
      </c>
      <c r="I2962">
        <v>0.84019999999999995</v>
      </c>
      <c r="J2962">
        <v>2.4127999999999998</v>
      </c>
      <c r="K2962">
        <v>0.78410000000000002</v>
      </c>
      <c r="L2962">
        <v>0.4153</v>
      </c>
      <c r="M2962">
        <v>0.14460000000000001</v>
      </c>
      <c r="N2962">
        <f>CONVERT(O2962,"lbf","N")</f>
        <v>8548.1474780461031</v>
      </c>
      <c r="O2962">
        <v>1921.7</v>
      </c>
      <c r="P2962">
        <f t="shared" si="46"/>
        <v>0.34818203708162776</v>
      </c>
    </row>
    <row r="2963" spans="1:16" hidden="1" x14ac:dyDescent="0.25">
      <c r="A2963">
        <v>0</v>
      </c>
      <c r="B2963">
        <v>20000</v>
      </c>
      <c r="C2963">
        <f>1.225 * (1 - 0.00000687559 * B2963) ^ 4.2561</f>
        <v>0.65267221054298263</v>
      </c>
      <c r="D2963">
        <f>E2963*(SQRT($C$2/C2963))</f>
        <v>164.3999683299848</v>
      </c>
      <c r="E2963">
        <v>120</v>
      </c>
      <c r="F2963">
        <v>1150</v>
      </c>
      <c r="G2963">
        <v>2500</v>
      </c>
      <c r="H2963">
        <f>CONVERT(G2963,"HP","kW")</f>
        <v>1864.2496789556756</v>
      </c>
      <c r="I2963">
        <v>0.75949999999999995</v>
      </c>
      <c r="J2963">
        <v>1.1135999999999999</v>
      </c>
      <c r="K2963">
        <v>0.58919999999999995</v>
      </c>
      <c r="L2963">
        <v>0.41539999999999999</v>
      </c>
      <c r="M2963">
        <v>0.2833</v>
      </c>
      <c r="N2963">
        <f>CONVERT(O2963,"lbf","N")</f>
        <v>16741.771693355946</v>
      </c>
      <c r="O2963">
        <v>3763.7</v>
      </c>
      <c r="P2963">
        <f t="shared" si="46"/>
        <v>0.6819932595089071</v>
      </c>
    </row>
    <row r="2964" spans="1:16" hidden="1" x14ac:dyDescent="0.25">
      <c r="A2964">
        <v>0</v>
      </c>
      <c r="B2964">
        <v>25000</v>
      </c>
      <c r="C2964">
        <f>1.225 * (1 - 0.00000687559 * B2964) ^ 4.2561</f>
        <v>0.54892259437885793</v>
      </c>
      <c r="D2964">
        <f>E2964*(SQRT($C$2/C2964))</f>
        <v>149.38689160910337</v>
      </c>
      <c r="E2964">
        <v>100</v>
      </c>
      <c r="F2964">
        <v>1215</v>
      </c>
      <c r="G2964">
        <v>2500</v>
      </c>
      <c r="H2964">
        <f>CONVERT(G2964,"HP","kW")</f>
        <v>1864.2496789556756</v>
      </c>
      <c r="I2964">
        <v>0.68899999999999995</v>
      </c>
      <c r="J2964">
        <v>0.95779999999999998</v>
      </c>
      <c r="K2964">
        <v>0.61699999999999999</v>
      </c>
      <c r="L2964">
        <v>0.41830000000000001</v>
      </c>
      <c r="M2964">
        <v>0.3009</v>
      </c>
      <c r="N2964">
        <f>CONVERT(O2964,"lbf","N")</f>
        <v>16714.637541502856</v>
      </c>
      <c r="O2964">
        <v>3757.6</v>
      </c>
      <c r="P2964">
        <f t="shared" si="46"/>
        <v>0.7193401864690413</v>
      </c>
    </row>
    <row r="2965" spans="1:16" hidden="1" x14ac:dyDescent="0.25">
      <c r="A2965">
        <v>0</v>
      </c>
      <c r="B2965">
        <v>25000</v>
      </c>
      <c r="C2965">
        <f>1.225 * (1 - 0.00000687559 * B2965) ^ 4.2561</f>
        <v>0.54892259437885793</v>
      </c>
      <c r="D2965">
        <f>E2965*(SQRT($C$2/C2965))</f>
        <v>298.77378321820675</v>
      </c>
      <c r="E2965">
        <v>200</v>
      </c>
      <c r="F2965">
        <v>1215</v>
      </c>
      <c r="G2965">
        <v>2500</v>
      </c>
      <c r="H2965">
        <f>CONVERT(G2965,"HP","kW")</f>
        <v>1864.2496789556756</v>
      </c>
      <c r="I2965">
        <v>0.85650000000000004</v>
      </c>
      <c r="J2965">
        <v>1.9155</v>
      </c>
      <c r="K2965">
        <v>0.75470000000000004</v>
      </c>
      <c r="L2965">
        <v>0.41849999999999998</v>
      </c>
      <c r="M2965">
        <v>0.18709999999999999</v>
      </c>
      <c r="N2965">
        <f>CONVERT(O2965,"lbf","N")</f>
        <v>10388.376760279372</v>
      </c>
      <c r="O2965">
        <v>2335.4</v>
      </c>
      <c r="P2965">
        <f t="shared" si="46"/>
        <v>0.44707287933094386</v>
      </c>
    </row>
    <row r="2966" spans="1:16" hidden="1" x14ac:dyDescent="0.25">
      <c r="A2966">
        <v>0</v>
      </c>
      <c r="B2966">
        <v>25000</v>
      </c>
      <c r="C2966">
        <f>1.225 * (1 - 0.00000687559 * B2966) ^ 4.2561</f>
        <v>0.54892259437885793</v>
      </c>
      <c r="D2966">
        <f>E2966*(SQRT($C$2/C2966))</f>
        <v>29.877378321820672</v>
      </c>
      <c r="E2966">
        <v>20</v>
      </c>
      <c r="F2966">
        <v>1215</v>
      </c>
      <c r="G2966">
        <v>2500</v>
      </c>
      <c r="H2966">
        <f>CONVERT(G2966,"HP","kW")</f>
        <v>1864.2496789556756</v>
      </c>
      <c r="I2966">
        <v>0.10059999999999999</v>
      </c>
      <c r="J2966">
        <v>0.19159999999999999</v>
      </c>
      <c r="K2966">
        <v>0.56200000000000006</v>
      </c>
      <c r="L2966">
        <v>0.41860000000000003</v>
      </c>
      <c r="M2966">
        <v>0.2198</v>
      </c>
      <c r="N2966">
        <f>CONVERT(O2966,"lbf","N")</f>
        <v>12200.5822463365</v>
      </c>
      <c r="O2966">
        <v>2742.8</v>
      </c>
      <c r="P2966">
        <f t="shared" si="46"/>
        <v>0.52508361204013376</v>
      </c>
    </row>
    <row r="2967" spans="1:16" hidden="1" x14ac:dyDescent="0.25">
      <c r="A2967">
        <v>0</v>
      </c>
      <c r="B2967">
        <v>25000</v>
      </c>
      <c r="C2967">
        <f>1.225 * (1 - 0.00000687559 * B2967) ^ 4.2561</f>
        <v>0.54892259437885793</v>
      </c>
      <c r="D2967">
        <f>E2967*(SQRT($C$2/C2967))</f>
        <v>0</v>
      </c>
      <c r="E2967">
        <v>0</v>
      </c>
      <c r="F2967">
        <v>1215</v>
      </c>
      <c r="G2967">
        <v>2500</v>
      </c>
      <c r="H2967">
        <f>CONVERT(G2967,"HP","kW")</f>
        <v>1864.2496789556756</v>
      </c>
      <c r="I2967">
        <v>0</v>
      </c>
      <c r="J2967">
        <v>0</v>
      </c>
      <c r="K2967">
        <v>0.55610000000000004</v>
      </c>
      <c r="L2967">
        <v>0.41870000000000002</v>
      </c>
      <c r="M2967">
        <v>0.20880000000000001</v>
      </c>
      <c r="N2967">
        <f>CONVERT(O2967,"lbf","N")</f>
        <v>11588.062129915128</v>
      </c>
      <c r="O2967">
        <v>2605.1</v>
      </c>
      <c r="P2967">
        <f t="shared" si="46"/>
        <v>0.49868641031764988</v>
      </c>
    </row>
    <row r="2968" spans="1:16" hidden="1" x14ac:dyDescent="0.25">
      <c r="A2968">
        <v>0</v>
      </c>
      <c r="B2968">
        <v>25000</v>
      </c>
      <c r="C2968">
        <f>1.225 * (1 - 0.00000687559 * B2968) ^ 4.2561</f>
        <v>0.54892259437885793</v>
      </c>
      <c r="D2968">
        <f>E2968*(SQRT($C$2/C2968))</f>
        <v>59.754756643641343</v>
      </c>
      <c r="E2968">
        <v>40</v>
      </c>
      <c r="F2968">
        <v>1215</v>
      </c>
      <c r="G2968">
        <v>2500</v>
      </c>
      <c r="H2968">
        <f>CONVERT(G2968,"HP","kW")</f>
        <v>1864.2496789556756</v>
      </c>
      <c r="I2968">
        <v>0.219</v>
      </c>
      <c r="J2968">
        <v>0.3831</v>
      </c>
      <c r="K2968">
        <v>0.5706</v>
      </c>
      <c r="L2968">
        <v>0.41870000000000002</v>
      </c>
      <c r="M2968">
        <v>0.2394</v>
      </c>
      <c r="N2968">
        <f>CONVERT(O2968,"lbf","N")</f>
        <v>13282.389743167854</v>
      </c>
      <c r="O2968">
        <v>2986</v>
      </c>
      <c r="P2968">
        <f t="shared" si="46"/>
        <v>0.57176976355385711</v>
      </c>
    </row>
    <row r="2969" spans="1:16" hidden="1" x14ac:dyDescent="0.25">
      <c r="A2969">
        <v>0</v>
      </c>
      <c r="B2969">
        <v>25000</v>
      </c>
      <c r="C2969">
        <f>1.225 * (1 - 0.00000687559 * B2969) ^ 4.2561</f>
        <v>0.54892259437885793</v>
      </c>
      <c r="D2969">
        <f>E2969*(SQRT($C$2/C2969))</f>
        <v>89.632134965462015</v>
      </c>
      <c r="E2969">
        <v>60</v>
      </c>
      <c r="F2969">
        <v>1215</v>
      </c>
      <c r="G2969">
        <v>2500</v>
      </c>
      <c r="H2969">
        <f>CONVERT(G2969,"HP","kW")</f>
        <v>1864.2496789556756</v>
      </c>
      <c r="I2969">
        <v>0.3629</v>
      </c>
      <c r="J2969">
        <v>0.57469999999999999</v>
      </c>
      <c r="K2969">
        <v>0.58250000000000002</v>
      </c>
      <c r="L2969">
        <v>0.41870000000000002</v>
      </c>
      <c r="M2969">
        <v>0.26440000000000002</v>
      </c>
      <c r="N2969">
        <f>CONVERT(O2969,"lbf","N")</f>
        <v>14670.679709290655</v>
      </c>
      <c r="O2969">
        <v>3298.1</v>
      </c>
      <c r="P2969">
        <f t="shared" si="46"/>
        <v>0.63147838547886315</v>
      </c>
    </row>
    <row r="2970" spans="1:16" hidden="1" x14ac:dyDescent="0.25">
      <c r="A2970">
        <v>0</v>
      </c>
      <c r="B2970">
        <v>25000</v>
      </c>
      <c r="C2970">
        <f>1.225 * (1 - 0.00000687559 * B2970) ^ 4.2561</f>
        <v>0.54892259437885793</v>
      </c>
      <c r="D2970">
        <f>E2970*(SQRT($C$2/C2970))</f>
        <v>119.50951328728269</v>
      </c>
      <c r="E2970">
        <v>80</v>
      </c>
      <c r="F2970">
        <v>1215</v>
      </c>
      <c r="G2970">
        <v>2500</v>
      </c>
      <c r="H2970">
        <f>CONVERT(G2970,"HP","kW")</f>
        <v>1864.2496789556756</v>
      </c>
      <c r="I2970">
        <v>0.53120000000000001</v>
      </c>
      <c r="J2970">
        <v>0.76619999999999999</v>
      </c>
      <c r="K2970">
        <v>0.59789999999999999</v>
      </c>
      <c r="L2970">
        <v>0.41870000000000002</v>
      </c>
      <c r="M2970">
        <v>0.29020000000000001</v>
      </c>
      <c r="N2970">
        <f>CONVERT(O2970,"lbf","N")</f>
        <v>16106.565646696747</v>
      </c>
      <c r="O2970">
        <v>3620.9</v>
      </c>
      <c r="P2970">
        <f t="shared" si="46"/>
        <v>0.69309768330546928</v>
      </c>
    </row>
    <row r="2971" spans="1:16" hidden="1" x14ac:dyDescent="0.25">
      <c r="A2971">
        <v>0</v>
      </c>
      <c r="B2971">
        <v>25000</v>
      </c>
      <c r="C2971">
        <f>1.225 * (1 - 0.00000687559 * B2971) ^ 4.2561</f>
        <v>0.54892259437885793</v>
      </c>
      <c r="D2971">
        <f>E2971*(SQRT($C$2/C2971))</f>
        <v>179.26426993092403</v>
      </c>
      <c r="E2971">
        <v>120</v>
      </c>
      <c r="F2971">
        <v>1215</v>
      </c>
      <c r="G2971">
        <v>2500</v>
      </c>
      <c r="H2971">
        <f>CONVERT(G2971,"HP","kW")</f>
        <v>1864.2496789556756</v>
      </c>
      <c r="I2971">
        <v>0.76459999999999995</v>
      </c>
      <c r="J2971">
        <v>1.1493</v>
      </c>
      <c r="K2971">
        <v>0.63970000000000005</v>
      </c>
      <c r="L2971">
        <v>0.41870000000000002</v>
      </c>
      <c r="M2971">
        <v>0.27850000000000003</v>
      </c>
      <c r="N2971">
        <f>CONVERT(O2971,"lbf","N")</f>
        <v>15455.790824384134</v>
      </c>
      <c r="O2971">
        <v>3474.6</v>
      </c>
      <c r="P2971">
        <f t="shared" si="46"/>
        <v>0.66515404824456659</v>
      </c>
    </row>
    <row r="2972" spans="1:16" hidden="1" x14ac:dyDescent="0.25">
      <c r="A2972">
        <v>0</v>
      </c>
      <c r="B2972">
        <v>25000</v>
      </c>
      <c r="C2972">
        <f>1.225 * (1 - 0.00000687559 * B2972) ^ 4.2561</f>
        <v>0.54892259437885793</v>
      </c>
      <c r="D2972">
        <f>E2972*(SQRT($C$2/C2972))</f>
        <v>209.14164825274472</v>
      </c>
      <c r="E2972">
        <v>140</v>
      </c>
      <c r="F2972">
        <v>1215</v>
      </c>
      <c r="G2972">
        <v>2500</v>
      </c>
      <c r="H2972">
        <f>CONVERT(G2972,"HP","kW")</f>
        <v>1864.2496789556756</v>
      </c>
      <c r="I2972">
        <v>0.81110000000000004</v>
      </c>
      <c r="J2972">
        <v>1.3409</v>
      </c>
      <c r="K2972">
        <v>0.66510000000000002</v>
      </c>
      <c r="L2972">
        <v>0.41870000000000002</v>
      </c>
      <c r="M2972">
        <v>0.25330000000000003</v>
      </c>
      <c r="N2972">
        <f>CONVERT(O2972,"lbf","N")</f>
        <v>14054.156193415551</v>
      </c>
      <c r="O2972">
        <v>3159.5</v>
      </c>
      <c r="P2972">
        <f t="shared" si="46"/>
        <v>0.60496775734416053</v>
      </c>
    </row>
    <row r="2973" spans="1:16" hidden="1" x14ac:dyDescent="0.25">
      <c r="A2973">
        <v>0</v>
      </c>
      <c r="B2973">
        <v>25000</v>
      </c>
      <c r="C2973">
        <f>1.225 * (1 - 0.00000687559 * B2973) ^ 4.2561</f>
        <v>0.54892259437885793</v>
      </c>
      <c r="D2973">
        <f>E2973*(SQRT($C$2/C2973))</f>
        <v>239.01902657456537</v>
      </c>
      <c r="E2973">
        <v>160</v>
      </c>
      <c r="F2973">
        <v>1215</v>
      </c>
      <c r="G2973">
        <v>2500</v>
      </c>
      <c r="H2973">
        <f>CONVERT(G2973,"HP","kW")</f>
        <v>1864.2496789556756</v>
      </c>
      <c r="I2973">
        <v>0.83979999999999999</v>
      </c>
      <c r="J2973">
        <v>1.5324</v>
      </c>
      <c r="K2973">
        <v>0.69289999999999996</v>
      </c>
      <c r="L2973">
        <v>0.41870000000000002</v>
      </c>
      <c r="M2973">
        <v>0.22950000000000001</v>
      </c>
      <c r="N2973">
        <f>CONVERT(O2973,"lbf","N")</f>
        <v>12733.479195844708</v>
      </c>
      <c r="O2973">
        <v>2862.6</v>
      </c>
      <c r="P2973">
        <f t="shared" si="46"/>
        <v>0.54812514927155487</v>
      </c>
    </row>
    <row r="2974" spans="1:16" hidden="1" x14ac:dyDescent="0.25">
      <c r="A2974">
        <v>0</v>
      </c>
      <c r="B2974">
        <v>25000</v>
      </c>
      <c r="C2974">
        <f>1.225 * (1 - 0.00000687559 * B2974) ^ 4.2561</f>
        <v>0.54892259437885793</v>
      </c>
      <c r="D2974">
        <f>E2974*(SQRT($C$2/C2974))</f>
        <v>268.89640489638606</v>
      </c>
      <c r="E2974">
        <v>180</v>
      </c>
      <c r="F2974">
        <v>1215</v>
      </c>
      <c r="G2974">
        <v>2500</v>
      </c>
      <c r="H2974">
        <f>CONVERT(G2974,"HP","kW")</f>
        <v>1864.2496789556756</v>
      </c>
      <c r="I2974">
        <v>0.85750000000000004</v>
      </c>
      <c r="J2974">
        <v>1.724</v>
      </c>
      <c r="K2974">
        <v>0.7228</v>
      </c>
      <c r="L2974">
        <v>0.41870000000000002</v>
      </c>
      <c r="M2974">
        <v>0.20830000000000001</v>
      </c>
      <c r="N2974">
        <f>CONVERT(O2974,"lbf","N")</f>
        <v>11556.479756446779</v>
      </c>
      <c r="O2974">
        <v>2598</v>
      </c>
      <c r="P2974">
        <f t="shared" si="46"/>
        <v>0.49749223787914976</v>
      </c>
    </row>
    <row r="2975" spans="1:16" hidden="1" x14ac:dyDescent="0.25">
      <c r="A2975">
        <v>0</v>
      </c>
      <c r="B2975">
        <v>25000</v>
      </c>
      <c r="C2975">
        <f>1.225 * (1 - 0.00000687559 * B2975) ^ 4.2561</f>
        <v>0.54892259437885793</v>
      </c>
      <c r="D2975">
        <f>E2975*(SQRT($C$2/C2975))</f>
        <v>328.65116154002743</v>
      </c>
      <c r="E2975">
        <v>220</v>
      </c>
      <c r="F2975">
        <v>1215</v>
      </c>
      <c r="G2975">
        <v>2500</v>
      </c>
      <c r="H2975">
        <f>CONVERT(G2975,"HP","kW")</f>
        <v>1864.2496789556756</v>
      </c>
      <c r="I2975">
        <v>0.84360000000000002</v>
      </c>
      <c r="J2975">
        <v>2.1071</v>
      </c>
      <c r="K2975">
        <v>0.78839999999999999</v>
      </c>
      <c r="L2975">
        <v>0.41870000000000002</v>
      </c>
      <c r="M2975">
        <v>0.1676</v>
      </c>
      <c r="N2975">
        <f>CONVERT(O2975,"lbf","N")</f>
        <v>9302.1210418327573</v>
      </c>
      <c r="O2975">
        <v>2091.1999999999998</v>
      </c>
      <c r="P2975">
        <f t="shared" si="46"/>
        <v>0.40028660138524003</v>
      </c>
    </row>
    <row r="2976" spans="1:16" hidden="1" x14ac:dyDescent="0.25">
      <c r="A2976">
        <v>0</v>
      </c>
      <c r="B2976">
        <v>25000</v>
      </c>
      <c r="C2976">
        <f>1.225 * (1 - 0.00000687559 * B2976) ^ 4.2561</f>
        <v>0.54892259437885793</v>
      </c>
      <c r="D2976">
        <f>E2976*(SQRT($C$2/C2976))</f>
        <v>358.52853986184806</v>
      </c>
      <c r="E2976">
        <v>240</v>
      </c>
      <c r="F2976">
        <v>1215</v>
      </c>
      <c r="G2976">
        <v>2500</v>
      </c>
      <c r="H2976">
        <f>CONVERT(G2976,"HP","kW")</f>
        <v>1864.2496789556756</v>
      </c>
      <c r="I2976">
        <v>0.8014</v>
      </c>
      <c r="J2976">
        <v>2.2986</v>
      </c>
      <c r="K2976">
        <v>0.8236</v>
      </c>
      <c r="L2976">
        <v>0.41870000000000002</v>
      </c>
      <c r="M2976">
        <v>0.14599999999999999</v>
      </c>
      <c r="N2976">
        <f>CONVERT(O2976,"lbf","N")</f>
        <v>8099.7667392278445</v>
      </c>
      <c r="O2976">
        <v>1820.9</v>
      </c>
      <c r="P2976">
        <f t="shared" si="46"/>
        <v>0.34869835204203481</v>
      </c>
    </row>
    <row r="2977" spans="1:16" hidden="1" x14ac:dyDescent="0.25">
      <c r="A2977">
        <v>0</v>
      </c>
      <c r="B2977">
        <v>25000</v>
      </c>
      <c r="C2977">
        <f>1.225 * (1 - 0.00000687559 * B2977) ^ 4.2561</f>
        <v>0.54892259437885793</v>
      </c>
      <c r="D2977">
        <f>E2977*(SQRT($C$2/C2977))</f>
        <v>388.40591818366875</v>
      </c>
      <c r="E2977">
        <v>260</v>
      </c>
      <c r="F2977">
        <v>1215</v>
      </c>
      <c r="G2977">
        <v>2500</v>
      </c>
      <c r="H2977">
        <f>CONVERT(G2977,"HP","kW")</f>
        <v>1864.2496789556756</v>
      </c>
      <c r="I2977">
        <v>0.71189999999999998</v>
      </c>
      <c r="J2977">
        <v>2.4902000000000002</v>
      </c>
      <c r="K2977">
        <v>0.86040000000000005</v>
      </c>
      <c r="L2977">
        <v>0.41870000000000002</v>
      </c>
      <c r="M2977">
        <v>0.1197</v>
      </c>
      <c r="N2977">
        <f>CONVERT(O2977,"lbf","N")</f>
        <v>6642.0845159069786</v>
      </c>
      <c r="O2977">
        <v>1493.2</v>
      </c>
      <c r="P2977">
        <f t="shared" si="46"/>
        <v>0.28588488177692856</v>
      </c>
    </row>
    <row r="2978" spans="1:16" hidden="1" x14ac:dyDescent="0.25">
      <c r="A2978">
        <v>0</v>
      </c>
      <c r="B2978">
        <v>10000</v>
      </c>
      <c r="C2978">
        <f>1.225 * (1 - 0.00000687559 * B2978) ^ 4.2561</f>
        <v>0.90462252368600637</v>
      </c>
      <c r="D2978">
        <f>E2978*(SQRT($C$2/C2978))</f>
        <v>186.18913256523254</v>
      </c>
      <c r="E2978">
        <v>160</v>
      </c>
      <c r="F2978">
        <v>987</v>
      </c>
      <c r="G2978">
        <v>2250</v>
      </c>
      <c r="H2978">
        <f>CONVERT(G2978,"HP","kW")</f>
        <v>1677.8247110601083</v>
      </c>
      <c r="I2978">
        <v>0.83420000000000005</v>
      </c>
      <c r="J2978">
        <v>1.4695</v>
      </c>
      <c r="K2978">
        <v>0.52359999999999995</v>
      </c>
      <c r="L2978">
        <v>0.42609999999999998</v>
      </c>
      <c r="M2978">
        <v>0.2419</v>
      </c>
      <c r="N2978">
        <f>CONVERT(O2978,"lbf","N")</f>
        <v>14612.408006130743</v>
      </c>
      <c r="O2978">
        <v>3285</v>
      </c>
      <c r="P2978">
        <f t="shared" si="46"/>
        <v>0.56770711100680593</v>
      </c>
    </row>
    <row r="2979" spans="1:16" hidden="1" x14ac:dyDescent="0.25">
      <c r="A2979">
        <v>0</v>
      </c>
      <c r="B2979">
        <v>10000</v>
      </c>
      <c r="C2979">
        <f>1.225 * (1 - 0.00000687559 * B2979) ^ 4.2561</f>
        <v>0.90462252368600637</v>
      </c>
      <c r="D2979">
        <f>E2979*(SQRT($C$2/C2979))</f>
        <v>46.547283141308135</v>
      </c>
      <c r="E2979">
        <v>40</v>
      </c>
      <c r="F2979">
        <v>987</v>
      </c>
      <c r="G2979">
        <v>2250</v>
      </c>
      <c r="H2979">
        <f>CONVERT(G2979,"HP","kW")</f>
        <v>1677.8247110601083</v>
      </c>
      <c r="I2979">
        <v>0.187</v>
      </c>
      <c r="J2979">
        <v>0.3674</v>
      </c>
      <c r="K2979">
        <v>0.43719999999999998</v>
      </c>
      <c r="L2979">
        <v>0.4264</v>
      </c>
      <c r="M2979">
        <v>0.217</v>
      </c>
      <c r="N2979">
        <f>CONVERT(O2979,"lbf","N")</f>
        <v>13099.567834780648</v>
      </c>
      <c r="O2979">
        <v>2944.9</v>
      </c>
      <c r="P2979">
        <f t="shared" si="46"/>
        <v>0.50891181988742962</v>
      </c>
    </row>
    <row r="2980" spans="1:16" hidden="1" x14ac:dyDescent="0.25">
      <c r="A2980">
        <v>0</v>
      </c>
      <c r="B2980">
        <v>10000</v>
      </c>
      <c r="C2980">
        <f>1.225 * (1 - 0.00000687559 * B2980) ^ 4.2561</f>
        <v>0.90462252368600637</v>
      </c>
      <c r="D2980">
        <f>E2980*(SQRT($C$2/C2980))</f>
        <v>69.820924711962206</v>
      </c>
      <c r="E2980">
        <v>60</v>
      </c>
      <c r="F2980">
        <v>987</v>
      </c>
      <c r="G2980">
        <v>2250</v>
      </c>
      <c r="H2980">
        <f>CONVERT(G2980,"HP","kW")</f>
        <v>1677.8247110601083</v>
      </c>
      <c r="I2980">
        <v>0.33289999999999997</v>
      </c>
      <c r="J2980">
        <v>0.55110000000000003</v>
      </c>
      <c r="K2980">
        <v>0.44519999999999998</v>
      </c>
      <c r="L2980">
        <v>0.42649999999999999</v>
      </c>
      <c r="M2980">
        <v>0.2576</v>
      </c>
      <c r="N2980">
        <f>CONVERT(O2980,"lbf","N")</f>
        <v>15548.313833981552</v>
      </c>
      <c r="O2980">
        <v>3495.4</v>
      </c>
      <c r="P2980">
        <f t="shared" si="46"/>
        <v>0.60398593200468931</v>
      </c>
    </row>
    <row r="2981" spans="1:16" hidden="1" x14ac:dyDescent="0.25">
      <c r="A2981">
        <v>0</v>
      </c>
      <c r="B2981">
        <v>10000</v>
      </c>
      <c r="C2981">
        <f>1.225 * (1 - 0.00000687559 * B2981) ^ 4.2561</f>
        <v>0.90462252368600637</v>
      </c>
      <c r="D2981">
        <f>E2981*(SQRT($C$2/C2981))</f>
        <v>93.09456628261627</v>
      </c>
      <c r="E2981">
        <v>80</v>
      </c>
      <c r="F2981">
        <v>987</v>
      </c>
      <c r="G2981">
        <v>2250</v>
      </c>
      <c r="H2981">
        <f>CONVERT(G2981,"HP","kW")</f>
        <v>1677.8247110601083</v>
      </c>
      <c r="I2981">
        <v>0.50070000000000003</v>
      </c>
      <c r="J2981">
        <v>0.73470000000000002</v>
      </c>
      <c r="K2981">
        <v>0.45600000000000002</v>
      </c>
      <c r="L2981">
        <v>0.42649999999999999</v>
      </c>
      <c r="M2981">
        <v>0.29070000000000001</v>
      </c>
      <c r="N2981">
        <f>CONVERT(O2981,"lbf","N")</f>
        <v>17542.006761941309</v>
      </c>
      <c r="O2981">
        <v>3943.6</v>
      </c>
      <c r="P2981">
        <f t="shared" si="46"/>
        <v>0.68159437280187574</v>
      </c>
    </row>
    <row r="2982" spans="1:16" hidden="1" x14ac:dyDescent="0.25">
      <c r="A2982">
        <v>0</v>
      </c>
      <c r="B2982">
        <v>10000</v>
      </c>
      <c r="C2982">
        <f>1.225 * (1 - 0.00000687559 * B2982) ^ 4.2561</f>
        <v>0.90462252368600637</v>
      </c>
      <c r="D2982">
        <f>E2982*(SQRT($C$2/C2982))</f>
        <v>116.36820785327033</v>
      </c>
      <c r="E2982">
        <v>100</v>
      </c>
      <c r="F2982">
        <v>987</v>
      </c>
      <c r="G2982">
        <v>2250</v>
      </c>
      <c r="H2982">
        <f>CONVERT(G2982,"HP","kW")</f>
        <v>1677.8247110601083</v>
      </c>
      <c r="I2982">
        <v>0.67530000000000001</v>
      </c>
      <c r="J2982">
        <v>0.91839999999999999</v>
      </c>
      <c r="K2982">
        <v>0.46939999999999998</v>
      </c>
      <c r="L2982">
        <v>0.42659999999999998</v>
      </c>
      <c r="M2982">
        <v>0.31359999999999999</v>
      </c>
      <c r="N2982">
        <f>CONVERT(O2982,"lbf","N")</f>
        <v>18927.182972933428</v>
      </c>
      <c r="O2982">
        <v>4255</v>
      </c>
      <c r="P2982">
        <f t="shared" si="46"/>
        <v>0.73511486169714024</v>
      </c>
    </row>
    <row r="2983" spans="1:16" hidden="1" x14ac:dyDescent="0.25">
      <c r="A2983">
        <v>0</v>
      </c>
      <c r="B2983">
        <v>10000</v>
      </c>
      <c r="C2983">
        <f>1.225 * (1 - 0.00000687559 * B2983) ^ 4.2561</f>
        <v>0.90462252368600637</v>
      </c>
      <c r="D2983">
        <f>E2983*(SQRT($C$2/C2983))</f>
        <v>209.4627741358866</v>
      </c>
      <c r="E2983">
        <v>180</v>
      </c>
      <c r="F2983">
        <v>987</v>
      </c>
      <c r="G2983">
        <v>2250</v>
      </c>
      <c r="H2983">
        <f>CONVERT(G2983,"HP","kW")</f>
        <v>1677.8247110601083</v>
      </c>
      <c r="I2983">
        <v>0.85570000000000002</v>
      </c>
      <c r="J2983">
        <v>1.6532</v>
      </c>
      <c r="K2983">
        <v>0.54510000000000003</v>
      </c>
      <c r="L2983">
        <v>0.42659999999999998</v>
      </c>
      <c r="M2983">
        <v>0.2208</v>
      </c>
      <c r="N2983">
        <f>CONVERT(O2983,"lbf","N")</f>
        <v>13323.758204189777</v>
      </c>
      <c r="O2983">
        <v>2995.3</v>
      </c>
      <c r="P2983">
        <f t="shared" si="46"/>
        <v>0.5175808720112518</v>
      </c>
    </row>
    <row r="2984" spans="1:16" hidden="1" x14ac:dyDescent="0.25">
      <c r="A2984">
        <v>0</v>
      </c>
      <c r="B2984">
        <v>10000</v>
      </c>
      <c r="C2984">
        <f>1.225 * (1 - 0.00000687559 * B2984) ^ 4.2561</f>
        <v>0.90462252368600637</v>
      </c>
      <c r="D2984">
        <f>E2984*(SQRT($C$2/C2984))</f>
        <v>232.73641570654067</v>
      </c>
      <c r="E2984">
        <v>200</v>
      </c>
      <c r="F2984">
        <v>987</v>
      </c>
      <c r="G2984">
        <v>2250</v>
      </c>
      <c r="H2984">
        <f>CONVERT(G2984,"HP","kW")</f>
        <v>1677.8247110601083</v>
      </c>
      <c r="I2984">
        <v>0.87070000000000003</v>
      </c>
      <c r="J2984">
        <v>1.8368</v>
      </c>
      <c r="K2984">
        <v>0.56799999999999995</v>
      </c>
      <c r="L2984">
        <v>0.42659999999999998</v>
      </c>
      <c r="M2984">
        <v>0.20219999999999999</v>
      </c>
      <c r="N2984">
        <f>CONVERT(O2984,"lbf","N")</f>
        <v>12201.471890659552</v>
      </c>
      <c r="O2984">
        <v>2743</v>
      </c>
      <c r="P2984">
        <f t="shared" si="46"/>
        <v>0.4739803094233474</v>
      </c>
    </row>
    <row r="2985" spans="1:16" hidden="1" x14ac:dyDescent="0.25">
      <c r="A2985">
        <v>0</v>
      </c>
      <c r="B2985">
        <v>10000</v>
      </c>
      <c r="C2985">
        <f>1.225 * (1 - 0.00000687559 * B2985) ^ 4.2561</f>
        <v>0.90462252368600637</v>
      </c>
      <c r="D2985">
        <f>E2985*(SQRT($C$2/C2985))</f>
        <v>256.01005727719473</v>
      </c>
      <c r="E2985">
        <v>220</v>
      </c>
      <c r="F2985">
        <v>987</v>
      </c>
      <c r="G2985">
        <v>2250</v>
      </c>
      <c r="H2985">
        <f>CONVERT(G2985,"HP","kW")</f>
        <v>1677.8247110601083</v>
      </c>
      <c r="I2985">
        <v>0.88060000000000005</v>
      </c>
      <c r="J2985">
        <v>2.0205000000000002</v>
      </c>
      <c r="K2985">
        <v>0.59219999999999995</v>
      </c>
      <c r="L2985">
        <v>0.42659999999999998</v>
      </c>
      <c r="M2985">
        <v>0.18590000000000001</v>
      </c>
      <c r="N2985">
        <f>CONVERT(O2985,"lbf","N")</f>
        <v>11217.970091525454</v>
      </c>
      <c r="O2985">
        <v>2521.9</v>
      </c>
      <c r="P2985">
        <f t="shared" si="46"/>
        <v>0.43577121425222698</v>
      </c>
    </row>
    <row r="2986" spans="1:16" hidden="1" x14ac:dyDescent="0.25">
      <c r="A2986">
        <v>0</v>
      </c>
      <c r="B2986">
        <v>10000</v>
      </c>
      <c r="C2986">
        <f>1.225 * (1 - 0.00000687559 * B2986) ^ 4.2561</f>
        <v>0.90462252368600637</v>
      </c>
      <c r="D2986">
        <f>E2986*(SQRT($C$2/C2986))</f>
        <v>279.28369884784883</v>
      </c>
      <c r="E2986">
        <v>240</v>
      </c>
      <c r="F2986">
        <v>987</v>
      </c>
      <c r="G2986">
        <v>2250</v>
      </c>
      <c r="H2986">
        <f>CONVERT(G2986,"HP","kW")</f>
        <v>1677.8247110601083</v>
      </c>
      <c r="I2986">
        <v>0.8861</v>
      </c>
      <c r="J2986">
        <v>2.2042000000000002</v>
      </c>
      <c r="K2986">
        <v>0.61760000000000004</v>
      </c>
      <c r="L2986">
        <v>0.42659999999999998</v>
      </c>
      <c r="M2986">
        <v>0.17150000000000001</v>
      </c>
      <c r="N2986">
        <f>CONVERT(O2986,"lbf","N")</f>
        <v>10348.342765742027</v>
      </c>
      <c r="O2986">
        <v>2326.4</v>
      </c>
      <c r="P2986">
        <f t="shared" si="46"/>
        <v>0.40201593999062357</v>
      </c>
    </row>
    <row r="2987" spans="1:16" hidden="1" x14ac:dyDescent="0.25">
      <c r="A2987">
        <v>0</v>
      </c>
      <c r="B2987">
        <v>10000</v>
      </c>
      <c r="C2987">
        <f>1.225 * (1 - 0.00000687559 * B2987) ^ 4.2561</f>
        <v>0.90462252368600637</v>
      </c>
      <c r="D2987">
        <f>E2987*(SQRT($C$2/C2987))</f>
        <v>302.55734041850286</v>
      </c>
      <c r="E2987">
        <v>260</v>
      </c>
      <c r="F2987">
        <v>987</v>
      </c>
      <c r="G2987">
        <v>2250</v>
      </c>
      <c r="H2987">
        <f>CONVERT(G2987,"HP","kW")</f>
        <v>1677.8247110601083</v>
      </c>
      <c r="I2987">
        <v>0.88759999999999994</v>
      </c>
      <c r="J2987">
        <v>2.3879000000000001</v>
      </c>
      <c r="K2987">
        <v>0.64400000000000002</v>
      </c>
      <c r="L2987">
        <v>0.42659999999999998</v>
      </c>
      <c r="M2987">
        <v>0.15859999999999999</v>
      </c>
      <c r="N2987">
        <f>CONVERT(O2987,"lbf","N")</f>
        <v>9568.1246944253362</v>
      </c>
      <c r="O2987">
        <v>2151</v>
      </c>
      <c r="P2987">
        <f t="shared" si="46"/>
        <v>0.37177684013127049</v>
      </c>
    </row>
    <row r="2988" spans="1:16" hidden="1" x14ac:dyDescent="0.25">
      <c r="A2988">
        <v>0</v>
      </c>
      <c r="B2988">
        <v>10000</v>
      </c>
      <c r="C2988">
        <f>1.225 * (1 - 0.00000687559 * B2988) ^ 4.2561</f>
        <v>0.90462252368600637</v>
      </c>
      <c r="D2988">
        <f>E2988*(SQRT($C$2/C2988))</f>
        <v>139.64184942392441</v>
      </c>
      <c r="E2988">
        <v>120</v>
      </c>
      <c r="F2988">
        <v>987</v>
      </c>
      <c r="G2988">
        <v>2250</v>
      </c>
      <c r="H2988">
        <f>CONVERT(G2988,"HP","kW")</f>
        <v>1677.8247110601083</v>
      </c>
      <c r="I2988">
        <v>0.75839999999999996</v>
      </c>
      <c r="J2988">
        <v>1.1021000000000001</v>
      </c>
      <c r="K2988">
        <v>0.48549999999999999</v>
      </c>
      <c r="L2988">
        <v>0.42670000000000002</v>
      </c>
      <c r="M2988">
        <v>0.29360000000000003</v>
      </c>
      <c r="N2988">
        <f>CONVERT(O2988,"lbf","N")</f>
        <v>17713.708116290363</v>
      </c>
      <c r="O2988">
        <v>3982.2</v>
      </c>
      <c r="P2988">
        <f t="shared" si="46"/>
        <v>0.68807124443402867</v>
      </c>
    </row>
    <row r="2989" spans="1:16" hidden="1" x14ac:dyDescent="0.25">
      <c r="A2989">
        <v>0</v>
      </c>
      <c r="B2989">
        <v>10000</v>
      </c>
      <c r="C2989">
        <f>1.225 * (1 - 0.00000687559 * B2989) ^ 4.2561</f>
        <v>0.90462252368600637</v>
      </c>
      <c r="D2989">
        <f>E2989*(SQRT($C$2/C2989))</f>
        <v>0</v>
      </c>
      <c r="E2989">
        <v>0</v>
      </c>
      <c r="F2989">
        <v>987</v>
      </c>
      <c r="G2989">
        <v>2250</v>
      </c>
      <c r="H2989">
        <f>CONVERT(G2989,"HP","kW")</f>
        <v>1677.8247110601083</v>
      </c>
      <c r="I2989">
        <v>0</v>
      </c>
      <c r="J2989">
        <v>0</v>
      </c>
      <c r="K2989">
        <v>0.41810000000000003</v>
      </c>
      <c r="L2989">
        <v>0.4269</v>
      </c>
      <c r="M2989">
        <v>0.1661</v>
      </c>
      <c r="N2989">
        <f>CONVERT(O2989,"lbf","N")</f>
        <v>10012.946855951386</v>
      </c>
      <c r="O2989">
        <v>2251</v>
      </c>
      <c r="P2989">
        <f t="shared" si="46"/>
        <v>0.38908409463574606</v>
      </c>
    </row>
    <row r="2990" spans="1:16" hidden="1" x14ac:dyDescent="0.25">
      <c r="A2990">
        <v>0</v>
      </c>
      <c r="B2990">
        <v>10000</v>
      </c>
      <c r="C2990">
        <f>1.225 * (1 - 0.00000687559 * B2990) ^ 4.2561</f>
        <v>0.90462252368600637</v>
      </c>
      <c r="D2990">
        <f>E2990*(SQRT($C$2/C2990))</f>
        <v>23.273641570654068</v>
      </c>
      <c r="E2990">
        <v>20</v>
      </c>
      <c r="F2990">
        <v>987</v>
      </c>
      <c r="G2990">
        <v>2250</v>
      </c>
      <c r="H2990">
        <f>CONVERT(G2990,"HP","kW")</f>
        <v>1677.8247110601083</v>
      </c>
      <c r="I2990">
        <v>8.0100000000000005E-2</v>
      </c>
      <c r="J2990">
        <v>0.1837</v>
      </c>
      <c r="K2990">
        <v>0.43149999999999999</v>
      </c>
      <c r="L2990">
        <v>0.42699999999999999</v>
      </c>
      <c r="M2990">
        <v>0.1862</v>
      </c>
      <c r="N2990">
        <f>CONVERT(O2990,"lbf","N")</f>
        <v>11226.421712594452</v>
      </c>
      <c r="O2990">
        <v>2523.8000000000002</v>
      </c>
      <c r="P2990">
        <f t="shared" si="46"/>
        <v>0.43606557377049182</v>
      </c>
    </row>
    <row r="2991" spans="1:16" hidden="1" x14ac:dyDescent="0.25">
      <c r="A2991">
        <v>0</v>
      </c>
      <c r="B2991">
        <v>10000</v>
      </c>
      <c r="C2991">
        <f>1.225 * (1 - 0.00000687559 * B2991) ^ 4.2561</f>
        <v>0.90462252368600637</v>
      </c>
      <c r="D2991">
        <f>E2991*(SQRT($C$2/C2991))</f>
        <v>162.91549099457848</v>
      </c>
      <c r="E2991">
        <v>140</v>
      </c>
      <c r="F2991">
        <v>987</v>
      </c>
      <c r="G2991">
        <v>2250</v>
      </c>
      <c r="H2991">
        <f>CONVERT(G2991,"HP","kW")</f>
        <v>1677.8247110601083</v>
      </c>
      <c r="I2991">
        <v>0.8034</v>
      </c>
      <c r="J2991">
        <v>1.2858000000000001</v>
      </c>
      <c r="K2991">
        <v>0.50370000000000004</v>
      </c>
      <c r="L2991">
        <v>0.42709999999999998</v>
      </c>
      <c r="M2991">
        <v>0.26690000000000003</v>
      </c>
      <c r="N2991">
        <f>CONVERT(O2991,"lbf","N")</f>
        <v>16084.324538620443</v>
      </c>
      <c r="O2991">
        <v>3615.9</v>
      </c>
      <c r="P2991">
        <f t="shared" si="46"/>
        <v>0.62491219854834945</v>
      </c>
    </row>
    <row r="2992" spans="1:16" hidden="1" x14ac:dyDescent="0.25">
      <c r="A2992">
        <v>0</v>
      </c>
      <c r="B2992">
        <v>25000</v>
      </c>
      <c r="C2992">
        <f>1.225 * (1 - 0.00000687559 * B2992) ^ 4.2561</f>
        <v>0.54892259437885793</v>
      </c>
      <c r="D2992">
        <f>E2992*(SQRT($C$2/C2992))</f>
        <v>328.65116154002743</v>
      </c>
      <c r="E2992">
        <v>220</v>
      </c>
      <c r="F2992">
        <v>1150</v>
      </c>
      <c r="G2992">
        <v>2250</v>
      </c>
      <c r="H2992">
        <f>CONVERT(G2992,"HP","kW")</f>
        <v>1677.8247110601083</v>
      </c>
      <c r="I2992">
        <v>0.85960000000000003</v>
      </c>
      <c r="J2992">
        <v>2.2262</v>
      </c>
      <c r="K2992">
        <v>0.76680000000000004</v>
      </c>
      <c r="L2992">
        <v>0.44409999999999999</v>
      </c>
      <c r="M2992">
        <v>0.17150000000000001</v>
      </c>
      <c r="N2992">
        <f>CONVERT(O2992,"lbf","N")</f>
        <v>8530.7994137465867</v>
      </c>
      <c r="O2992">
        <v>1917.8</v>
      </c>
      <c r="P2992">
        <f t="shared" si="46"/>
        <v>0.38617428507092999</v>
      </c>
    </row>
    <row r="2993" spans="1:16" hidden="1" x14ac:dyDescent="0.25">
      <c r="A2993">
        <v>0</v>
      </c>
      <c r="B2993">
        <v>25000</v>
      </c>
      <c r="C2993">
        <f>1.225 * (1 - 0.00000687559 * B2993) ^ 4.2561</f>
        <v>0.54892259437885793</v>
      </c>
      <c r="D2993">
        <f>E2993*(SQRT($C$2/C2993))</f>
        <v>59.754756643641343</v>
      </c>
      <c r="E2993">
        <v>40</v>
      </c>
      <c r="F2993">
        <v>1150</v>
      </c>
      <c r="G2993">
        <v>2250</v>
      </c>
      <c r="H2993">
        <f>CONVERT(G2993,"HP","kW")</f>
        <v>1677.8247110601083</v>
      </c>
      <c r="I2993">
        <v>0.20580000000000001</v>
      </c>
      <c r="J2993">
        <v>0.40479999999999999</v>
      </c>
      <c r="K2993">
        <v>0.54169999999999996</v>
      </c>
      <c r="L2993">
        <v>0.44419999999999998</v>
      </c>
      <c r="M2993">
        <v>0.2258</v>
      </c>
      <c r="N2993">
        <f>CONVERT(O2993,"lbf","N")</f>
        <v>11230.869934209712</v>
      </c>
      <c r="O2993">
        <v>2524.8000000000002</v>
      </c>
      <c r="P2993">
        <f t="shared" si="46"/>
        <v>0.50832958126969841</v>
      </c>
    </row>
    <row r="2994" spans="1:16" hidden="1" x14ac:dyDescent="0.25">
      <c r="A2994">
        <v>0</v>
      </c>
      <c r="B2994">
        <v>25000</v>
      </c>
      <c r="C2994">
        <f>1.225 * (1 - 0.00000687559 * B2994) ^ 4.2561</f>
        <v>0.54892259437885793</v>
      </c>
      <c r="D2994">
        <f>E2994*(SQRT($C$2/C2994))</f>
        <v>358.52853986184806</v>
      </c>
      <c r="E2994">
        <v>240</v>
      </c>
      <c r="F2994">
        <v>1150</v>
      </c>
      <c r="G2994">
        <v>2250</v>
      </c>
      <c r="H2994">
        <f>CONVERT(G2994,"HP","kW")</f>
        <v>1677.8247110601083</v>
      </c>
      <c r="I2994">
        <v>0.81769999999999998</v>
      </c>
      <c r="J2994">
        <v>2.4285000000000001</v>
      </c>
      <c r="K2994">
        <v>0.80300000000000005</v>
      </c>
      <c r="L2994">
        <v>0.44419999999999998</v>
      </c>
      <c r="M2994">
        <v>0.14949999999999999</v>
      </c>
      <c r="N2994">
        <f>CONVERT(O2994,"lbf","N")</f>
        <v>7438.3161850386086</v>
      </c>
      <c r="O2994">
        <v>1672.2</v>
      </c>
      <c r="P2994">
        <f t="shared" si="46"/>
        <v>0.33656010805943271</v>
      </c>
    </row>
    <row r="2995" spans="1:16" hidden="1" x14ac:dyDescent="0.25">
      <c r="A2995">
        <v>0</v>
      </c>
      <c r="B2995">
        <v>25000</v>
      </c>
      <c r="C2995">
        <f>1.225 * (1 - 0.00000687559 * B2995) ^ 4.2561</f>
        <v>0.54892259437885793</v>
      </c>
      <c r="D2995">
        <f>E2995*(SQRT($C$2/C2995))</f>
        <v>29.877378321820672</v>
      </c>
      <c r="E2995">
        <v>20</v>
      </c>
      <c r="F2995">
        <v>1150</v>
      </c>
      <c r="G2995">
        <v>2250</v>
      </c>
      <c r="H2995">
        <f>CONVERT(G2995,"HP","kW")</f>
        <v>1677.8247110601083</v>
      </c>
      <c r="I2995">
        <v>9.1999999999999998E-2</v>
      </c>
      <c r="J2995">
        <v>0.2024</v>
      </c>
      <c r="K2995">
        <v>0.5333</v>
      </c>
      <c r="L2995">
        <v>0.44429999999999997</v>
      </c>
      <c r="M2995">
        <v>0.2019</v>
      </c>
      <c r="N2995">
        <f>CONVERT(O2995,"lbf","N")</f>
        <v>10039.636185642948</v>
      </c>
      <c r="O2995">
        <v>2257</v>
      </c>
      <c r="P2995">
        <f t="shared" si="46"/>
        <v>0.45442268737339636</v>
      </c>
    </row>
    <row r="2996" spans="1:16" hidden="1" x14ac:dyDescent="0.25">
      <c r="A2996">
        <v>0</v>
      </c>
      <c r="B2996">
        <v>25000</v>
      </c>
      <c r="C2996">
        <f>1.225 * (1 - 0.00000687559 * B2996) ^ 4.2561</f>
        <v>0.54892259437885793</v>
      </c>
      <c r="D2996">
        <f>E2996*(SQRT($C$2/C2996))</f>
        <v>119.50951328728269</v>
      </c>
      <c r="E2996">
        <v>80</v>
      </c>
      <c r="F2996">
        <v>1150</v>
      </c>
      <c r="G2996">
        <v>2250</v>
      </c>
      <c r="H2996">
        <f>CONVERT(G2996,"HP","kW")</f>
        <v>1677.8247110601083</v>
      </c>
      <c r="I2996">
        <v>0.53400000000000003</v>
      </c>
      <c r="J2996">
        <v>0.8095</v>
      </c>
      <c r="K2996">
        <v>0.56969999999999998</v>
      </c>
      <c r="L2996">
        <v>0.44429999999999997</v>
      </c>
      <c r="M2996">
        <v>0.29310000000000003</v>
      </c>
      <c r="N2996">
        <f>CONVERT(O2996,"lbf","N")</f>
        <v>14572.3740115934</v>
      </c>
      <c r="O2996">
        <v>3276</v>
      </c>
      <c r="P2996">
        <f t="shared" si="46"/>
        <v>0.65968939905469293</v>
      </c>
    </row>
    <row r="2997" spans="1:16" hidden="1" x14ac:dyDescent="0.25">
      <c r="A2997">
        <v>0</v>
      </c>
      <c r="B2997">
        <v>25000</v>
      </c>
      <c r="C2997">
        <f>1.225 * (1 - 0.00000687559 * B2997) ^ 4.2561</f>
        <v>0.54892259437885793</v>
      </c>
      <c r="D2997">
        <f>E2997*(SQRT($C$2/C2997))</f>
        <v>149.38689160910337</v>
      </c>
      <c r="E2997">
        <v>100</v>
      </c>
      <c r="F2997">
        <v>1150</v>
      </c>
      <c r="G2997">
        <v>2250</v>
      </c>
      <c r="H2997">
        <f>CONVERT(G2997,"HP","kW")</f>
        <v>1677.8247110601083</v>
      </c>
      <c r="I2997">
        <v>0.6976</v>
      </c>
      <c r="J2997">
        <v>1.0119</v>
      </c>
      <c r="K2997">
        <v>0.58960000000000001</v>
      </c>
      <c r="L2997">
        <v>0.44429999999999997</v>
      </c>
      <c r="M2997">
        <v>0.30630000000000002</v>
      </c>
      <c r="N2997">
        <f>CONVERT(O2997,"lbf","N")</f>
        <v>15230.265988490426</v>
      </c>
      <c r="O2997">
        <v>3423.9</v>
      </c>
      <c r="P2997">
        <f t="shared" si="46"/>
        <v>0.68939905469277518</v>
      </c>
    </row>
    <row r="2998" spans="1:16" hidden="1" x14ac:dyDescent="0.25">
      <c r="A2998">
        <v>0</v>
      </c>
      <c r="B2998">
        <v>25000</v>
      </c>
      <c r="C2998">
        <f>1.225 * (1 - 0.00000687559 * B2998) ^ 4.2561</f>
        <v>0.54892259437885793</v>
      </c>
      <c r="D2998">
        <f>E2998*(SQRT($C$2/C2998))</f>
        <v>0</v>
      </c>
      <c r="E2998">
        <v>0</v>
      </c>
      <c r="F2998">
        <v>1150</v>
      </c>
      <c r="G2998">
        <v>2250</v>
      </c>
      <c r="H2998">
        <f>CONVERT(G2998,"HP","kW")</f>
        <v>1677.8247110601083</v>
      </c>
      <c r="I2998">
        <v>0</v>
      </c>
      <c r="J2998">
        <v>0</v>
      </c>
      <c r="K2998">
        <v>0.52739999999999998</v>
      </c>
      <c r="L2998">
        <v>0.44440000000000002</v>
      </c>
      <c r="M2998">
        <v>0.18990000000000001</v>
      </c>
      <c r="N2998">
        <f>CONVERT(O2998,"lbf","N")</f>
        <v>9438.6814454212563</v>
      </c>
      <c r="O2998">
        <v>2121.9</v>
      </c>
      <c r="P2998">
        <f t="shared" si="46"/>
        <v>0.42731773177317733</v>
      </c>
    </row>
    <row r="2999" spans="1:16" hidden="1" x14ac:dyDescent="0.25">
      <c r="A2999">
        <v>0</v>
      </c>
      <c r="B2999">
        <v>25000</v>
      </c>
      <c r="C2999">
        <f>1.225 * (1 - 0.00000687559 * B2999) ^ 4.2561</f>
        <v>0.54892259437885793</v>
      </c>
      <c r="D2999">
        <f>E2999*(SQRT($C$2/C2999))</f>
        <v>89.632134965462015</v>
      </c>
      <c r="E2999">
        <v>60</v>
      </c>
      <c r="F2999">
        <v>1150</v>
      </c>
      <c r="G2999">
        <v>2250</v>
      </c>
      <c r="H2999">
        <f>CONVERT(G2999,"HP","kW")</f>
        <v>1677.8247110601083</v>
      </c>
      <c r="I2999">
        <v>0.35599999999999998</v>
      </c>
      <c r="J2999">
        <v>0.60709999999999997</v>
      </c>
      <c r="K2999">
        <v>0.55379999999999996</v>
      </c>
      <c r="L2999">
        <v>0.44440000000000002</v>
      </c>
      <c r="M2999">
        <v>0.2606</v>
      </c>
      <c r="N2999">
        <f>CONVERT(O2999,"lbf","N")</f>
        <v>12953.666165800101</v>
      </c>
      <c r="O2999">
        <v>2912.1</v>
      </c>
      <c r="P2999">
        <f t="shared" si="46"/>
        <v>0.58640864086408639</v>
      </c>
    </row>
    <row r="3000" spans="1:16" hidden="1" x14ac:dyDescent="0.25">
      <c r="A3000">
        <v>0</v>
      </c>
      <c r="B3000">
        <v>25000</v>
      </c>
      <c r="C3000">
        <f>1.225 * (1 - 0.00000687559 * B3000) ^ 4.2561</f>
        <v>0.54892259437885793</v>
      </c>
      <c r="D3000">
        <f>E3000*(SQRT($C$2/C3000))</f>
        <v>239.01902657456537</v>
      </c>
      <c r="E3000">
        <v>160</v>
      </c>
      <c r="F3000">
        <v>1150</v>
      </c>
      <c r="G3000">
        <v>2250</v>
      </c>
      <c r="H3000">
        <f>CONVERT(G3000,"HP","kW")</f>
        <v>1677.8247110601083</v>
      </c>
      <c r="I3000">
        <v>0.84540000000000004</v>
      </c>
      <c r="J3000">
        <v>1.619</v>
      </c>
      <c r="K3000">
        <v>0.66830000000000001</v>
      </c>
      <c r="L3000">
        <v>0.44440000000000002</v>
      </c>
      <c r="M3000">
        <v>0.2321</v>
      </c>
      <c r="N3000">
        <f>CONVERT(O3000,"lbf","N")</f>
        <v>11535.573114855057</v>
      </c>
      <c r="O3000">
        <v>2593.3000000000002</v>
      </c>
      <c r="P3000">
        <f t="shared" si="46"/>
        <v>0.5222772277227723</v>
      </c>
    </row>
    <row r="3001" spans="1:16" hidden="1" x14ac:dyDescent="0.25">
      <c r="A3001">
        <v>0</v>
      </c>
      <c r="B3001">
        <v>25000</v>
      </c>
      <c r="C3001">
        <f>1.225 * (1 - 0.00000687559 * B3001) ^ 4.2561</f>
        <v>0.54892259437885793</v>
      </c>
      <c r="D3001">
        <f>E3001*(SQRT($C$2/C3001))</f>
        <v>268.89640489638606</v>
      </c>
      <c r="E3001">
        <v>180</v>
      </c>
      <c r="F3001">
        <v>1150</v>
      </c>
      <c r="G3001">
        <v>2250</v>
      </c>
      <c r="H3001">
        <f>CONVERT(G3001,"HP","kW")</f>
        <v>1677.8247110601083</v>
      </c>
      <c r="I3001">
        <v>0.86370000000000002</v>
      </c>
      <c r="J3001">
        <v>1.8213999999999999</v>
      </c>
      <c r="K3001">
        <v>0.69920000000000004</v>
      </c>
      <c r="L3001">
        <v>0.44440000000000002</v>
      </c>
      <c r="M3001">
        <v>0.2107</v>
      </c>
      <c r="N3001">
        <f>CONVERT(O3001,"lbf","N")</f>
        <v>10475.561903938478</v>
      </c>
      <c r="O3001">
        <v>2355</v>
      </c>
      <c r="P3001">
        <f t="shared" si="46"/>
        <v>0.47412241224122409</v>
      </c>
    </row>
    <row r="3002" spans="1:16" hidden="1" x14ac:dyDescent="0.25">
      <c r="A3002">
        <v>0</v>
      </c>
      <c r="B3002">
        <v>25000</v>
      </c>
      <c r="C3002">
        <f>1.225 * (1 - 0.00000687559 * B3002) ^ 4.2561</f>
        <v>0.54892259437885793</v>
      </c>
      <c r="D3002">
        <f>E3002*(SQRT($C$2/C3002))</f>
        <v>298.77378321820675</v>
      </c>
      <c r="E3002">
        <v>200</v>
      </c>
      <c r="F3002">
        <v>1150</v>
      </c>
      <c r="G3002">
        <v>2250</v>
      </c>
      <c r="H3002">
        <f>CONVERT(G3002,"HP","kW")</f>
        <v>1677.8247110601083</v>
      </c>
      <c r="I3002">
        <v>0.87309999999999999</v>
      </c>
      <c r="J3002">
        <v>2.0238</v>
      </c>
      <c r="K3002">
        <v>0.73219999999999996</v>
      </c>
      <c r="L3002">
        <v>0.44440000000000002</v>
      </c>
      <c r="M3002">
        <v>0.19170000000000001</v>
      </c>
      <c r="N3002">
        <f>CONVERT(O3002,"lbf","N")</f>
        <v>9531.2044550186729</v>
      </c>
      <c r="O3002">
        <v>2142.6999999999998</v>
      </c>
      <c r="P3002">
        <f t="shared" si="46"/>
        <v>0.43136813681368136</v>
      </c>
    </row>
    <row r="3003" spans="1:16" hidden="1" x14ac:dyDescent="0.25">
      <c r="A3003">
        <v>0</v>
      </c>
      <c r="B3003">
        <v>25000</v>
      </c>
      <c r="C3003">
        <f>1.225 * (1 - 0.00000687559 * B3003) ^ 4.2561</f>
        <v>0.54892259437885793</v>
      </c>
      <c r="D3003">
        <f>E3003*(SQRT($C$2/C3003))</f>
        <v>388.40591818366875</v>
      </c>
      <c r="E3003">
        <v>260</v>
      </c>
      <c r="F3003">
        <v>1150</v>
      </c>
      <c r="G3003">
        <v>2250</v>
      </c>
      <c r="H3003">
        <f>CONVERT(G3003,"HP","kW")</f>
        <v>1677.8247110601083</v>
      </c>
      <c r="I3003">
        <v>0.73080000000000001</v>
      </c>
      <c r="J3003">
        <v>2.6309</v>
      </c>
      <c r="K3003">
        <v>0.84050000000000002</v>
      </c>
      <c r="L3003">
        <v>0.44440000000000002</v>
      </c>
      <c r="M3003">
        <v>0.1234</v>
      </c>
      <c r="N3003">
        <f>CONVERT(O3003,"lbf","N")</f>
        <v>6136.3217182518601</v>
      </c>
      <c r="O3003">
        <v>1379.5</v>
      </c>
      <c r="P3003">
        <f t="shared" si="46"/>
        <v>0.27767776777677766</v>
      </c>
    </row>
    <row r="3004" spans="1:16" hidden="1" x14ac:dyDescent="0.25">
      <c r="A3004">
        <v>0</v>
      </c>
      <c r="B3004">
        <v>15000</v>
      </c>
      <c r="C3004">
        <f>1.225 * (1 - 0.00000687559 * B3004) ^ 4.2561</f>
        <v>0.77079726910167001</v>
      </c>
      <c r="D3004">
        <f>E3004*(SQRT($C$2/C3004))</f>
        <v>126.06599638766529</v>
      </c>
      <c r="E3004">
        <v>100</v>
      </c>
      <c r="F3004">
        <v>987</v>
      </c>
      <c r="G3004">
        <v>2000</v>
      </c>
      <c r="H3004">
        <f>CONVERT(G3004,"HP","kW")</f>
        <v>1491.3997431645405</v>
      </c>
      <c r="I3004">
        <v>0.70109999999999995</v>
      </c>
      <c r="J3004">
        <v>0.995</v>
      </c>
      <c r="K3004">
        <v>0.48480000000000001</v>
      </c>
      <c r="L3004">
        <v>0.44450000000000001</v>
      </c>
      <c r="M3004">
        <v>0.31319999999999998</v>
      </c>
      <c r="N3004">
        <f>CONVERT(O3004,"lbf","N")</f>
        <v>16122.579244511682</v>
      </c>
      <c r="O3004">
        <v>3624.5</v>
      </c>
      <c r="P3004">
        <f t="shared" si="46"/>
        <v>0.70461192350956126</v>
      </c>
    </row>
    <row r="3005" spans="1:16" hidden="1" x14ac:dyDescent="0.25">
      <c r="A3005">
        <v>0</v>
      </c>
      <c r="B3005">
        <v>15000</v>
      </c>
      <c r="C3005">
        <f>1.225 * (1 - 0.00000687559 * B3005) ^ 4.2561</f>
        <v>0.77079726910167001</v>
      </c>
      <c r="D3005">
        <f>E3005*(SQRT($C$2/C3005))</f>
        <v>50.426398555066115</v>
      </c>
      <c r="E3005">
        <v>40</v>
      </c>
      <c r="F3005">
        <v>987</v>
      </c>
      <c r="G3005">
        <v>2000</v>
      </c>
      <c r="H3005">
        <f>CONVERT(G3005,"HP","kW")</f>
        <v>1491.3997431645405</v>
      </c>
      <c r="I3005">
        <v>0.18290000000000001</v>
      </c>
      <c r="J3005">
        <v>0.39800000000000002</v>
      </c>
      <c r="K3005">
        <v>0.44719999999999999</v>
      </c>
      <c r="L3005">
        <v>0.4446</v>
      </c>
      <c r="M3005">
        <v>0.20430000000000001</v>
      </c>
      <c r="N3005">
        <f>CONVERT(O3005,"lbf","N")</f>
        <v>10512.926965506667</v>
      </c>
      <c r="O3005">
        <v>2363.4</v>
      </c>
      <c r="P3005">
        <f t="shared" si="46"/>
        <v>0.45951417004048584</v>
      </c>
    </row>
    <row r="3006" spans="1:16" hidden="1" x14ac:dyDescent="0.25">
      <c r="A3006">
        <v>0</v>
      </c>
      <c r="B3006">
        <v>25000</v>
      </c>
      <c r="C3006">
        <f>1.225 * (1 - 0.00000687559 * B3006) ^ 4.2561</f>
        <v>0.54892259437885793</v>
      </c>
      <c r="D3006">
        <f>E3006*(SQRT($C$2/C3006))</f>
        <v>179.26426993092403</v>
      </c>
      <c r="E3006">
        <v>120</v>
      </c>
      <c r="F3006">
        <v>1150</v>
      </c>
      <c r="G3006">
        <v>2250</v>
      </c>
      <c r="H3006">
        <f>CONVERT(G3006,"HP","kW")</f>
        <v>1677.8247110601083</v>
      </c>
      <c r="I3006">
        <v>0.77380000000000004</v>
      </c>
      <c r="J3006">
        <v>1.2142999999999999</v>
      </c>
      <c r="K3006">
        <v>0.61309999999999998</v>
      </c>
      <c r="L3006">
        <v>0.4446</v>
      </c>
      <c r="M3006">
        <v>0.28339999999999999</v>
      </c>
      <c r="N3006">
        <f>CONVERT(O3006,"lbf","N")</f>
        <v>14079.06623446101</v>
      </c>
      <c r="O3006">
        <v>3165.1</v>
      </c>
      <c r="P3006">
        <f t="shared" si="46"/>
        <v>0.63742690058479534</v>
      </c>
    </row>
    <row r="3007" spans="1:16" hidden="1" x14ac:dyDescent="0.25">
      <c r="A3007">
        <v>0</v>
      </c>
      <c r="B3007">
        <v>15000</v>
      </c>
      <c r="C3007">
        <f>1.225 * (1 - 0.00000687559 * B3007) ^ 4.2561</f>
        <v>0.77079726910167001</v>
      </c>
      <c r="D3007">
        <f>E3007*(SQRT($C$2/C3007))</f>
        <v>25.213199277533057</v>
      </c>
      <c r="E3007">
        <v>20</v>
      </c>
      <c r="F3007">
        <v>987</v>
      </c>
      <c r="G3007">
        <v>2000</v>
      </c>
      <c r="H3007">
        <f>CONVERT(G3007,"HP","kW")</f>
        <v>1491.3997431645405</v>
      </c>
      <c r="I3007">
        <v>7.9500000000000001E-2</v>
      </c>
      <c r="J3007">
        <v>0.19900000000000001</v>
      </c>
      <c r="K3007">
        <v>0.43930000000000002</v>
      </c>
      <c r="L3007">
        <v>0.44479999999999997</v>
      </c>
      <c r="M3007">
        <v>0.17760000000000001</v>
      </c>
      <c r="N3007">
        <f>CONVERT(O3007,"lbf","N")</f>
        <v>9135.7575534220159</v>
      </c>
      <c r="O3007">
        <v>2053.8000000000002</v>
      </c>
      <c r="P3007">
        <f t="shared" si="46"/>
        <v>0.39928057553956836</v>
      </c>
    </row>
    <row r="3008" spans="1:16" hidden="1" x14ac:dyDescent="0.25">
      <c r="A3008">
        <v>0</v>
      </c>
      <c r="B3008">
        <v>15000</v>
      </c>
      <c r="C3008">
        <f>1.225 * (1 - 0.00000687559 * B3008) ^ 4.2561</f>
        <v>0.77079726910167001</v>
      </c>
      <c r="D3008">
        <f>E3008*(SQRT($C$2/C3008))</f>
        <v>176.49239494273141</v>
      </c>
      <c r="E3008">
        <v>140</v>
      </c>
      <c r="F3008">
        <v>987</v>
      </c>
      <c r="G3008">
        <v>2000</v>
      </c>
      <c r="H3008">
        <f>CONVERT(G3008,"HP","kW")</f>
        <v>1491.3997431645405</v>
      </c>
      <c r="I3008">
        <v>0.81740000000000002</v>
      </c>
      <c r="J3008">
        <v>1.3929</v>
      </c>
      <c r="K3008">
        <v>0.52480000000000004</v>
      </c>
      <c r="L3008">
        <v>0.44479999999999997</v>
      </c>
      <c r="M3008">
        <v>0.26100000000000001</v>
      </c>
      <c r="N3008">
        <f>CONVERT(O3008,"lbf","N")</f>
        <v>13426.512123502294</v>
      </c>
      <c r="O3008">
        <v>3018.4</v>
      </c>
      <c r="P3008">
        <f t="shared" si="46"/>
        <v>0.58678057553956842</v>
      </c>
    </row>
    <row r="3009" spans="1:16" hidden="1" x14ac:dyDescent="0.25">
      <c r="A3009">
        <v>0</v>
      </c>
      <c r="B3009">
        <v>15000</v>
      </c>
      <c r="C3009">
        <f>1.225 * (1 - 0.00000687559 * B3009) ^ 4.2561</f>
        <v>0.77079726910167001</v>
      </c>
      <c r="D3009">
        <f>E3009*(SQRT($C$2/C3009))</f>
        <v>302.55839133039672</v>
      </c>
      <c r="E3009">
        <v>240</v>
      </c>
      <c r="F3009">
        <v>987</v>
      </c>
      <c r="G3009">
        <v>2000</v>
      </c>
      <c r="H3009">
        <f>CONVERT(G3009,"HP","kW")</f>
        <v>1491.3997431645405</v>
      </c>
      <c r="I3009">
        <v>0.88560000000000005</v>
      </c>
      <c r="J3009">
        <v>2.3879000000000001</v>
      </c>
      <c r="K3009">
        <v>0.65620000000000001</v>
      </c>
      <c r="L3009">
        <v>0.44479999999999997</v>
      </c>
      <c r="M3009">
        <v>0.16500000000000001</v>
      </c>
      <c r="N3009">
        <f>CONVERT(O3009,"lbf","N")</f>
        <v>8486.3171975939822</v>
      </c>
      <c r="O3009">
        <v>1907.8</v>
      </c>
      <c r="P3009">
        <f t="shared" si="46"/>
        <v>0.37095323741007197</v>
      </c>
    </row>
    <row r="3010" spans="1:16" hidden="1" x14ac:dyDescent="0.25">
      <c r="A3010">
        <v>0</v>
      </c>
      <c r="B3010">
        <v>15000</v>
      </c>
      <c r="C3010">
        <f>1.225 * (1 - 0.00000687559 * B3010) ^ 4.2561</f>
        <v>0.77079726910167001</v>
      </c>
      <c r="D3010">
        <f>E3010*(SQRT($C$2/C3010))</f>
        <v>100.85279711013223</v>
      </c>
      <c r="E3010">
        <v>80</v>
      </c>
      <c r="F3010">
        <v>987</v>
      </c>
      <c r="G3010">
        <v>2000</v>
      </c>
      <c r="H3010">
        <f>CONVERT(G3010,"HP","kW")</f>
        <v>1491.3997431645405</v>
      </c>
      <c r="I3010">
        <v>0.52800000000000002</v>
      </c>
      <c r="J3010">
        <v>0.79600000000000004</v>
      </c>
      <c r="K3010">
        <v>0.46899999999999997</v>
      </c>
      <c r="L3010">
        <v>0.44490000000000002</v>
      </c>
      <c r="M3010">
        <v>0.29509999999999997</v>
      </c>
      <c r="N3010">
        <f>CONVERT(O3010,"lbf","N")</f>
        <v>15177.332151268825</v>
      </c>
      <c r="O3010">
        <v>3412</v>
      </c>
      <c r="P3010">
        <f t="shared" si="46"/>
        <v>0.66329512249943801</v>
      </c>
    </row>
    <row r="3011" spans="1:16" hidden="1" x14ac:dyDescent="0.25">
      <c r="A3011">
        <v>0</v>
      </c>
      <c r="B3011">
        <v>25000</v>
      </c>
      <c r="C3011">
        <f>1.225 * (1 - 0.00000687559 * B3011) ^ 4.2561</f>
        <v>0.54892259437885793</v>
      </c>
      <c r="D3011">
        <f>E3011*(SQRT($C$2/C3011))</f>
        <v>209.14164825274472</v>
      </c>
      <c r="E3011">
        <v>140</v>
      </c>
      <c r="F3011">
        <v>1150</v>
      </c>
      <c r="G3011">
        <v>2250</v>
      </c>
      <c r="H3011">
        <f>CONVERT(G3011,"HP","kW")</f>
        <v>1677.8247110601083</v>
      </c>
      <c r="I3011">
        <v>0.81759999999999999</v>
      </c>
      <c r="J3011">
        <v>1.4166000000000001</v>
      </c>
      <c r="K3011">
        <v>0.63949999999999996</v>
      </c>
      <c r="L3011">
        <v>0.44490000000000002</v>
      </c>
      <c r="M3011">
        <v>0.25669999999999998</v>
      </c>
      <c r="N3011">
        <f>CONVERT(O3011,"lbf","N")</f>
        <v>12749.492793659645</v>
      </c>
      <c r="O3011">
        <v>2866.2</v>
      </c>
      <c r="P3011">
        <f t="shared" ref="P3011:P3074" si="47">M3011/L3011</f>
        <v>0.5769835918183861</v>
      </c>
    </row>
    <row r="3012" spans="1:16" hidden="1" x14ac:dyDescent="0.25">
      <c r="A3012">
        <v>0</v>
      </c>
      <c r="B3012">
        <v>15000</v>
      </c>
      <c r="C3012">
        <f>1.225 * (1 - 0.00000687559 * B3012) ^ 4.2561</f>
        <v>0.77079726910167001</v>
      </c>
      <c r="D3012">
        <f>E3012*(SQRT($C$2/C3012))</f>
        <v>201.70559422026446</v>
      </c>
      <c r="E3012">
        <v>160</v>
      </c>
      <c r="F3012">
        <v>987</v>
      </c>
      <c r="G3012">
        <v>2000</v>
      </c>
      <c r="H3012">
        <f>CONVERT(G3012,"HP","kW")</f>
        <v>1491.3997431645405</v>
      </c>
      <c r="I3012">
        <v>0.84499999999999997</v>
      </c>
      <c r="J3012">
        <v>1.5919000000000001</v>
      </c>
      <c r="K3012">
        <v>0.54790000000000005</v>
      </c>
      <c r="L3012">
        <v>0.44500000000000001</v>
      </c>
      <c r="M3012">
        <v>0.23619999999999999</v>
      </c>
      <c r="N3012">
        <f>CONVERT(O3012,"lbf","N")</f>
        <v>12144.534653984218</v>
      </c>
      <c r="O3012">
        <v>2730.2</v>
      </c>
      <c r="P3012">
        <f t="shared" si="47"/>
        <v>0.53078651685393252</v>
      </c>
    </row>
    <row r="3013" spans="1:16" hidden="1" x14ac:dyDescent="0.25">
      <c r="A3013">
        <v>0</v>
      </c>
      <c r="B3013">
        <v>15000</v>
      </c>
      <c r="C3013">
        <f>1.225 * (1 - 0.00000687559 * B3013) ^ 4.2561</f>
        <v>0.77079726910167001</v>
      </c>
      <c r="D3013">
        <f>E3013*(SQRT($C$2/C3013))</f>
        <v>226.91879349779754</v>
      </c>
      <c r="E3013">
        <v>180</v>
      </c>
      <c r="F3013">
        <v>987</v>
      </c>
      <c r="G3013">
        <v>2000</v>
      </c>
      <c r="H3013">
        <f>CONVERT(G3013,"HP","kW")</f>
        <v>1491.3997431645405</v>
      </c>
      <c r="I3013">
        <v>0.8639</v>
      </c>
      <c r="J3013">
        <v>1.7908999999999999</v>
      </c>
      <c r="K3013">
        <v>0.57269999999999999</v>
      </c>
      <c r="L3013">
        <v>0.44500000000000001</v>
      </c>
      <c r="M3013">
        <v>0.21460000000000001</v>
      </c>
      <c r="N3013">
        <f>CONVERT(O3013,"lbf","N")</f>
        <v>11036.482649622827</v>
      </c>
      <c r="O3013">
        <v>2481.1</v>
      </c>
      <c r="P3013">
        <f t="shared" si="47"/>
        <v>0.48224719101123598</v>
      </c>
    </row>
    <row r="3014" spans="1:16" hidden="1" x14ac:dyDescent="0.25">
      <c r="A3014" s="4">
        <v>0</v>
      </c>
      <c r="B3014" s="4">
        <v>15000</v>
      </c>
      <c r="C3014" s="4">
        <f>1.225 * (1 - 0.00000687559 * B3014) ^ 4.2561</f>
        <v>0.77079726910167001</v>
      </c>
      <c r="D3014" s="4">
        <f>E3014*(SQRT($C$2/C3014))</f>
        <v>252.13199277533059</v>
      </c>
      <c r="E3014" s="4">
        <v>200</v>
      </c>
      <c r="F3014" s="4">
        <v>987</v>
      </c>
      <c r="G3014" s="4">
        <v>2000</v>
      </c>
      <c r="H3014" s="4">
        <f>CONVERT(G3014,"HP","kW")</f>
        <v>1491.3997431645405</v>
      </c>
      <c r="I3014" s="4">
        <v>0.87629999999999997</v>
      </c>
      <c r="J3014" s="4">
        <v>1.9899</v>
      </c>
      <c r="K3014" s="4">
        <v>0.59919999999999995</v>
      </c>
      <c r="L3014" s="4">
        <v>0.44500000000000001</v>
      </c>
      <c r="M3014" s="4">
        <v>0.19600000000000001</v>
      </c>
      <c r="N3014" s="4">
        <f>CONVERT(O3014,"lbf","N")</f>
        <v>10076.556425049612</v>
      </c>
      <c r="O3014" s="4">
        <v>2265.3000000000002</v>
      </c>
      <c r="P3014">
        <f t="shared" si="47"/>
        <v>0.44044943820224719</v>
      </c>
    </row>
    <row r="3015" spans="1:16" hidden="1" x14ac:dyDescent="0.25">
      <c r="A3015">
        <v>0</v>
      </c>
      <c r="B3015">
        <v>15000</v>
      </c>
      <c r="C3015">
        <f>1.225 * (1 - 0.00000687559 * B3015) ^ 4.2561</f>
        <v>0.77079726910167001</v>
      </c>
      <c r="D3015">
        <f>E3015*(SQRT($C$2/C3015))</f>
        <v>277.34519205286364</v>
      </c>
      <c r="E3015">
        <v>220</v>
      </c>
      <c r="F3015">
        <v>987</v>
      </c>
      <c r="G3015">
        <v>2000</v>
      </c>
      <c r="H3015">
        <f>CONVERT(G3015,"HP","kW")</f>
        <v>1491.3997431645405</v>
      </c>
      <c r="I3015">
        <v>0.88360000000000005</v>
      </c>
      <c r="J3015">
        <v>2.1888999999999998</v>
      </c>
      <c r="K3015">
        <v>0.62709999999999999</v>
      </c>
      <c r="L3015">
        <v>0.44500000000000001</v>
      </c>
      <c r="M3015">
        <v>0.17960000000000001</v>
      </c>
      <c r="N3015">
        <f>CONVERT(O3015,"lbf","N")</f>
        <v>9235.8425397653773</v>
      </c>
      <c r="O3015">
        <v>2076.3000000000002</v>
      </c>
      <c r="P3015">
        <f t="shared" si="47"/>
        <v>0.40359550561797752</v>
      </c>
    </row>
    <row r="3016" spans="1:16" hidden="1" x14ac:dyDescent="0.25">
      <c r="A3016">
        <v>0</v>
      </c>
      <c r="B3016">
        <v>15000</v>
      </c>
      <c r="C3016">
        <f>1.225 * (1 - 0.00000687559 * B3016) ^ 4.2561</f>
        <v>0.77079726910167001</v>
      </c>
      <c r="D3016">
        <f>E3016*(SQRT($C$2/C3016))</f>
        <v>327.77159060792974</v>
      </c>
      <c r="E3016">
        <v>260</v>
      </c>
      <c r="F3016">
        <v>987</v>
      </c>
      <c r="G3016">
        <v>2000</v>
      </c>
      <c r="H3016">
        <f>CONVERT(G3016,"HP","kW")</f>
        <v>1491.3997431645405</v>
      </c>
      <c r="I3016">
        <v>0.87939999999999996</v>
      </c>
      <c r="J3016">
        <v>2.5869</v>
      </c>
      <c r="K3016">
        <v>0.68640000000000001</v>
      </c>
      <c r="L3016">
        <v>0.44500000000000001</v>
      </c>
      <c r="M3016">
        <v>0.15129999999999999</v>
      </c>
      <c r="N3016">
        <f>CONVERT(O3016,"lbf","N")</f>
        <v>7778.6051386060371</v>
      </c>
      <c r="O3016">
        <v>1748.7</v>
      </c>
      <c r="P3016">
        <f t="shared" si="47"/>
        <v>0.33999999999999997</v>
      </c>
    </row>
    <row r="3017" spans="1:16" hidden="1" x14ac:dyDescent="0.25">
      <c r="A3017">
        <v>0</v>
      </c>
      <c r="B3017">
        <v>15000</v>
      </c>
      <c r="C3017">
        <f>1.225 * (1 - 0.00000687559 * B3017) ^ 4.2561</f>
        <v>0.77079726910167001</v>
      </c>
      <c r="D3017">
        <f>E3017*(SQRT($C$2/C3017))</f>
        <v>151.27919566519836</v>
      </c>
      <c r="E3017">
        <v>120</v>
      </c>
      <c r="F3017">
        <v>987</v>
      </c>
      <c r="G3017">
        <v>2000</v>
      </c>
      <c r="H3017">
        <f>CONVERT(G3017,"HP","kW")</f>
        <v>1491.3997431645405</v>
      </c>
      <c r="I3017">
        <v>0.7772</v>
      </c>
      <c r="J3017">
        <v>1.1939</v>
      </c>
      <c r="K3017">
        <v>0.50360000000000005</v>
      </c>
      <c r="L3017">
        <v>0.4451</v>
      </c>
      <c r="M3017">
        <v>0.28970000000000001</v>
      </c>
      <c r="N3017">
        <f>CONVERT(O3017,"lbf","N")</f>
        <v>14893.09079005368</v>
      </c>
      <c r="O3017">
        <v>3348.1</v>
      </c>
      <c r="P3017">
        <f t="shared" si="47"/>
        <v>0.6508649741631094</v>
      </c>
    </row>
    <row r="3018" spans="1:16" hidden="1" x14ac:dyDescent="0.25">
      <c r="A3018">
        <v>0</v>
      </c>
      <c r="B3018">
        <v>15000</v>
      </c>
      <c r="C3018">
        <f>1.225 * (1 - 0.00000687559 * B3018) ^ 4.2561</f>
        <v>0.77079726910167001</v>
      </c>
      <c r="D3018">
        <f>E3018*(SQRT($C$2/C3018))</f>
        <v>75.639597832599179</v>
      </c>
      <c r="E3018">
        <v>60</v>
      </c>
      <c r="F3018">
        <v>987</v>
      </c>
      <c r="G3018">
        <v>2000</v>
      </c>
      <c r="H3018">
        <f>CONVERT(G3018,"HP","kW")</f>
        <v>1491.3997431645405</v>
      </c>
      <c r="I3018">
        <v>0.34339999999999998</v>
      </c>
      <c r="J3018">
        <v>0.59699999999999998</v>
      </c>
      <c r="K3018">
        <v>0.45629999999999998</v>
      </c>
      <c r="L3018">
        <v>0.44540000000000002</v>
      </c>
      <c r="M3018">
        <v>0.25619999999999998</v>
      </c>
      <c r="N3018">
        <f>CONVERT(O3018,"lbf","N")</f>
        <v>13161.842937394294</v>
      </c>
      <c r="O3018">
        <v>2958.9</v>
      </c>
      <c r="P3018">
        <f t="shared" si="47"/>
        <v>0.57521329142343958</v>
      </c>
    </row>
    <row r="3019" spans="1:16" hidden="1" x14ac:dyDescent="0.25">
      <c r="A3019">
        <v>0</v>
      </c>
      <c r="B3019">
        <v>5000</v>
      </c>
      <c r="C3019">
        <f>1.225 * (1 - 0.00000687559 * B3019) ^ 4.2561</f>
        <v>1.0555380742846066</v>
      </c>
      <c r="D3019">
        <f>E3019*(SQRT($C$2/C3019))</f>
        <v>193.91151425482059</v>
      </c>
      <c r="E3019">
        <v>180</v>
      </c>
      <c r="F3019">
        <v>987</v>
      </c>
      <c r="G3019">
        <v>2750</v>
      </c>
      <c r="H3019">
        <f>CONVERT(G3019,"HP","kW")</f>
        <v>2050.6746468512433</v>
      </c>
      <c r="I3019">
        <v>0.83740000000000003</v>
      </c>
      <c r="J3019">
        <v>1.5304</v>
      </c>
      <c r="K3019">
        <v>0.52090000000000003</v>
      </c>
      <c r="L3019">
        <v>0.44640000000000002</v>
      </c>
      <c r="M3019">
        <v>0.24429999999999999</v>
      </c>
      <c r="N3019">
        <f>CONVERT(O3019,"lbf","N")</f>
        <v>17214.617651058135</v>
      </c>
      <c r="O3019">
        <v>3870</v>
      </c>
      <c r="P3019">
        <f t="shared" si="47"/>
        <v>0.54726702508960567</v>
      </c>
    </row>
    <row r="3020" spans="1:16" hidden="1" x14ac:dyDescent="0.25">
      <c r="A3020">
        <v>0</v>
      </c>
      <c r="B3020">
        <v>5000</v>
      </c>
      <c r="C3020">
        <f>1.225 * (1 - 0.00000687559 * B3020) ^ 4.2561</f>
        <v>1.0555380742846066</v>
      </c>
      <c r="D3020">
        <f>E3020*(SQRT($C$2/C3020))</f>
        <v>129.27434283654705</v>
      </c>
      <c r="E3020">
        <v>120</v>
      </c>
      <c r="F3020">
        <v>987</v>
      </c>
      <c r="G3020">
        <v>2750</v>
      </c>
      <c r="H3020">
        <f>CONVERT(G3020,"HP","kW")</f>
        <v>2050.6746468512433</v>
      </c>
      <c r="I3020">
        <v>0.71240000000000003</v>
      </c>
      <c r="J3020">
        <v>1.0203</v>
      </c>
      <c r="K3020">
        <v>0.46929999999999999</v>
      </c>
      <c r="L3020">
        <v>0.44650000000000001</v>
      </c>
      <c r="M3020">
        <v>0.31180000000000002</v>
      </c>
      <c r="N3020">
        <f>CONVERT(O3020,"lbf","N")</f>
        <v>21966.652802640929</v>
      </c>
      <c r="O3020">
        <v>4938.3</v>
      </c>
      <c r="P3020">
        <f t="shared" si="47"/>
        <v>0.69832026875699893</v>
      </c>
    </row>
    <row r="3021" spans="1:16" hidden="1" x14ac:dyDescent="0.25">
      <c r="A3021">
        <v>0</v>
      </c>
      <c r="B3021">
        <v>5000</v>
      </c>
      <c r="C3021">
        <f>1.225 * (1 - 0.00000687559 * B3021) ^ 4.2561</f>
        <v>1.0555380742846066</v>
      </c>
      <c r="D3021">
        <f>E3021*(SQRT($C$2/C3021))</f>
        <v>64.637171418273525</v>
      </c>
      <c r="E3021">
        <v>60</v>
      </c>
      <c r="F3021">
        <v>987</v>
      </c>
      <c r="G3021">
        <v>2750</v>
      </c>
      <c r="H3021">
        <f>CONVERT(G3021,"HP","kW")</f>
        <v>2050.6746468512433</v>
      </c>
      <c r="I3021">
        <v>0.2661</v>
      </c>
      <c r="J3021">
        <v>0.5101</v>
      </c>
      <c r="K3021">
        <v>0.4355</v>
      </c>
      <c r="L3021">
        <v>0.4466</v>
      </c>
      <c r="M3021">
        <v>0.23300000000000001</v>
      </c>
      <c r="N3021">
        <f>CONVERT(O3021,"lbf","N")</f>
        <v>16412.158471665141</v>
      </c>
      <c r="O3021">
        <v>3689.6</v>
      </c>
      <c r="P3021">
        <f t="shared" si="47"/>
        <v>0.52171965965069411</v>
      </c>
    </row>
    <row r="3022" spans="1:16" hidden="1" x14ac:dyDescent="0.25">
      <c r="A3022">
        <v>0</v>
      </c>
      <c r="B3022">
        <v>5000</v>
      </c>
      <c r="C3022">
        <f>1.225 * (1 - 0.00000687559 * B3022) ^ 4.2561</f>
        <v>1.0555380742846066</v>
      </c>
      <c r="D3022">
        <f>E3022*(SQRT($C$2/C3022))</f>
        <v>86.1828952243647</v>
      </c>
      <c r="E3022">
        <v>80</v>
      </c>
      <c r="F3022">
        <v>987</v>
      </c>
      <c r="G3022">
        <v>2750</v>
      </c>
      <c r="H3022">
        <f>CONVERT(G3022,"HP","kW")</f>
        <v>2050.6746468512433</v>
      </c>
      <c r="I3022">
        <v>0.41399999999999998</v>
      </c>
      <c r="J3022">
        <v>0.68020000000000003</v>
      </c>
      <c r="K3022">
        <v>0.44450000000000001</v>
      </c>
      <c r="L3022">
        <v>0.4466</v>
      </c>
      <c r="M3022">
        <v>0.27189999999999998</v>
      </c>
      <c r="N3022">
        <f>CONVERT(O3022,"lbf","N")</f>
        <v>19150.038875857979</v>
      </c>
      <c r="O3022">
        <v>4305.1000000000004</v>
      </c>
      <c r="P3022">
        <f t="shared" si="47"/>
        <v>0.60882221227048805</v>
      </c>
    </row>
    <row r="3023" spans="1:16" hidden="1" x14ac:dyDescent="0.25">
      <c r="A3023">
        <v>0</v>
      </c>
      <c r="B3023">
        <v>5000</v>
      </c>
      <c r="C3023">
        <f>1.225 * (1 - 0.00000687559 * B3023) ^ 4.2561</f>
        <v>1.0555380742846066</v>
      </c>
      <c r="D3023">
        <f>E3023*(SQRT($C$2/C3023))</f>
        <v>21.545723806091175</v>
      </c>
      <c r="E3023">
        <v>20</v>
      </c>
      <c r="F3023">
        <v>987</v>
      </c>
      <c r="G3023">
        <v>2750</v>
      </c>
      <c r="H3023">
        <f>CONVERT(G3023,"HP","kW")</f>
        <v>2050.6746468512433</v>
      </c>
      <c r="I3023">
        <v>6.59E-2</v>
      </c>
      <c r="J3023">
        <v>0.17</v>
      </c>
      <c r="K3023">
        <v>0.42030000000000001</v>
      </c>
      <c r="L3023">
        <v>0.44679999999999997</v>
      </c>
      <c r="M3023">
        <v>0.17330000000000001</v>
      </c>
      <c r="N3023">
        <f>CONVERT(O3023,"lbf","N")</f>
        <v>12200.137424174975</v>
      </c>
      <c r="O3023">
        <v>2742.7</v>
      </c>
      <c r="P3023">
        <f t="shared" si="47"/>
        <v>0.38786929274843335</v>
      </c>
    </row>
    <row r="3024" spans="1:16" hidden="1" x14ac:dyDescent="0.25">
      <c r="A3024">
        <v>0</v>
      </c>
      <c r="B3024">
        <v>5000</v>
      </c>
      <c r="C3024">
        <f>1.225 * (1 - 0.00000687559 * B3024) ^ 4.2561</f>
        <v>1.0555380742846066</v>
      </c>
      <c r="D3024">
        <f>E3024*(SQRT($C$2/C3024))</f>
        <v>150.82006664263821</v>
      </c>
      <c r="E3024">
        <v>140</v>
      </c>
      <c r="F3024">
        <v>987</v>
      </c>
      <c r="G3024">
        <v>2750</v>
      </c>
      <c r="H3024">
        <f>CONVERT(G3024,"HP","kW")</f>
        <v>2050.6746468512433</v>
      </c>
      <c r="I3024">
        <v>0.77610000000000001</v>
      </c>
      <c r="J3024">
        <v>1.1902999999999999</v>
      </c>
      <c r="K3024">
        <v>0.48499999999999999</v>
      </c>
      <c r="L3024">
        <v>0.44679999999999997</v>
      </c>
      <c r="M3024">
        <v>0.2913</v>
      </c>
      <c r="N3024">
        <f>CONVERT(O3024,"lbf","N")</f>
        <v>20512.529156612269</v>
      </c>
      <c r="O3024">
        <v>4611.3999999999996</v>
      </c>
      <c r="P3024">
        <f t="shared" si="47"/>
        <v>0.65196956132497763</v>
      </c>
    </row>
    <row r="3025" spans="1:16" hidden="1" x14ac:dyDescent="0.25">
      <c r="A3025">
        <v>0</v>
      </c>
      <c r="B3025">
        <v>5000</v>
      </c>
      <c r="C3025">
        <f>1.225 * (1 - 0.00000687559 * B3025) ^ 4.2561</f>
        <v>1.0555380742846066</v>
      </c>
      <c r="D3025">
        <f>E3025*(SQRT($C$2/C3025))</f>
        <v>215.45723806091175</v>
      </c>
      <c r="E3025">
        <v>200</v>
      </c>
      <c r="F3025">
        <v>987</v>
      </c>
      <c r="G3025">
        <v>2750</v>
      </c>
      <c r="H3025">
        <f>CONVERT(G3025,"HP","kW")</f>
        <v>2050.6746468512433</v>
      </c>
      <c r="I3025">
        <v>0.85609999999999997</v>
      </c>
      <c r="J3025">
        <v>1.7004999999999999</v>
      </c>
      <c r="K3025">
        <v>0.54090000000000005</v>
      </c>
      <c r="L3025">
        <v>0.44679999999999997</v>
      </c>
      <c r="M3025">
        <v>0.22489999999999999</v>
      </c>
      <c r="N3025">
        <f>CONVERT(O3025,"lbf","N")</f>
        <v>15838.337883296537</v>
      </c>
      <c r="O3025">
        <v>3560.6</v>
      </c>
      <c r="P3025">
        <f t="shared" si="47"/>
        <v>0.50335720680393914</v>
      </c>
    </row>
    <row r="3026" spans="1:16" hidden="1" x14ac:dyDescent="0.25">
      <c r="A3026">
        <v>0</v>
      </c>
      <c r="B3026">
        <v>5000</v>
      </c>
      <c r="C3026">
        <f>1.225 * (1 - 0.00000687559 * B3026) ^ 4.2561</f>
        <v>1.0555380742846066</v>
      </c>
      <c r="D3026">
        <f>E3026*(SQRT($C$2/C3026))</f>
        <v>237.00296186700291</v>
      </c>
      <c r="E3026">
        <v>220</v>
      </c>
      <c r="F3026">
        <v>987</v>
      </c>
      <c r="G3026">
        <v>2750</v>
      </c>
      <c r="H3026">
        <f>CONVERT(G3026,"HP","kW")</f>
        <v>2050.6746468512433</v>
      </c>
      <c r="I3026">
        <v>0.86950000000000005</v>
      </c>
      <c r="J3026">
        <v>1.8705000000000001</v>
      </c>
      <c r="K3026">
        <v>0.56200000000000006</v>
      </c>
      <c r="L3026">
        <v>0.44679999999999997</v>
      </c>
      <c r="M3026">
        <v>0.2077</v>
      </c>
      <c r="N3026">
        <f>CONVERT(O3026,"lbf","N")</f>
        <v>14624.418204491943</v>
      </c>
      <c r="O3026">
        <v>3287.7</v>
      </c>
      <c r="P3026">
        <f t="shared" si="47"/>
        <v>0.46486123545210389</v>
      </c>
    </row>
    <row r="3027" spans="1:16" hidden="1" x14ac:dyDescent="0.25">
      <c r="A3027">
        <v>0</v>
      </c>
      <c r="B3027">
        <v>5000</v>
      </c>
      <c r="C3027">
        <f>1.225 * (1 - 0.00000687559 * B3027) ^ 4.2561</f>
        <v>1.0555380742846066</v>
      </c>
      <c r="D3027">
        <f>E3027*(SQRT($C$2/C3027))</f>
        <v>258.5486856730941</v>
      </c>
      <c r="E3027">
        <v>240</v>
      </c>
      <c r="F3027">
        <v>987</v>
      </c>
      <c r="G3027">
        <v>2750</v>
      </c>
      <c r="H3027">
        <f>CONVERT(G3027,"HP","kW")</f>
        <v>2050.6746468512433</v>
      </c>
      <c r="I3027">
        <v>0.87860000000000005</v>
      </c>
      <c r="J3027">
        <v>2.0406</v>
      </c>
      <c r="K3027">
        <v>0.58420000000000005</v>
      </c>
      <c r="L3027">
        <v>0.44679999999999997</v>
      </c>
      <c r="M3027">
        <v>0.19239999999999999</v>
      </c>
      <c r="N3027">
        <f>CONVERT(O3027,"lbf","N")</f>
        <v>13546.614107114327</v>
      </c>
      <c r="O3027">
        <v>3045.4</v>
      </c>
      <c r="P3027">
        <f t="shared" si="47"/>
        <v>0.43061772605192478</v>
      </c>
    </row>
    <row r="3028" spans="1:16" hidden="1" x14ac:dyDescent="0.25">
      <c r="A3028">
        <v>0</v>
      </c>
      <c r="B3028">
        <v>5000</v>
      </c>
      <c r="C3028">
        <f>1.225 * (1 - 0.00000687559 * B3028) ^ 4.2561</f>
        <v>1.0555380742846066</v>
      </c>
      <c r="D3028">
        <f>E3028*(SQRT($C$2/C3028))</f>
        <v>280.09440947918529</v>
      </c>
      <c r="E3028">
        <v>260</v>
      </c>
      <c r="F3028">
        <v>987</v>
      </c>
      <c r="G3028">
        <v>2750</v>
      </c>
      <c r="H3028">
        <f>CONVERT(G3028,"HP","kW")</f>
        <v>2050.6746468512433</v>
      </c>
      <c r="I3028">
        <v>0.8841</v>
      </c>
      <c r="J3028">
        <v>2.2105999999999999</v>
      </c>
      <c r="K3028">
        <v>0.60729999999999995</v>
      </c>
      <c r="L3028">
        <v>0.44679999999999997</v>
      </c>
      <c r="M3028">
        <v>0.1787</v>
      </c>
      <c r="N3028">
        <f>CONVERT(O3028,"lbf","N")</f>
        <v>12582.684483087376</v>
      </c>
      <c r="O3028">
        <v>2828.7</v>
      </c>
      <c r="P3028">
        <f t="shared" si="47"/>
        <v>0.39995523724261417</v>
      </c>
    </row>
    <row r="3029" spans="1:16" hidden="1" x14ac:dyDescent="0.25">
      <c r="A3029">
        <v>0</v>
      </c>
      <c r="B3029">
        <v>5000</v>
      </c>
      <c r="C3029">
        <f>1.225 * (1 - 0.00000687559 * B3029) ^ 4.2561</f>
        <v>1.0555380742846066</v>
      </c>
      <c r="D3029">
        <f>E3029*(SQRT($C$2/C3029))</f>
        <v>43.09144761218235</v>
      </c>
      <c r="E3029">
        <v>40</v>
      </c>
      <c r="F3029">
        <v>987</v>
      </c>
      <c r="G3029">
        <v>2750</v>
      </c>
      <c r="H3029">
        <f>CONVERT(G3029,"HP","kW")</f>
        <v>2050.6746468512433</v>
      </c>
      <c r="I3029">
        <v>0.14460000000000001</v>
      </c>
      <c r="J3029">
        <v>0.34010000000000001</v>
      </c>
      <c r="K3029">
        <v>0.42899999999999999</v>
      </c>
      <c r="L3029">
        <v>0.44690000000000002</v>
      </c>
      <c r="M3029">
        <v>0.19</v>
      </c>
      <c r="N3029">
        <f>CONVERT(O3029,"lbf","N")</f>
        <v>13374.467930603745</v>
      </c>
      <c r="O3029">
        <v>3006.7</v>
      </c>
      <c r="P3029">
        <f t="shared" si="47"/>
        <v>0.4251510405012307</v>
      </c>
    </row>
    <row r="3030" spans="1:16" hidden="1" x14ac:dyDescent="0.25">
      <c r="A3030">
        <v>0</v>
      </c>
      <c r="B3030">
        <v>5000</v>
      </c>
      <c r="C3030">
        <f>1.225 * (1 - 0.00000687559 * B3030) ^ 4.2561</f>
        <v>1.0555380742846066</v>
      </c>
      <c r="D3030">
        <f>E3030*(SQRT($C$2/C3030))</f>
        <v>107.72861903045587</v>
      </c>
      <c r="E3030">
        <v>100</v>
      </c>
      <c r="F3030">
        <v>987</v>
      </c>
      <c r="G3030">
        <v>2750</v>
      </c>
      <c r="H3030">
        <f>CONVERT(G3030,"HP","kW")</f>
        <v>2050.6746468512433</v>
      </c>
      <c r="I3030">
        <v>0.57799999999999996</v>
      </c>
      <c r="J3030">
        <v>0.85019999999999996</v>
      </c>
      <c r="K3030">
        <v>0.45579999999999998</v>
      </c>
      <c r="L3030">
        <v>0.44690000000000002</v>
      </c>
      <c r="M3030">
        <v>0.30380000000000001</v>
      </c>
      <c r="N3030">
        <f>CONVERT(O3030,"lbf","N")</f>
        <v>21389.273636980113</v>
      </c>
      <c r="O3030">
        <v>4808.5</v>
      </c>
      <c r="P3030">
        <f t="shared" si="47"/>
        <v>0.67979413739091521</v>
      </c>
    </row>
    <row r="3031" spans="1:16" hidden="1" x14ac:dyDescent="0.25">
      <c r="A3031">
        <v>0</v>
      </c>
      <c r="B3031">
        <v>5000</v>
      </c>
      <c r="C3031">
        <f>1.225 * (1 - 0.00000687559 * B3031) ^ 4.2561</f>
        <v>1.0555380742846066</v>
      </c>
      <c r="D3031">
        <f>E3031*(SQRT($C$2/C3031))</f>
        <v>172.3657904487294</v>
      </c>
      <c r="E3031">
        <v>160</v>
      </c>
      <c r="F3031">
        <v>987</v>
      </c>
      <c r="G3031">
        <v>2750</v>
      </c>
      <c r="H3031">
        <f>CONVERT(G3031,"HP","kW")</f>
        <v>2050.6746468512433</v>
      </c>
      <c r="I3031">
        <v>0.81159999999999999</v>
      </c>
      <c r="J3031">
        <v>1.3604000000000001</v>
      </c>
      <c r="K3031">
        <v>0.50229999999999997</v>
      </c>
      <c r="L3031">
        <v>0.44690000000000002</v>
      </c>
      <c r="M3031">
        <v>0.2666</v>
      </c>
      <c r="N3031">
        <f>CONVERT(O3031,"lbf","N")</f>
        <v>18768.826283430153</v>
      </c>
      <c r="O3031">
        <v>4219.3999999999996</v>
      </c>
      <c r="P3031">
        <f t="shared" si="47"/>
        <v>0.59655403893488479</v>
      </c>
    </row>
    <row r="3032" spans="1:16" hidden="1" x14ac:dyDescent="0.25">
      <c r="A3032">
        <v>0</v>
      </c>
      <c r="B3032">
        <v>30000</v>
      </c>
      <c r="C3032">
        <f>1.225 * (1 - 0.00000687559 * B3032) ^ 4.2561</f>
        <v>0.45828836225470948</v>
      </c>
      <c r="D3032">
        <f>E3032*(SQRT($C$2/C3032))</f>
        <v>425.08127823858405</v>
      </c>
      <c r="E3032">
        <v>260</v>
      </c>
      <c r="F3032">
        <v>1215</v>
      </c>
      <c r="G3032">
        <v>2250</v>
      </c>
      <c r="H3032">
        <f>CONVERT(G3032,"HP","kW")</f>
        <v>1677.8247110601083</v>
      </c>
      <c r="I3032">
        <v>0.47470000000000001</v>
      </c>
      <c r="J3032">
        <v>2.7252999999999998</v>
      </c>
      <c r="K3032">
        <v>0.92649999999999999</v>
      </c>
      <c r="L3032">
        <v>0.4511</v>
      </c>
      <c r="M3032">
        <v>7.8600000000000003E-2</v>
      </c>
      <c r="N3032">
        <f>CONVERT(O3032,"lbf","N")</f>
        <v>3642.6486807368237</v>
      </c>
      <c r="O3032">
        <v>818.9</v>
      </c>
      <c r="P3032">
        <f t="shared" si="47"/>
        <v>0.17424074484593216</v>
      </c>
    </row>
    <row r="3033" spans="1:16" hidden="1" x14ac:dyDescent="0.25">
      <c r="A3033">
        <v>0</v>
      </c>
      <c r="B3033">
        <v>30000</v>
      </c>
      <c r="C3033">
        <f>1.225 * (1 - 0.00000687559 * B3033) ^ 4.2561</f>
        <v>0.45828836225470948</v>
      </c>
      <c r="D3033">
        <f>E3033*(SQRT($C$2/C3033))</f>
        <v>65.397119729012928</v>
      </c>
      <c r="E3033">
        <v>40</v>
      </c>
      <c r="F3033">
        <v>1215</v>
      </c>
      <c r="G3033">
        <v>2250</v>
      </c>
      <c r="H3033">
        <f>CONVERT(G3033,"HP","kW")</f>
        <v>1677.8247110601083</v>
      </c>
      <c r="I3033">
        <v>0.21299999999999999</v>
      </c>
      <c r="J3033">
        <v>0.41930000000000001</v>
      </c>
      <c r="K3033">
        <v>0.58509999999999995</v>
      </c>
      <c r="L3033">
        <v>0.45129999999999998</v>
      </c>
      <c r="M3033">
        <v>0.2293</v>
      </c>
      <c r="N3033">
        <f>CONVERT(O3033,"lbf","N")</f>
        <v>10624.577328049705</v>
      </c>
      <c r="O3033">
        <v>2388.5</v>
      </c>
      <c r="P3033">
        <f t="shared" si="47"/>
        <v>0.50808774651008204</v>
      </c>
    </row>
    <row r="3034" spans="1:16" hidden="1" x14ac:dyDescent="0.25">
      <c r="A3034">
        <v>0</v>
      </c>
      <c r="B3034">
        <v>30000</v>
      </c>
      <c r="C3034">
        <f>1.225 * (1 - 0.00000687559 * B3034) ^ 4.2561</f>
        <v>0.45828836225470948</v>
      </c>
      <c r="D3034">
        <f>E3034*(SQRT($C$2/C3034))</f>
        <v>98.095679593519407</v>
      </c>
      <c r="E3034">
        <v>60</v>
      </c>
      <c r="F3034">
        <v>1215</v>
      </c>
      <c r="G3034">
        <v>2250</v>
      </c>
      <c r="H3034">
        <f>CONVERT(G3034,"HP","kW")</f>
        <v>1677.8247110601083</v>
      </c>
      <c r="I3034">
        <v>0.35880000000000001</v>
      </c>
      <c r="J3034">
        <v>0.62890000000000001</v>
      </c>
      <c r="K3034">
        <v>0.59919999999999995</v>
      </c>
      <c r="L3034">
        <v>0.45129999999999998</v>
      </c>
      <c r="M3034">
        <v>0.25750000000000001</v>
      </c>
      <c r="N3034">
        <f>CONVERT(O3034,"lbf","N")</f>
        <v>11929.685549967136</v>
      </c>
      <c r="O3034">
        <v>2681.9</v>
      </c>
      <c r="P3034">
        <f t="shared" si="47"/>
        <v>0.57057389762907162</v>
      </c>
    </row>
    <row r="3035" spans="1:16" hidden="1" x14ac:dyDescent="0.25">
      <c r="A3035">
        <v>0</v>
      </c>
      <c r="B3035">
        <v>30000</v>
      </c>
      <c r="C3035">
        <f>1.225 * (1 - 0.00000687559 * B3035) ^ 4.2561</f>
        <v>0.45828836225470948</v>
      </c>
      <c r="D3035">
        <f>E3035*(SQRT($C$2/C3035))</f>
        <v>130.79423945802586</v>
      </c>
      <c r="E3035">
        <v>80</v>
      </c>
      <c r="F3035">
        <v>1215</v>
      </c>
      <c r="G3035">
        <v>2250</v>
      </c>
      <c r="H3035">
        <f>CONVERT(G3035,"HP","kW")</f>
        <v>1677.8247110601083</v>
      </c>
      <c r="I3035">
        <v>0.53449999999999998</v>
      </c>
      <c r="J3035">
        <v>0.83860000000000001</v>
      </c>
      <c r="K3035">
        <v>0.61760000000000004</v>
      </c>
      <c r="L3035">
        <v>0.45129999999999998</v>
      </c>
      <c r="M3035">
        <v>0.28760000000000002</v>
      </c>
      <c r="N3035">
        <f>CONVERT(O3035,"lbf","N")</f>
        <v>13327.76160364351</v>
      </c>
      <c r="O3035">
        <v>2996.2</v>
      </c>
      <c r="P3035">
        <f t="shared" si="47"/>
        <v>0.63727010857522715</v>
      </c>
    </row>
    <row r="3036" spans="1:16" hidden="1" x14ac:dyDescent="0.25">
      <c r="A3036">
        <v>0</v>
      </c>
      <c r="B3036">
        <v>30000</v>
      </c>
      <c r="C3036">
        <f>1.225 * (1 - 0.00000687559 * B3036) ^ 4.2561</f>
        <v>0.45828836225470948</v>
      </c>
      <c r="D3036">
        <f>E3036*(SQRT($C$2/C3036))</f>
        <v>163.49279932253233</v>
      </c>
      <c r="E3036">
        <v>100</v>
      </c>
      <c r="F3036">
        <v>1215</v>
      </c>
      <c r="G3036">
        <v>2250</v>
      </c>
      <c r="H3036">
        <f>CONVERT(G3036,"HP","kW")</f>
        <v>1677.8247110601083</v>
      </c>
      <c r="I3036">
        <v>0.70279999999999998</v>
      </c>
      <c r="J3036">
        <v>1.0482</v>
      </c>
      <c r="K3036">
        <v>0.64049999999999996</v>
      </c>
      <c r="L3036">
        <v>0.45129999999999998</v>
      </c>
      <c r="M3036">
        <v>0.30259999999999998</v>
      </c>
      <c r="N3036">
        <f>CONVERT(O3036,"lbf","N")</f>
        <v>14019.904886978045</v>
      </c>
      <c r="O3036">
        <v>3151.8</v>
      </c>
      <c r="P3036">
        <f t="shared" si="47"/>
        <v>0.67050742300022159</v>
      </c>
    </row>
    <row r="3037" spans="1:16" hidden="1" x14ac:dyDescent="0.25">
      <c r="A3037">
        <v>0</v>
      </c>
      <c r="B3037">
        <v>30000</v>
      </c>
      <c r="C3037">
        <f>1.225 * (1 - 0.00000687559 * B3037) ^ 4.2561</f>
        <v>0.45828836225470948</v>
      </c>
      <c r="D3037">
        <f>E3037*(SQRT($C$2/C3037))</f>
        <v>228.88991905154526</v>
      </c>
      <c r="E3037">
        <v>140</v>
      </c>
      <c r="F3037">
        <v>1215</v>
      </c>
      <c r="G3037">
        <v>2250</v>
      </c>
      <c r="H3037">
        <f>CONVERT(G3037,"HP","kW")</f>
        <v>1677.8247110601083</v>
      </c>
      <c r="I3037">
        <v>0.8196</v>
      </c>
      <c r="J3037">
        <v>1.4675</v>
      </c>
      <c r="K3037">
        <v>0.69750000000000001</v>
      </c>
      <c r="L3037">
        <v>0.45129999999999998</v>
      </c>
      <c r="M3037">
        <v>0.25209999999999999</v>
      </c>
      <c r="N3037">
        <f>CONVERT(O3037,"lbf","N")</f>
        <v>11678.805850866444</v>
      </c>
      <c r="O3037">
        <v>2625.5</v>
      </c>
      <c r="P3037">
        <f t="shared" si="47"/>
        <v>0.55860846443607359</v>
      </c>
    </row>
    <row r="3038" spans="1:16" hidden="1" x14ac:dyDescent="0.25">
      <c r="A3038">
        <v>0</v>
      </c>
      <c r="B3038">
        <v>30000</v>
      </c>
      <c r="C3038">
        <f>1.225 * (1 - 0.00000687559 * B3038) ^ 4.2561</f>
        <v>0.45828836225470948</v>
      </c>
      <c r="D3038">
        <f>E3038*(SQRT($C$2/C3038))</f>
        <v>294.28703878055819</v>
      </c>
      <c r="E3038">
        <v>180</v>
      </c>
      <c r="F3038">
        <v>1215</v>
      </c>
      <c r="G3038">
        <v>2250</v>
      </c>
      <c r="H3038">
        <f>CONVERT(G3038,"HP","kW")</f>
        <v>1677.8247110601083</v>
      </c>
      <c r="I3038">
        <v>0.84279999999999999</v>
      </c>
      <c r="J3038">
        <v>1.8867</v>
      </c>
      <c r="K3038">
        <v>0.76559999999999995</v>
      </c>
      <c r="L3038">
        <v>0.45129999999999998</v>
      </c>
      <c r="M3038">
        <v>0.2016</v>
      </c>
      <c r="N3038">
        <f>CONVERT(O3038,"lbf","N")</f>
        <v>9341.2653920470493</v>
      </c>
      <c r="O3038">
        <v>2100</v>
      </c>
      <c r="P3038">
        <f t="shared" si="47"/>
        <v>0.44670950587192559</v>
      </c>
    </row>
    <row r="3039" spans="1:16" hidden="1" x14ac:dyDescent="0.25">
      <c r="A3039">
        <v>0</v>
      </c>
      <c r="B3039">
        <v>30000</v>
      </c>
      <c r="C3039">
        <f>1.225 * (1 - 0.00000687559 * B3039) ^ 4.2561</f>
        <v>0.45828836225470948</v>
      </c>
      <c r="D3039">
        <f>E3039*(SQRT($C$2/C3039))</f>
        <v>326.98559864506467</v>
      </c>
      <c r="E3039">
        <v>200</v>
      </c>
      <c r="F3039">
        <v>1215</v>
      </c>
      <c r="G3039">
        <v>2250</v>
      </c>
      <c r="H3039">
        <f>CONVERT(G3039,"HP","kW")</f>
        <v>1677.8247110601083</v>
      </c>
      <c r="I3039">
        <v>0.82399999999999995</v>
      </c>
      <c r="J3039">
        <v>2.0964</v>
      </c>
      <c r="K3039">
        <v>0.80320000000000003</v>
      </c>
      <c r="L3039">
        <v>0.45129999999999998</v>
      </c>
      <c r="M3039">
        <v>0.1774</v>
      </c>
      <c r="N3039">
        <f>CONVERT(O3039,"lbf","N")</f>
        <v>8218.9790785168261</v>
      </c>
      <c r="O3039">
        <v>1847.7</v>
      </c>
      <c r="P3039">
        <f t="shared" si="47"/>
        <v>0.39308663859960119</v>
      </c>
    </row>
    <row r="3040" spans="1:16" hidden="1" x14ac:dyDescent="0.25">
      <c r="A3040">
        <v>0</v>
      </c>
      <c r="B3040">
        <v>30000</v>
      </c>
      <c r="C3040">
        <f>1.225 * (1 - 0.00000687559 * B3040) ^ 4.2561</f>
        <v>0.45828836225470948</v>
      </c>
      <c r="D3040">
        <f>E3040*(SQRT($C$2/C3040))</f>
        <v>359.68415850957115</v>
      </c>
      <c r="E3040">
        <v>220</v>
      </c>
      <c r="F3040">
        <v>1215</v>
      </c>
      <c r="G3040">
        <v>2250</v>
      </c>
      <c r="H3040">
        <f>CONVERT(G3040,"HP","kW")</f>
        <v>1677.8247110601083</v>
      </c>
      <c r="I3040">
        <v>0.77270000000000005</v>
      </c>
      <c r="J3040">
        <v>2.306</v>
      </c>
      <c r="K3040">
        <v>0.8427</v>
      </c>
      <c r="L3040">
        <v>0.45129999999999998</v>
      </c>
      <c r="M3040">
        <v>0.1512</v>
      </c>
      <c r="N3040">
        <f>CONVERT(O3040,"lbf","N")</f>
        <v>7006.3938661968132</v>
      </c>
      <c r="O3040">
        <v>1575.1</v>
      </c>
      <c r="P3040">
        <f t="shared" si="47"/>
        <v>0.33503212940394417</v>
      </c>
    </row>
    <row r="3041" spans="1:16" hidden="1" x14ac:dyDescent="0.25">
      <c r="A3041">
        <v>0</v>
      </c>
      <c r="B3041">
        <v>30000</v>
      </c>
      <c r="C3041">
        <f>1.225 * (1 - 0.00000687559 * B3041) ^ 4.2561</f>
        <v>0.45828836225470948</v>
      </c>
      <c r="D3041">
        <f>E3041*(SQRT($C$2/C3041))</f>
        <v>0</v>
      </c>
      <c r="E3041">
        <v>0</v>
      </c>
      <c r="F3041">
        <v>1215</v>
      </c>
      <c r="G3041">
        <v>2250</v>
      </c>
      <c r="H3041">
        <f>CONVERT(G3041,"HP","kW")</f>
        <v>1677.8247110601083</v>
      </c>
      <c r="I3041">
        <v>0</v>
      </c>
      <c r="J3041">
        <v>0</v>
      </c>
      <c r="K3041">
        <v>0.56840000000000002</v>
      </c>
      <c r="L3041">
        <v>0.45140000000000002</v>
      </c>
      <c r="M3041">
        <v>0.19980000000000001</v>
      </c>
      <c r="N3041">
        <f>CONVERT(O3041,"lbf","N")</f>
        <v>9256.3043591955739</v>
      </c>
      <c r="O3041">
        <v>2080.9</v>
      </c>
      <c r="P3041">
        <f t="shared" si="47"/>
        <v>0.44262295081967212</v>
      </c>
    </row>
    <row r="3042" spans="1:16" hidden="1" x14ac:dyDescent="0.25">
      <c r="A3042">
        <v>0</v>
      </c>
      <c r="B3042">
        <v>30000</v>
      </c>
      <c r="C3042">
        <f>1.225 * (1 - 0.00000687559 * B3042) ^ 4.2561</f>
        <v>0.45828836225470948</v>
      </c>
      <c r="D3042">
        <f>E3042*(SQRT($C$2/C3042))</f>
        <v>32.698559864506464</v>
      </c>
      <c r="E3042">
        <v>20</v>
      </c>
      <c r="F3042">
        <v>1215</v>
      </c>
      <c r="G3042">
        <v>2250</v>
      </c>
      <c r="H3042">
        <f>CONVERT(G3042,"HP","kW")</f>
        <v>1677.8247110601083</v>
      </c>
      <c r="I3042">
        <v>9.7299999999999998E-2</v>
      </c>
      <c r="J3042">
        <v>0.20960000000000001</v>
      </c>
      <c r="K3042">
        <v>0.57520000000000004</v>
      </c>
      <c r="L3042">
        <v>0.45140000000000002</v>
      </c>
      <c r="M3042">
        <v>0.20949999999999999</v>
      </c>
      <c r="N3042">
        <f>CONVERT(O3042,"lbf","N")</f>
        <v>9707.7988531445153</v>
      </c>
      <c r="O3042">
        <v>2182.4</v>
      </c>
      <c r="P3042">
        <f t="shared" si="47"/>
        <v>0.46411165263624277</v>
      </c>
    </row>
    <row r="3043" spans="1:16" hidden="1" x14ac:dyDescent="0.25">
      <c r="A3043">
        <v>0</v>
      </c>
      <c r="B3043">
        <v>30000</v>
      </c>
      <c r="C3043">
        <f>1.225 * (1 - 0.00000687559 * B3043) ^ 4.2561</f>
        <v>0.45828836225470948</v>
      </c>
      <c r="D3043">
        <f>E3043*(SQRT($C$2/C3043))</f>
        <v>392.38271837407763</v>
      </c>
      <c r="E3043">
        <v>240</v>
      </c>
      <c r="F3043">
        <v>1215</v>
      </c>
      <c r="G3043">
        <v>2250</v>
      </c>
      <c r="H3043">
        <f>CONVERT(G3043,"HP","kW")</f>
        <v>1677.8247110601083</v>
      </c>
      <c r="I3043">
        <v>0.6613</v>
      </c>
      <c r="J3043">
        <v>2.5156999999999998</v>
      </c>
      <c r="K3043">
        <v>0.88390000000000002</v>
      </c>
      <c r="L3043">
        <v>0.45140000000000002</v>
      </c>
      <c r="M3043">
        <v>0.1187</v>
      </c>
      <c r="N3043">
        <f>CONVERT(O3043,"lbf","N")</f>
        <v>5496.6674499773999</v>
      </c>
      <c r="O3043">
        <v>1235.7</v>
      </c>
      <c r="P3043">
        <f t="shared" si="47"/>
        <v>0.26295968099246786</v>
      </c>
    </row>
    <row r="3044" spans="1:16" hidden="1" x14ac:dyDescent="0.25">
      <c r="A3044">
        <v>0</v>
      </c>
      <c r="B3044">
        <v>30000</v>
      </c>
      <c r="C3044">
        <f>1.225 * (1 - 0.00000687559 * B3044) ^ 4.2561</f>
        <v>0.45828836225470948</v>
      </c>
      <c r="D3044">
        <f>E3044*(SQRT($C$2/C3044))</f>
        <v>261.58847891605171</v>
      </c>
      <c r="E3044">
        <v>160</v>
      </c>
      <c r="F3044">
        <v>1215</v>
      </c>
      <c r="G3044">
        <v>2250</v>
      </c>
      <c r="H3044">
        <f>CONVERT(G3044,"HP","kW")</f>
        <v>1677.8247110601083</v>
      </c>
      <c r="I3044">
        <v>0.84260000000000002</v>
      </c>
      <c r="J3044">
        <v>1.6771</v>
      </c>
      <c r="K3044">
        <v>0.73040000000000005</v>
      </c>
      <c r="L3044">
        <v>0.45169999999999999</v>
      </c>
      <c r="M3044">
        <v>0.22689999999999999</v>
      </c>
      <c r="N3044">
        <f>CONVERT(O3044,"lbf","N")</f>
        <v>10505.80981092225</v>
      </c>
      <c r="O3044">
        <v>2361.8000000000002</v>
      </c>
      <c r="P3044">
        <f t="shared" si="47"/>
        <v>0.50232455169360191</v>
      </c>
    </row>
    <row r="3045" spans="1:16" hidden="1" x14ac:dyDescent="0.25">
      <c r="A3045">
        <v>0</v>
      </c>
      <c r="B3045">
        <v>30000</v>
      </c>
      <c r="C3045">
        <f>1.225 * (1 - 0.00000687559 * B3045) ^ 4.2561</f>
        <v>0.45828836225470948</v>
      </c>
      <c r="D3045">
        <f>E3045*(SQRT($C$2/C3045))</f>
        <v>196.19135918703881</v>
      </c>
      <c r="E3045">
        <v>120</v>
      </c>
      <c r="F3045">
        <v>1215</v>
      </c>
      <c r="G3045">
        <v>2250</v>
      </c>
      <c r="H3045">
        <f>CONVERT(G3045,"HP","kW")</f>
        <v>1677.8247110601083</v>
      </c>
      <c r="I3045">
        <v>0.77739999999999998</v>
      </c>
      <c r="J3045">
        <v>1.2578</v>
      </c>
      <c r="K3045">
        <v>0.66739999999999999</v>
      </c>
      <c r="L3045">
        <v>0.45190000000000002</v>
      </c>
      <c r="M3045">
        <v>0.27929999999999999</v>
      </c>
      <c r="N3045">
        <f>CONVERT(O3045,"lbf","N")</f>
        <v>12922.973436654804</v>
      </c>
      <c r="O3045">
        <v>2905.2</v>
      </c>
      <c r="P3045">
        <f t="shared" si="47"/>
        <v>0.61805709227705241</v>
      </c>
    </row>
    <row r="3046" spans="1:16" hidden="1" x14ac:dyDescent="0.25">
      <c r="A3046">
        <v>0</v>
      </c>
      <c r="B3046">
        <v>20000</v>
      </c>
      <c r="C3046">
        <f>1.225 * (1 - 0.00000687559 * B3046) ^ 4.2561</f>
        <v>0.65267221054298263</v>
      </c>
      <c r="D3046">
        <f>E3046*(SQRT($C$2/C3046))</f>
        <v>219.19995777331309</v>
      </c>
      <c r="E3046">
        <v>160</v>
      </c>
      <c r="F3046">
        <v>1150</v>
      </c>
      <c r="G3046">
        <v>2750</v>
      </c>
      <c r="H3046">
        <f>CONVERT(G3046,"HP","kW")</f>
        <v>2050.6746468512433</v>
      </c>
      <c r="I3046">
        <v>0.82569999999999999</v>
      </c>
      <c r="J3046">
        <v>1.4847999999999999</v>
      </c>
      <c r="K3046">
        <v>0.63580000000000003</v>
      </c>
      <c r="L3046">
        <v>0.45639999999999997</v>
      </c>
      <c r="M3046">
        <v>0.25380000000000003</v>
      </c>
      <c r="N3046">
        <f>CONVERT(O3046,"lbf","N")</f>
        <v>15015.861706634869</v>
      </c>
      <c r="O3046">
        <v>3375.7</v>
      </c>
      <c r="P3046">
        <f t="shared" si="47"/>
        <v>0.55609114811568805</v>
      </c>
    </row>
    <row r="3047" spans="1:16" hidden="1" x14ac:dyDescent="0.25">
      <c r="A3047">
        <v>0</v>
      </c>
      <c r="B3047">
        <v>20000</v>
      </c>
      <c r="C3047">
        <f>1.225 * (1 - 0.00000687559 * B3047) ^ 4.2561</f>
        <v>0.65267221054298263</v>
      </c>
      <c r="D3047">
        <f>E3047*(SQRT($C$2/C3047))</f>
        <v>0</v>
      </c>
      <c r="E3047">
        <v>0</v>
      </c>
      <c r="F3047">
        <v>1150</v>
      </c>
      <c r="G3047">
        <v>2750</v>
      </c>
      <c r="H3047">
        <f>CONVERT(G3047,"HP","kW")</f>
        <v>2050.6746468512433</v>
      </c>
      <c r="I3047">
        <v>0</v>
      </c>
      <c r="J3047">
        <v>0</v>
      </c>
      <c r="K3047">
        <v>0.51690000000000003</v>
      </c>
      <c r="L3047">
        <v>0.45679999999999998</v>
      </c>
      <c r="M3047">
        <v>0.1812</v>
      </c>
      <c r="N3047">
        <f>CONVERT(O3047,"lbf","N")</f>
        <v>10713.096938193388</v>
      </c>
      <c r="O3047">
        <v>2408.4</v>
      </c>
      <c r="P3047">
        <f t="shared" si="47"/>
        <v>0.39667250437828372</v>
      </c>
    </row>
    <row r="3048" spans="1:16" hidden="1" x14ac:dyDescent="0.25">
      <c r="A3048">
        <v>0</v>
      </c>
      <c r="B3048">
        <v>20000</v>
      </c>
      <c r="C3048">
        <f>1.225 * (1 - 0.00000687559 * B3048) ^ 4.2561</f>
        <v>0.65267221054298263</v>
      </c>
      <c r="D3048">
        <f>E3048*(SQRT($C$2/C3048))</f>
        <v>27.399994721664136</v>
      </c>
      <c r="E3048">
        <v>20</v>
      </c>
      <c r="F3048">
        <v>1150</v>
      </c>
      <c r="G3048">
        <v>2750</v>
      </c>
      <c r="H3048">
        <f>CONVERT(G3048,"HP","kW")</f>
        <v>2050.6746468512433</v>
      </c>
      <c r="I3048">
        <v>7.7200000000000005E-2</v>
      </c>
      <c r="J3048">
        <v>0.18559999999999999</v>
      </c>
      <c r="K3048">
        <v>0.52239999999999998</v>
      </c>
      <c r="L3048">
        <v>0.45679999999999998</v>
      </c>
      <c r="M3048">
        <v>0.18990000000000001</v>
      </c>
      <c r="N3048">
        <f>CONVERT(O3048,"lbf","N")</f>
        <v>11227.756179079028</v>
      </c>
      <c r="O3048">
        <v>2524.1</v>
      </c>
      <c r="P3048">
        <f t="shared" si="47"/>
        <v>0.41571803852889672</v>
      </c>
    </row>
    <row r="3049" spans="1:16" hidden="1" x14ac:dyDescent="0.25">
      <c r="A3049">
        <v>0</v>
      </c>
      <c r="B3049">
        <v>20000</v>
      </c>
      <c r="C3049">
        <f>1.225 * (1 - 0.00000687559 * B3049) ^ 4.2561</f>
        <v>0.65267221054298263</v>
      </c>
      <c r="D3049">
        <f>E3049*(SQRT($C$2/C3049))</f>
        <v>54.799989443328272</v>
      </c>
      <c r="E3049">
        <v>40</v>
      </c>
      <c r="F3049">
        <v>1150</v>
      </c>
      <c r="G3049">
        <v>2750</v>
      </c>
      <c r="H3049">
        <f>CONVERT(G3049,"HP","kW")</f>
        <v>2050.6746468512433</v>
      </c>
      <c r="I3049">
        <v>0.17</v>
      </c>
      <c r="J3049">
        <v>0.37119999999999997</v>
      </c>
      <c r="K3049">
        <v>0.52969999999999995</v>
      </c>
      <c r="L3049">
        <v>0.45679999999999998</v>
      </c>
      <c r="M3049">
        <v>0.2092</v>
      </c>
      <c r="N3049">
        <f>CONVERT(O3049,"lbf","N")</f>
        <v>12367.835379070293</v>
      </c>
      <c r="O3049">
        <v>2780.4</v>
      </c>
      <c r="P3049">
        <f t="shared" si="47"/>
        <v>0.45796847635726795</v>
      </c>
    </row>
    <row r="3050" spans="1:16" hidden="1" x14ac:dyDescent="0.25">
      <c r="A3050">
        <v>0</v>
      </c>
      <c r="B3050">
        <v>20000</v>
      </c>
      <c r="C3050">
        <f>1.225 * (1 - 0.00000687559 * B3050) ^ 4.2561</f>
        <v>0.65267221054298263</v>
      </c>
      <c r="D3050">
        <f>E3050*(SQRT($C$2/C3050))</f>
        <v>136.99997360832069</v>
      </c>
      <c r="E3050">
        <v>100</v>
      </c>
      <c r="F3050">
        <v>1150</v>
      </c>
      <c r="G3050">
        <v>2750</v>
      </c>
      <c r="H3050">
        <f>CONVERT(G3050,"HP","kW")</f>
        <v>2050.6746468512433</v>
      </c>
      <c r="I3050">
        <v>0.62760000000000005</v>
      </c>
      <c r="J3050">
        <v>0.92800000000000005</v>
      </c>
      <c r="K3050">
        <v>0.56910000000000005</v>
      </c>
      <c r="L3050">
        <v>0.45679999999999998</v>
      </c>
      <c r="M3050">
        <v>0.30890000000000001</v>
      </c>
      <c r="N3050">
        <f>CONVERT(O3050,"lbf","N")</f>
        <v>18262.173841451982</v>
      </c>
      <c r="O3050">
        <v>4105.5</v>
      </c>
      <c r="P3050">
        <f t="shared" si="47"/>
        <v>0.67622591943957977</v>
      </c>
    </row>
    <row r="3051" spans="1:16" hidden="1" x14ac:dyDescent="0.25">
      <c r="A3051">
        <v>0</v>
      </c>
      <c r="B3051">
        <v>20000</v>
      </c>
      <c r="C3051">
        <f>1.225 * (1 - 0.00000687559 * B3051) ^ 4.2561</f>
        <v>0.65267221054298263</v>
      </c>
      <c r="D3051">
        <f>E3051*(SQRT($C$2/C3051))</f>
        <v>164.3999683299848</v>
      </c>
      <c r="E3051">
        <v>120</v>
      </c>
      <c r="F3051">
        <v>1150</v>
      </c>
      <c r="G3051">
        <v>2750</v>
      </c>
      <c r="H3051">
        <f>CONVERT(G3051,"HP","kW")</f>
        <v>2050.6746468512433</v>
      </c>
      <c r="I3051">
        <v>0.73340000000000005</v>
      </c>
      <c r="J3051">
        <v>1.1135999999999999</v>
      </c>
      <c r="K3051">
        <v>0.58879999999999999</v>
      </c>
      <c r="L3051">
        <v>0.45679999999999998</v>
      </c>
      <c r="M3051">
        <v>0.3009</v>
      </c>
      <c r="N3051">
        <f>CONVERT(O3051,"lbf","N")</f>
        <v>17783.100373488429</v>
      </c>
      <c r="O3051">
        <v>3997.8</v>
      </c>
      <c r="P3051">
        <f t="shared" si="47"/>
        <v>0.6587127845884414</v>
      </c>
    </row>
    <row r="3052" spans="1:16" hidden="1" x14ac:dyDescent="0.25">
      <c r="A3052">
        <v>0</v>
      </c>
      <c r="B3052">
        <v>20000</v>
      </c>
      <c r="C3052">
        <f>1.225 * (1 - 0.00000687559 * B3052) ^ 4.2561</f>
        <v>0.65267221054298263</v>
      </c>
      <c r="D3052">
        <f>E3052*(SQRT($C$2/C3052))</f>
        <v>246.59995249497723</v>
      </c>
      <c r="E3052">
        <v>180</v>
      </c>
      <c r="F3052">
        <v>1150</v>
      </c>
      <c r="G3052">
        <v>2750</v>
      </c>
      <c r="H3052">
        <f>CONVERT(G3052,"HP","kW")</f>
        <v>2050.6746468512433</v>
      </c>
      <c r="I3052">
        <v>0.84830000000000005</v>
      </c>
      <c r="J3052">
        <v>1.6704000000000001</v>
      </c>
      <c r="K3052">
        <v>0.66220000000000001</v>
      </c>
      <c r="L3052">
        <v>0.45679999999999998</v>
      </c>
      <c r="M3052">
        <v>0.23200000000000001</v>
      </c>
      <c r="N3052">
        <f>CONVERT(O3052,"lbf","N")</f>
        <v>13712.977595525072</v>
      </c>
      <c r="O3052">
        <v>3082.8</v>
      </c>
      <c r="P3052">
        <f t="shared" si="47"/>
        <v>0.50788091068301233</v>
      </c>
    </row>
    <row r="3053" spans="1:16" hidden="1" x14ac:dyDescent="0.25">
      <c r="A3053">
        <v>0</v>
      </c>
      <c r="B3053">
        <v>20000</v>
      </c>
      <c r="C3053">
        <f>1.225 * (1 - 0.00000687559 * B3053) ^ 4.2561</f>
        <v>0.65267221054298263</v>
      </c>
      <c r="D3053">
        <f>E3053*(SQRT($C$2/C3053))</f>
        <v>273.99994721664137</v>
      </c>
      <c r="E3053">
        <v>200</v>
      </c>
      <c r="F3053">
        <v>1150</v>
      </c>
      <c r="G3053">
        <v>2750</v>
      </c>
      <c r="H3053">
        <f>CONVERT(G3053,"HP","kW")</f>
        <v>2050.6746468512433</v>
      </c>
      <c r="I3053">
        <v>0.86409999999999998</v>
      </c>
      <c r="J3053">
        <v>1.8560000000000001</v>
      </c>
      <c r="K3053">
        <v>0.6905</v>
      </c>
      <c r="L3053">
        <v>0.45679999999999998</v>
      </c>
      <c r="M3053">
        <v>0.2127</v>
      </c>
      <c r="N3053">
        <f>CONVERT(O3053,"lbf","N")</f>
        <v>12571.563929049225</v>
      </c>
      <c r="O3053">
        <v>2826.2</v>
      </c>
      <c r="P3053">
        <f t="shared" si="47"/>
        <v>0.46563047285464099</v>
      </c>
    </row>
    <row r="3054" spans="1:16" hidden="1" x14ac:dyDescent="0.25">
      <c r="A3054">
        <v>0</v>
      </c>
      <c r="B3054">
        <v>20000</v>
      </c>
      <c r="C3054">
        <f>1.225 * (1 - 0.00000687559 * B3054) ^ 4.2561</f>
        <v>0.65267221054298263</v>
      </c>
      <c r="D3054">
        <f>E3054*(SQRT($C$2/C3054))</f>
        <v>301.39994193830552</v>
      </c>
      <c r="E3054">
        <v>220</v>
      </c>
      <c r="F3054">
        <v>1150</v>
      </c>
      <c r="G3054">
        <v>2750</v>
      </c>
      <c r="H3054">
        <f>CONVERT(G3054,"HP","kW")</f>
        <v>2050.6746468512433</v>
      </c>
      <c r="I3054">
        <v>0.87439999999999996</v>
      </c>
      <c r="J3054">
        <v>2.0415999999999999</v>
      </c>
      <c r="K3054">
        <v>0.72030000000000005</v>
      </c>
      <c r="L3054">
        <v>0.45679999999999998</v>
      </c>
      <c r="M3054">
        <v>0.1956</v>
      </c>
      <c r="N3054">
        <f>CONVERT(O3054,"lbf","N")</f>
        <v>11564.48655535425</v>
      </c>
      <c r="O3054">
        <v>2599.8000000000002</v>
      </c>
      <c r="P3054">
        <f t="shared" si="47"/>
        <v>0.42819614711033277</v>
      </c>
    </row>
    <row r="3055" spans="1:16" hidden="1" x14ac:dyDescent="0.25">
      <c r="A3055">
        <v>0</v>
      </c>
      <c r="B3055">
        <v>20000</v>
      </c>
      <c r="C3055">
        <f>1.225 * (1 - 0.00000687559 * B3055) ^ 4.2561</f>
        <v>0.65267221054298263</v>
      </c>
      <c r="D3055">
        <f>E3055*(SQRT($C$2/C3055))</f>
        <v>328.7999366599696</v>
      </c>
      <c r="E3055">
        <v>240</v>
      </c>
      <c r="F3055">
        <v>1150</v>
      </c>
      <c r="G3055">
        <v>2750</v>
      </c>
      <c r="H3055">
        <f>CONVERT(G3055,"HP","kW")</f>
        <v>2050.6746468512433</v>
      </c>
      <c r="I3055">
        <v>0.86909999999999998</v>
      </c>
      <c r="J3055">
        <v>2.2271999999999998</v>
      </c>
      <c r="K3055">
        <v>0.75149999999999995</v>
      </c>
      <c r="L3055">
        <v>0.45679999999999998</v>
      </c>
      <c r="M3055">
        <v>0.17829999999999999</v>
      </c>
      <c r="N3055">
        <f>CONVERT(O3055,"lbf","N")</f>
        <v>10536.947362229073</v>
      </c>
      <c r="O3055">
        <v>2368.8000000000002</v>
      </c>
      <c r="P3055">
        <f t="shared" si="47"/>
        <v>0.39032399299474602</v>
      </c>
    </row>
    <row r="3056" spans="1:16" hidden="1" x14ac:dyDescent="0.25">
      <c r="A3056">
        <v>0</v>
      </c>
      <c r="B3056">
        <v>20000</v>
      </c>
      <c r="C3056">
        <f>1.225 * (1 - 0.00000687559 * B3056) ^ 4.2561</f>
        <v>0.65267221054298263</v>
      </c>
      <c r="D3056">
        <f>E3056*(SQRT($C$2/C3056))</f>
        <v>356.19993138163375</v>
      </c>
      <c r="E3056">
        <v>260</v>
      </c>
      <c r="F3056">
        <v>1150</v>
      </c>
      <c r="G3056">
        <v>2750</v>
      </c>
      <c r="H3056">
        <f>CONVERT(G3056,"HP","kW")</f>
        <v>2050.6746468512433</v>
      </c>
      <c r="I3056">
        <v>0.84</v>
      </c>
      <c r="J3056">
        <v>2.4127999999999998</v>
      </c>
      <c r="K3056">
        <v>0.78400000000000003</v>
      </c>
      <c r="L3056">
        <v>0.45679999999999998</v>
      </c>
      <c r="M3056">
        <v>0.159</v>
      </c>
      <c r="N3056">
        <f>CONVERT(O3056,"lbf","N")</f>
        <v>9399.9819173684882</v>
      </c>
      <c r="O3056">
        <v>2113.1999999999998</v>
      </c>
      <c r="P3056">
        <f t="shared" si="47"/>
        <v>0.34807355516637478</v>
      </c>
    </row>
    <row r="3057" spans="1:16" hidden="1" x14ac:dyDescent="0.25">
      <c r="A3057">
        <v>0</v>
      </c>
      <c r="B3057">
        <v>20000</v>
      </c>
      <c r="C3057">
        <f>1.225 * (1 - 0.00000687559 * B3057) ^ 4.2561</f>
        <v>0.65267221054298263</v>
      </c>
      <c r="D3057">
        <f>E3057*(SQRT($C$2/C3057))</f>
        <v>109.59997888665654</v>
      </c>
      <c r="E3057">
        <v>80</v>
      </c>
      <c r="F3057">
        <v>1150</v>
      </c>
      <c r="G3057">
        <v>2750</v>
      </c>
      <c r="H3057">
        <f>CONVERT(G3057,"HP","kW")</f>
        <v>2050.6746468512433</v>
      </c>
      <c r="I3057">
        <v>0.45279999999999998</v>
      </c>
      <c r="J3057">
        <v>0.74239999999999995</v>
      </c>
      <c r="K3057">
        <v>0.55269999999999997</v>
      </c>
      <c r="L3057">
        <v>0.45700000000000002</v>
      </c>
      <c r="M3057">
        <v>0.27879999999999999</v>
      </c>
      <c r="N3057">
        <f>CONVERT(O3057,"lbf","N")</f>
        <v>16469.985352663527</v>
      </c>
      <c r="O3057">
        <v>3702.6</v>
      </c>
      <c r="P3057">
        <f t="shared" si="47"/>
        <v>0.61006564551422315</v>
      </c>
    </row>
    <row r="3058" spans="1:16" hidden="1" x14ac:dyDescent="0.25">
      <c r="A3058">
        <v>0</v>
      </c>
      <c r="B3058">
        <v>20000</v>
      </c>
      <c r="C3058">
        <f>1.225 * (1 - 0.00000687559 * B3058) ^ 4.2561</f>
        <v>0.65267221054298263</v>
      </c>
      <c r="D3058">
        <f>E3058*(SQRT($C$2/C3058))</f>
        <v>82.199984164992401</v>
      </c>
      <c r="E3058">
        <v>60</v>
      </c>
      <c r="F3058">
        <v>1150</v>
      </c>
      <c r="G3058">
        <v>2750</v>
      </c>
      <c r="H3058">
        <f>CONVERT(G3058,"HP","kW")</f>
        <v>2050.6746468512433</v>
      </c>
      <c r="I3058">
        <v>0.2974</v>
      </c>
      <c r="J3058">
        <v>0.55679999999999996</v>
      </c>
      <c r="K3058">
        <v>0.53949999999999998</v>
      </c>
      <c r="L3058">
        <v>0.45710000000000001</v>
      </c>
      <c r="M3058">
        <v>0.2442</v>
      </c>
      <c r="N3058">
        <f>CONVERT(O3058,"lbf","N")</f>
        <v>14422.46894315912</v>
      </c>
      <c r="O3058">
        <v>3242.3</v>
      </c>
      <c r="P3058">
        <f t="shared" si="47"/>
        <v>0.53423758477357253</v>
      </c>
    </row>
    <row r="3059" spans="1:16" hidden="1" x14ac:dyDescent="0.25">
      <c r="A3059">
        <v>0</v>
      </c>
      <c r="B3059">
        <v>20000</v>
      </c>
      <c r="C3059">
        <f>1.225 * (1 - 0.00000687559 * B3059) ^ 4.2561</f>
        <v>0.65267221054298263</v>
      </c>
      <c r="D3059">
        <f>E3059*(SQRT($C$2/C3059))</f>
        <v>191.79996305164894</v>
      </c>
      <c r="E3059">
        <v>140</v>
      </c>
      <c r="F3059">
        <v>1150</v>
      </c>
      <c r="G3059">
        <v>2750</v>
      </c>
      <c r="H3059">
        <f>CONVERT(G3059,"HP","kW")</f>
        <v>2050.6746468512433</v>
      </c>
      <c r="I3059">
        <v>0.79100000000000004</v>
      </c>
      <c r="J3059">
        <v>1.2991999999999999</v>
      </c>
      <c r="K3059">
        <v>0.61119999999999997</v>
      </c>
      <c r="L3059">
        <v>0.45710000000000001</v>
      </c>
      <c r="M3059">
        <v>0.27829999999999999</v>
      </c>
      <c r="N3059">
        <f>CONVERT(O3059,"lbf","N")</f>
        <v>16439.737445679759</v>
      </c>
      <c r="O3059">
        <v>3695.8</v>
      </c>
      <c r="P3059">
        <f t="shared" si="47"/>
        <v>0.60883832859330556</v>
      </c>
    </row>
    <row r="3060" spans="1:16" hidden="1" x14ac:dyDescent="0.25">
      <c r="A3060">
        <v>0</v>
      </c>
      <c r="B3060">
        <v>20000</v>
      </c>
      <c r="C3060">
        <f>1.225 * (1 - 0.00000687559 * B3060) ^ 4.2561</f>
        <v>0.65267221054298263</v>
      </c>
      <c r="D3060">
        <f>E3060*(SQRT($C$2/C3060))</f>
        <v>301.39994193830552</v>
      </c>
      <c r="E3060">
        <v>220</v>
      </c>
      <c r="F3060">
        <v>987</v>
      </c>
      <c r="G3060">
        <v>1750</v>
      </c>
      <c r="H3060">
        <f>CONVERT(G3060,"HP","kW")</f>
        <v>1304.974775268973</v>
      </c>
      <c r="I3060">
        <v>0.88370000000000004</v>
      </c>
      <c r="J3060">
        <v>2.3786999999999998</v>
      </c>
      <c r="K3060">
        <v>0.66769999999999996</v>
      </c>
      <c r="L3060">
        <v>0.45939999999999998</v>
      </c>
      <c r="M3060">
        <v>0.17069999999999999</v>
      </c>
      <c r="N3060">
        <f>CONVERT(O3060,"lbf","N")</f>
        <v>7437.871362877082</v>
      </c>
      <c r="O3060">
        <v>1672.1</v>
      </c>
      <c r="P3060">
        <f t="shared" si="47"/>
        <v>0.37157161515019593</v>
      </c>
    </row>
    <row r="3061" spans="1:16" hidden="1" x14ac:dyDescent="0.25">
      <c r="A3061">
        <v>0</v>
      </c>
      <c r="B3061">
        <v>20000</v>
      </c>
      <c r="C3061">
        <f>1.225 * (1 - 0.00000687559 * B3061) ^ 4.2561</f>
        <v>0.65267221054298263</v>
      </c>
      <c r="D3061">
        <f>E3061*(SQRT($C$2/C3061))</f>
        <v>109.59997888665654</v>
      </c>
      <c r="E3061">
        <v>80</v>
      </c>
      <c r="F3061">
        <v>987</v>
      </c>
      <c r="G3061">
        <v>1750</v>
      </c>
      <c r="H3061">
        <f>CONVERT(G3061,"HP","kW")</f>
        <v>1304.974775268973</v>
      </c>
      <c r="I3061">
        <v>0.57079999999999997</v>
      </c>
      <c r="J3061">
        <v>0.86499999999999999</v>
      </c>
      <c r="K3061">
        <v>0.4834</v>
      </c>
      <c r="L3061">
        <v>0.45950000000000002</v>
      </c>
      <c r="M3061">
        <v>0.30320000000000003</v>
      </c>
      <c r="N3061">
        <f>CONVERT(O3061,"lbf","N")</f>
        <v>13212.107841646735</v>
      </c>
      <c r="O3061">
        <v>2970.2</v>
      </c>
      <c r="P3061">
        <f t="shared" si="47"/>
        <v>0.65984766050054411</v>
      </c>
    </row>
    <row r="3062" spans="1:16" hidden="1" x14ac:dyDescent="0.25">
      <c r="A3062">
        <v>0</v>
      </c>
      <c r="B3062">
        <v>20000</v>
      </c>
      <c r="C3062">
        <f>1.225 * (1 - 0.00000687559 * B3062) ^ 4.2561</f>
        <v>0.65267221054298263</v>
      </c>
      <c r="D3062">
        <f>E3062*(SQRT($C$2/C3062))</f>
        <v>27.399994721664136</v>
      </c>
      <c r="E3062">
        <v>20</v>
      </c>
      <c r="F3062">
        <v>987</v>
      </c>
      <c r="G3062">
        <v>1750</v>
      </c>
      <c r="H3062">
        <f>CONVERT(G3062,"HP","kW")</f>
        <v>1304.974775268973</v>
      </c>
      <c r="I3062">
        <v>7.9399999999999998E-2</v>
      </c>
      <c r="J3062">
        <v>0.2162</v>
      </c>
      <c r="K3062">
        <v>0.44469999999999998</v>
      </c>
      <c r="L3062">
        <v>0.45960000000000001</v>
      </c>
      <c r="M3062">
        <v>0.16869999999999999</v>
      </c>
      <c r="N3062">
        <f>CONVERT(O3062,"lbf","N")</f>
        <v>7349.3517527333988</v>
      </c>
      <c r="O3062">
        <v>1652.2</v>
      </c>
      <c r="P3062">
        <f t="shared" si="47"/>
        <v>0.36705831157528285</v>
      </c>
    </row>
    <row r="3063" spans="1:16" hidden="1" x14ac:dyDescent="0.25">
      <c r="A3063">
        <v>0</v>
      </c>
      <c r="B3063">
        <v>20000</v>
      </c>
      <c r="C3063">
        <f>1.225 * (1 - 0.00000687559 * B3063) ^ 4.2561</f>
        <v>0.65267221054298263</v>
      </c>
      <c r="D3063">
        <f>E3063*(SQRT($C$2/C3063))</f>
        <v>54.799989443328272</v>
      </c>
      <c r="E3063">
        <v>40</v>
      </c>
      <c r="F3063">
        <v>987</v>
      </c>
      <c r="G3063">
        <v>1750</v>
      </c>
      <c r="H3063">
        <f>CONVERT(G3063,"HP","kW")</f>
        <v>1304.974775268973</v>
      </c>
      <c r="I3063">
        <v>0.18479999999999999</v>
      </c>
      <c r="J3063">
        <v>0.4325</v>
      </c>
      <c r="K3063">
        <v>0.45779999999999998</v>
      </c>
      <c r="L3063">
        <v>0.45960000000000001</v>
      </c>
      <c r="M3063">
        <v>0.19639999999999999</v>
      </c>
      <c r="N3063">
        <f>CONVERT(O3063,"lbf","N")</f>
        <v>8553.4853439844155</v>
      </c>
      <c r="O3063">
        <v>1922.9</v>
      </c>
      <c r="P3063">
        <f t="shared" si="47"/>
        <v>0.4273281114012184</v>
      </c>
    </row>
    <row r="3064" spans="1:16" hidden="1" x14ac:dyDescent="0.25">
      <c r="A3064">
        <v>0</v>
      </c>
      <c r="B3064">
        <v>20000</v>
      </c>
      <c r="C3064">
        <f>1.225 * (1 - 0.00000687559 * B3064) ^ 4.2561</f>
        <v>0.65267221054298263</v>
      </c>
      <c r="D3064">
        <f>E3064*(SQRT($C$2/C3064))</f>
        <v>82.199984164992401</v>
      </c>
      <c r="E3064">
        <v>60</v>
      </c>
      <c r="F3064">
        <v>987</v>
      </c>
      <c r="G3064">
        <v>1750</v>
      </c>
      <c r="H3064">
        <f>CONVERT(G3064,"HP","kW")</f>
        <v>1304.974775268973</v>
      </c>
      <c r="I3064">
        <v>0.3664</v>
      </c>
      <c r="J3064">
        <v>0.64870000000000005</v>
      </c>
      <c r="K3064">
        <v>0.46839999999999998</v>
      </c>
      <c r="L3064">
        <v>0.45960000000000001</v>
      </c>
      <c r="M3064">
        <v>0.2596</v>
      </c>
      <c r="N3064">
        <f>CONVERT(O3064,"lbf","N")</f>
        <v>11306.044879507614</v>
      </c>
      <c r="O3064">
        <v>2541.6999999999998</v>
      </c>
      <c r="P3064">
        <f t="shared" si="47"/>
        <v>0.5648389904264578</v>
      </c>
    </row>
    <row r="3065" spans="1:16" hidden="1" x14ac:dyDescent="0.25">
      <c r="A3065">
        <v>0</v>
      </c>
      <c r="B3065">
        <v>20000</v>
      </c>
      <c r="C3065">
        <f>1.225 * (1 - 0.00000687559 * B3065) ^ 4.2561</f>
        <v>0.65267221054298263</v>
      </c>
      <c r="D3065">
        <f>E3065*(SQRT($C$2/C3065))</f>
        <v>136.99997360832069</v>
      </c>
      <c r="E3065">
        <v>100</v>
      </c>
      <c r="F3065">
        <v>987</v>
      </c>
      <c r="G3065">
        <v>1750</v>
      </c>
      <c r="H3065">
        <f>CONVERT(G3065,"HP","kW")</f>
        <v>1304.974775268973</v>
      </c>
      <c r="I3065">
        <v>0.72860000000000003</v>
      </c>
      <c r="J3065">
        <v>1.0811999999999999</v>
      </c>
      <c r="K3065">
        <v>0.50219999999999998</v>
      </c>
      <c r="L3065">
        <v>0.4597</v>
      </c>
      <c r="M3065">
        <v>0.30980000000000002</v>
      </c>
      <c r="N3065">
        <f>CONVERT(O3065,"lbf","N")</f>
        <v>13490.566514762046</v>
      </c>
      <c r="O3065">
        <v>3032.8</v>
      </c>
      <c r="P3065">
        <f t="shared" si="47"/>
        <v>0.67391777246030027</v>
      </c>
    </row>
    <row r="3066" spans="1:16" hidden="1" x14ac:dyDescent="0.25">
      <c r="A3066">
        <v>0</v>
      </c>
      <c r="B3066">
        <v>20000</v>
      </c>
      <c r="C3066">
        <f>1.225 * (1 - 0.00000687559 * B3066) ^ 4.2561</f>
        <v>0.65267221054298263</v>
      </c>
      <c r="D3066">
        <f>E3066*(SQRT($C$2/C3066))</f>
        <v>191.79996305164894</v>
      </c>
      <c r="E3066">
        <v>140</v>
      </c>
      <c r="F3066">
        <v>987</v>
      </c>
      <c r="G3066">
        <v>1750</v>
      </c>
      <c r="H3066">
        <f>CONVERT(G3066,"HP","kW")</f>
        <v>1304.974775268973</v>
      </c>
      <c r="I3066">
        <v>0.83140000000000003</v>
      </c>
      <c r="J3066">
        <v>1.5137</v>
      </c>
      <c r="K3066">
        <v>0.54910000000000003</v>
      </c>
      <c r="L3066">
        <v>0.45979999999999999</v>
      </c>
      <c r="M3066">
        <v>0.25259999999999999</v>
      </c>
      <c r="N3066">
        <f>CONVERT(O3066,"lbf","N")</f>
        <v>10996.448655085482</v>
      </c>
      <c r="O3066">
        <v>2472.1</v>
      </c>
      <c r="P3066">
        <f t="shared" si="47"/>
        <v>0.54936929099608522</v>
      </c>
    </row>
    <row r="3067" spans="1:16" hidden="1" x14ac:dyDescent="0.25">
      <c r="A3067">
        <v>0</v>
      </c>
      <c r="B3067">
        <v>20000</v>
      </c>
      <c r="C3067">
        <f>1.225 * (1 - 0.00000687559 * B3067) ^ 4.2561</f>
        <v>0.65267221054298263</v>
      </c>
      <c r="D3067">
        <f>E3067*(SQRT($C$2/C3067))</f>
        <v>219.19995777331309</v>
      </c>
      <c r="E3067">
        <v>160</v>
      </c>
      <c r="F3067">
        <v>987</v>
      </c>
      <c r="G3067">
        <v>1750</v>
      </c>
      <c r="H3067">
        <f>CONVERT(G3067,"HP","kW")</f>
        <v>1304.974775268973</v>
      </c>
      <c r="I3067">
        <v>0.85560000000000003</v>
      </c>
      <c r="J3067">
        <v>1.73</v>
      </c>
      <c r="K3067">
        <v>0.57599999999999996</v>
      </c>
      <c r="L3067">
        <v>0.45979999999999999</v>
      </c>
      <c r="M3067">
        <v>0.22739999999999999</v>
      </c>
      <c r="N3067">
        <f>CONVERT(O3067,"lbf","N")</f>
        <v>9901.7413155698723</v>
      </c>
      <c r="O3067">
        <v>2226</v>
      </c>
      <c r="P3067">
        <f t="shared" si="47"/>
        <v>0.49456285341452805</v>
      </c>
    </row>
    <row r="3068" spans="1:16" hidden="1" x14ac:dyDescent="0.25">
      <c r="A3068">
        <v>0</v>
      </c>
      <c r="B3068">
        <v>20000</v>
      </c>
      <c r="C3068">
        <f>1.225 * (1 - 0.00000687559 * B3068) ^ 4.2561</f>
        <v>0.65267221054298263</v>
      </c>
      <c r="D3068">
        <f>E3068*(SQRT($C$2/C3068))</f>
        <v>246.59995249497723</v>
      </c>
      <c r="E3068">
        <v>180</v>
      </c>
      <c r="F3068">
        <v>987</v>
      </c>
      <c r="G3068">
        <v>1750</v>
      </c>
      <c r="H3068">
        <f>CONVERT(G3068,"HP","kW")</f>
        <v>1304.974775268973</v>
      </c>
      <c r="I3068">
        <v>0.87139999999999995</v>
      </c>
      <c r="J3068">
        <v>1.9461999999999999</v>
      </c>
      <c r="K3068">
        <v>0.60489999999999999</v>
      </c>
      <c r="L3068">
        <v>0.45979999999999999</v>
      </c>
      <c r="M3068">
        <v>0.2059</v>
      </c>
      <c r="N3068">
        <f>CONVERT(O3068,"lbf","N")</f>
        <v>8964.0561990729602</v>
      </c>
      <c r="O3068">
        <v>2015.2</v>
      </c>
      <c r="P3068">
        <f t="shared" si="47"/>
        <v>0.44780339277946934</v>
      </c>
    </row>
    <row r="3069" spans="1:16" hidden="1" x14ac:dyDescent="0.25">
      <c r="A3069">
        <v>0</v>
      </c>
      <c r="B3069">
        <v>20000</v>
      </c>
      <c r="C3069">
        <f>1.225 * (1 - 0.00000687559 * B3069) ^ 4.2561</f>
        <v>0.65267221054298263</v>
      </c>
      <c r="D3069">
        <f>E3069*(SQRT($C$2/C3069))</f>
        <v>273.99994721664137</v>
      </c>
      <c r="E3069">
        <v>200</v>
      </c>
      <c r="F3069">
        <v>987</v>
      </c>
      <c r="G3069">
        <v>1750</v>
      </c>
      <c r="H3069">
        <f>CONVERT(G3069,"HP","kW")</f>
        <v>1304.974775268973</v>
      </c>
      <c r="I3069">
        <v>0.88080000000000003</v>
      </c>
      <c r="J3069">
        <v>2.1625000000000001</v>
      </c>
      <c r="K3069">
        <v>0.63560000000000005</v>
      </c>
      <c r="L3069">
        <v>0.45979999999999999</v>
      </c>
      <c r="M3069">
        <v>0.18729999999999999</v>
      </c>
      <c r="N3069">
        <f>CONVERT(O3069,"lbf","N")</f>
        <v>8154.0350429340224</v>
      </c>
      <c r="O3069">
        <v>1833.1</v>
      </c>
      <c r="P3069">
        <f t="shared" si="47"/>
        <v>0.40735102218355806</v>
      </c>
    </row>
    <row r="3070" spans="1:16" hidden="1" x14ac:dyDescent="0.25">
      <c r="A3070">
        <v>0</v>
      </c>
      <c r="B3070">
        <v>20000</v>
      </c>
      <c r="C3070">
        <f>1.225 * (1 - 0.00000687559 * B3070) ^ 4.2561</f>
        <v>0.65267221054298263</v>
      </c>
      <c r="D3070">
        <f>E3070*(SQRT($C$2/C3070))</f>
        <v>328.7999366599696</v>
      </c>
      <c r="E3070">
        <v>240</v>
      </c>
      <c r="F3070">
        <v>987</v>
      </c>
      <c r="G3070">
        <v>1750</v>
      </c>
      <c r="H3070">
        <f>CONVERT(G3070,"HP","kW")</f>
        <v>1304.974775268973</v>
      </c>
      <c r="I3070">
        <v>0.87649999999999995</v>
      </c>
      <c r="J3070">
        <v>2.5950000000000002</v>
      </c>
      <c r="K3070">
        <v>0.70120000000000005</v>
      </c>
      <c r="L3070">
        <v>0.45979999999999999</v>
      </c>
      <c r="M3070">
        <v>0.15529999999999999</v>
      </c>
      <c r="N3070">
        <f>CONVERT(O3070,"lbf","N")</f>
        <v>6762.6313216805383</v>
      </c>
      <c r="O3070">
        <v>1520.3</v>
      </c>
      <c r="P3070">
        <f t="shared" si="47"/>
        <v>0.33775554588951717</v>
      </c>
    </row>
    <row r="3071" spans="1:16" hidden="1" x14ac:dyDescent="0.25">
      <c r="A3071">
        <v>0</v>
      </c>
      <c r="B3071">
        <v>20000</v>
      </c>
      <c r="C3071">
        <f>1.225 * (1 - 0.00000687559 * B3071) ^ 4.2561</f>
        <v>0.65267221054298263</v>
      </c>
      <c r="D3071">
        <f>E3071*(SQRT($C$2/C3071))</f>
        <v>356.19993138163375</v>
      </c>
      <c r="E3071">
        <v>260</v>
      </c>
      <c r="F3071">
        <v>987</v>
      </c>
      <c r="G3071">
        <v>1750</v>
      </c>
      <c r="H3071">
        <f>CONVERT(G3071,"HP","kW")</f>
        <v>1304.974775268973</v>
      </c>
      <c r="I3071">
        <v>0.84909999999999997</v>
      </c>
      <c r="J3071">
        <v>2.8111999999999999</v>
      </c>
      <c r="K3071">
        <v>0.7359</v>
      </c>
      <c r="L3071">
        <v>0.45979999999999999</v>
      </c>
      <c r="M3071">
        <v>0.1389</v>
      </c>
      <c r="N3071">
        <f>CONVERT(O3071,"lbf","N")</f>
        <v>6046.9124637851237</v>
      </c>
      <c r="O3071">
        <v>1359.4</v>
      </c>
      <c r="P3071">
        <f t="shared" si="47"/>
        <v>0.30208786428882123</v>
      </c>
    </row>
    <row r="3072" spans="1:16" hidden="1" x14ac:dyDescent="0.25">
      <c r="A3072">
        <v>0</v>
      </c>
      <c r="B3072">
        <v>20000</v>
      </c>
      <c r="C3072">
        <f>1.225 * (1 - 0.00000687559 * B3072) ^ 4.2561</f>
        <v>0.65267221054298263</v>
      </c>
      <c r="D3072">
        <f>E3072*(SQRT($C$2/C3072))</f>
        <v>164.3999683299848</v>
      </c>
      <c r="E3072">
        <v>120</v>
      </c>
      <c r="F3072">
        <v>987</v>
      </c>
      <c r="G3072">
        <v>1750</v>
      </c>
      <c r="H3072">
        <f>CONVERT(G3072,"HP","kW")</f>
        <v>1304.974775268973</v>
      </c>
      <c r="I3072">
        <v>0.79549999999999998</v>
      </c>
      <c r="J3072">
        <v>1.2975000000000001</v>
      </c>
      <c r="K3072">
        <v>0.52439999999999998</v>
      </c>
      <c r="L3072">
        <v>0.46010000000000001</v>
      </c>
      <c r="M3072">
        <v>0.28210000000000002</v>
      </c>
      <c r="N3072">
        <f>CONVERT(O3072,"lbf","N")</f>
        <v>12274.422725149825</v>
      </c>
      <c r="O3072">
        <v>2759.4</v>
      </c>
      <c r="P3072">
        <f t="shared" si="47"/>
        <v>0.61312758096066078</v>
      </c>
    </row>
    <row r="3073" spans="1:16" hidden="1" x14ac:dyDescent="0.25">
      <c r="A3073">
        <v>0</v>
      </c>
      <c r="B3073">
        <v>25000</v>
      </c>
      <c r="C3073">
        <f>1.225 * (1 - 0.00000687559 * B3073) ^ 4.2561</f>
        <v>0.54892259437885793</v>
      </c>
      <c r="D3073">
        <f>E3073*(SQRT($C$2/C3073))</f>
        <v>179.26426993092403</v>
      </c>
      <c r="E3073">
        <v>120</v>
      </c>
      <c r="F3073">
        <v>1215</v>
      </c>
      <c r="G3073">
        <v>2750</v>
      </c>
      <c r="H3073">
        <f>CONVERT(G3073,"HP","kW")</f>
        <v>2050.6746468512433</v>
      </c>
      <c r="I3073">
        <v>0.73899999999999999</v>
      </c>
      <c r="J3073">
        <v>1.1493</v>
      </c>
      <c r="K3073">
        <v>0.63929999999999998</v>
      </c>
      <c r="L3073">
        <v>0.46039999999999998</v>
      </c>
      <c r="M3073">
        <v>0.29609999999999997</v>
      </c>
      <c r="N3073">
        <f>CONVERT(O3073,"lbf","N")</f>
        <v>16434.399579741443</v>
      </c>
      <c r="O3073">
        <v>3694.6</v>
      </c>
      <c r="P3073">
        <f t="shared" si="47"/>
        <v>0.64313640312771503</v>
      </c>
    </row>
    <row r="3074" spans="1:16" hidden="1" x14ac:dyDescent="0.25">
      <c r="A3074">
        <v>0</v>
      </c>
      <c r="B3074">
        <v>25000</v>
      </c>
      <c r="C3074">
        <f>1.225 * (1 - 0.00000687559 * B3074) ^ 4.2561</f>
        <v>0.54892259437885793</v>
      </c>
      <c r="D3074">
        <f>E3074*(SQRT($C$2/C3074))</f>
        <v>59.754756643641343</v>
      </c>
      <c r="E3074">
        <v>40</v>
      </c>
      <c r="F3074">
        <v>1215</v>
      </c>
      <c r="G3074">
        <v>2750</v>
      </c>
      <c r="H3074">
        <f>CONVERT(G3074,"HP","kW")</f>
        <v>2050.6746468512433</v>
      </c>
      <c r="I3074">
        <v>0.18210000000000001</v>
      </c>
      <c r="J3074">
        <v>0.3831</v>
      </c>
      <c r="K3074">
        <v>0.57120000000000004</v>
      </c>
      <c r="L3074">
        <v>0.46050000000000002</v>
      </c>
      <c r="M3074">
        <v>0.21890000000000001</v>
      </c>
      <c r="N3074">
        <f>CONVERT(O3074,"lbf","N")</f>
        <v>12148.982875599477</v>
      </c>
      <c r="O3074">
        <v>2731.2</v>
      </c>
      <c r="P3074">
        <f t="shared" si="47"/>
        <v>0.47535287730727471</v>
      </c>
    </row>
    <row r="3075" spans="1:16" hidden="1" x14ac:dyDescent="0.25">
      <c r="A3075">
        <v>0</v>
      </c>
      <c r="B3075">
        <v>25000</v>
      </c>
      <c r="C3075">
        <f>1.225 * (1 - 0.00000687559 * B3075) ^ 4.2561</f>
        <v>0.54892259437885793</v>
      </c>
      <c r="D3075">
        <f>E3075*(SQRT($C$2/C3075))</f>
        <v>119.50951328728269</v>
      </c>
      <c r="E3075">
        <v>80</v>
      </c>
      <c r="F3075">
        <v>1215</v>
      </c>
      <c r="G3075">
        <v>2750</v>
      </c>
      <c r="H3075">
        <f>CONVERT(G3075,"HP","kW")</f>
        <v>2050.6746468512433</v>
      </c>
      <c r="I3075">
        <v>0.45879999999999999</v>
      </c>
      <c r="J3075">
        <v>0.76619999999999999</v>
      </c>
      <c r="K3075">
        <v>0.59799999999999998</v>
      </c>
      <c r="L3075">
        <v>0.46050000000000002</v>
      </c>
      <c r="M3075">
        <v>0.27579999999999999</v>
      </c>
      <c r="N3075">
        <f>CONVERT(O3075,"lbf","N")</f>
        <v>15303.661645142223</v>
      </c>
      <c r="O3075">
        <v>3440.4</v>
      </c>
      <c r="P3075">
        <f t="shared" ref="P3075:P3138" si="48">M3075/L3075</f>
        <v>0.59891422366992397</v>
      </c>
    </row>
    <row r="3076" spans="1:16" hidden="1" x14ac:dyDescent="0.25">
      <c r="A3076">
        <v>0</v>
      </c>
      <c r="B3076">
        <v>25000</v>
      </c>
      <c r="C3076">
        <f>1.225 * (1 - 0.00000687559 * B3076) ^ 4.2561</f>
        <v>0.54892259437885793</v>
      </c>
      <c r="D3076">
        <f>E3076*(SQRT($C$2/C3076))</f>
        <v>149.38689160910337</v>
      </c>
      <c r="E3076">
        <v>100</v>
      </c>
      <c r="F3076">
        <v>1215</v>
      </c>
      <c r="G3076">
        <v>2750</v>
      </c>
      <c r="H3076">
        <f>CONVERT(G3076,"HP","kW")</f>
        <v>2050.6746468512433</v>
      </c>
      <c r="I3076">
        <v>0.63270000000000004</v>
      </c>
      <c r="J3076">
        <v>0.95779999999999998</v>
      </c>
      <c r="K3076">
        <v>0.61670000000000003</v>
      </c>
      <c r="L3076">
        <v>0.46050000000000002</v>
      </c>
      <c r="M3076">
        <v>0.30430000000000001</v>
      </c>
      <c r="N3076">
        <f>CONVERT(O3076,"lbf","N")</f>
        <v>16884.114785044279</v>
      </c>
      <c r="O3076">
        <v>3795.7</v>
      </c>
      <c r="P3076">
        <f t="shared" si="48"/>
        <v>0.66080347448425625</v>
      </c>
    </row>
    <row r="3077" spans="1:16" hidden="1" x14ac:dyDescent="0.25">
      <c r="A3077">
        <v>0</v>
      </c>
      <c r="B3077">
        <v>25000</v>
      </c>
      <c r="C3077">
        <f>1.225 * (1 - 0.00000687559 * B3077) ^ 4.2561</f>
        <v>0.54892259437885793</v>
      </c>
      <c r="D3077">
        <f>E3077*(SQRT($C$2/C3077))</f>
        <v>239.01902657456537</v>
      </c>
      <c r="E3077">
        <v>160</v>
      </c>
      <c r="F3077">
        <v>1215</v>
      </c>
      <c r="G3077">
        <v>2750</v>
      </c>
      <c r="H3077">
        <f>CONVERT(G3077,"HP","kW")</f>
        <v>2050.6746468512433</v>
      </c>
      <c r="I3077">
        <v>0.82879999999999998</v>
      </c>
      <c r="J3077">
        <v>1.5324</v>
      </c>
      <c r="K3077">
        <v>0.6925</v>
      </c>
      <c r="L3077">
        <v>0.46050000000000002</v>
      </c>
      <c r="M3077">
        <v>0.24909999999999999</v>
      </c>
      <c r="N3077">
        <f>CONVERT(O3077,"lbf","N")</f>
        <v>13821.959025098953</v>
      </c>
      <c r="O3077">
        <v>3107.3</v>
      </c>
      <c r="P3077">
        <f t="shared" si="48"/>
        <v>0.54093376764386536</v>
      </c>
    </row>
    <row r="3078" spans="1:16" hidden="1" x14ac:dyDescent="0.25">
      <c r="A3078">
        <v>0</v>
      </c>
      <c r="B3078">
        <v>25000</v>
      </c>
      <c r="C3078">
        <f>1.225 * (1 - 0.00000687559 * B3078) ^ 4.2561</f>
        <v>0.54892259437885793</v>
      </c>
      <c r="D3078">
        <f>E3078*(SQRT($C$2/C3078))</f>
        <v>298.77378321820675</v>
      </c>
      <c r="E3078">
        <v>200</v>
      </c>
      <c r="F3078">
        <v>1215</v>
      </c>
      <c r="G3078">
        <v>2750</v>
      </c>
      <c r="H3078">
        <f>CONVERT(G3078,"HP","kW")</f>
        <v>2050.6746468512433</v>
      </c>
      <c r="I3078">
        <v>0.85070000000000001</v>
      </c>
      <c r="J3078">
        <v>1.9155</v>
      </c>
      <c r="K3078">
        <v>0.75449999999999995</v>
      </c>
      <c r="L3078">
        <v>0.46050000000000002</v>
      </c>
      <c r="M3078">
        <v>0.20449999999999999</v>
      </c>
      <c r="N3078">
        <f>CONVERT(O3078,"lbf","N")</f>
        <v>11350.082273498692</v>
      </c>
      <c r="O3078">
        <v>2551.6</v>
      </c>
      <c r="P3078">
        <f t="shared" si="48"/>
        <v>0.44408251900108575</v>
      </c>
    </row>
    <row r="3079" spans="1:16" hidden="1" x14ac:dyDescent="0.25">
      <c r="A3079">
        <v>0</v>
      </c>
      <c r="B3079">
        <v>25000</v>
      </c>
      <c r="C3079">
        <f>1.225 * (1 - 0.00000687559 * B3079) ^ 4.2561</f>
        <v>0.54892259437885793</v>
      </c>
      <c r="D3079">
        <f>E3079*(SQRT($C$2/C3079))</f>
        <v>328.65116154002743</v>
      </c>
      <c r="E3079">
        <v>220</v>
      </c>
      <c r="F3079">
        <v>1215</v>
      </c>
      <c r="G3079">
        <v>2750</v>
      </c>
      <c r="H3079">
        <f>CONVERT(G3079,"HP","kW")</f>
        <v>2050.6746468512433</v>
      </c>
      <c r="I3079">
        <v>0.83919999999999995</v>
      </c>
      <c r="J3079">
        <v>2.1071</v>
      </c>
      <c r="K3079">
        <v>0.7883</v>
      </c>
      <c r="L3079">
        <v>0.46050000000000002</v>
      </c>
      <c r="M3079">
        <v>0.18340000000000001</v>
      </c>
      <c r="N3079">
        <f>CONVERT(O3079,"lbf","N")</f>
        <v>10178.420700039076</v>
      </c>
      <c r="O3079">
        <v>2288.1999999999998</v>
      </c>
      <c r="P3079">
        <f t="shared" si="48"/>
        <v>0.39826275787187837</v>
      </c>
    </row>
    <row r="3080" spans="1:16" hidden="1" x14ac:dyDescent="0.25">
      <c r="A3080">
        <v>0</v>
      </c>
      <c r="B3080">
        <v>25000</v>
      </c>
      <c r="C3080">
        <f>1.225 * (1 - 0.00000687559 * B3080) ^ 4.2561</f>
        <v>0.54892259437885793</v>
      </c>
      <c r="D3080">
        <f>E3080*(SQRT($C$2/C3080))</f>
        <v>29.877378321820672</v>
      </c>
      <c r="E3080">
        <v>20</v>
      </c>
      <c r="F3080">
        <v>1215</v>
      </c>
      <c r="G3080">
        <v>2750</v>
      </c>
      <c r="H3080">
        <f>CONVERT(G3080,"HP","kW")</f>
        <v>2050.6746468512433</v>
      </c>
      <c r="I3080">
        <v>8.4099999999999994E-2</v>
      </c>
      <c r="J3080">
        <v>0.19159999999999999</v>
      </c>
      <c r="K3080">
        <v>0.56279999999999997</v>
      </c>
      <c r="L3080">
        <v>0.46060000000000001</v>
      </c>
      <c r="M3080">
        <v>0.20219999999999999</v>
      </c>
      <c r="N3080">
        <f>CONVERT(O3080,"lbf","N")</f>
        <v>11220.194202333085</v>
      </c>
      <c r="O3080">
        <v>2522.4</v>
      </c>
      <c r="P3080">
        <f t="shared" si="48"/>
        <v>0.43899261832392528</v>
      </c>
    </row>
    <row r="3081" spans="1:16" hidden="1" x14ac:dyDescent="0.25">
      <c r="A3081">
        <v>0</v>
      </c>
      <c r="B3081">
        <v>25000</v>
      </c>
      <c r="C3081">
        <f>1.225 * (1 - 0.00000687559 * B3081) ^ 4.2561</f>
        <v>0.54892259437885793</v>
      </c>
      <c r="D3081">
        <f>E3081*(SQRT($C$2/C3081))</f>
        <v>89.632134965462015</v>
      </c>
      <c r="E3081">
        <v>60</v>
      </c>
      <c r="F3081">
        <v>1215</v>
      </c>
      <c r="G3081">
        <v>2750</v>
      </c>
      <c r="H3081">
        <f>CONVERT(G3081,"HP","kW")</f>
        <v>2050.6746468512433</v>
      </c>
      <c r="I3081">
        <v>0.30780000000000002</v>
      </c>
      <c r="J3081">
        <v>0.57469999999999999</v>
      </c>
      <c r="K3081">
        <v>0.58279999999999998</v>
      </c>
      <c r="L3081">
        <v>0.46060000000000001</v>
      </c>
      <c r="M3081">
        <v>0.2467</v>
      </c>
      <c r="N3081">
        <f>CONVERT(O3081,"lbf","N")</f>
        <v>13690.736487448768</v>
      </c>
      <c r="O3081">
        <v>3077.8</v>
      </c>
      <c r="P3081">
        <f t="shared" si="48"/>
        <v>0.53560573165436387</v>
      </c>
    </row>
    <row r="3082" spans="1:16" hidden="1" x14ac:dyDescent="0.25">
      <c r="A3082">
        <v>0</v>
      </c>
      <c r="B3082">
        <v>25000</v>
      </c>
      <c r="C3082">
        <f>1.225 * (1 - 0.00000687559 * B3082) ^ 4.2561</f>
        <v>0.54892259437885793</v>
      </c>
      <c r="D3082">
        <f>E3082*(SQRT($C$2/C3082))</f>
        <v>209.14164825274472</v>
      </c>
      <c r="E3082">
        <v>140</v>
      </c>
      <c r="F3082">
        <v>1215</v>
      </c>
      <c r="G3082">
        <v>2750</v>
      </c>
      <c r="H3082">
        <f>CONVERT(G3082,"HP","kW")</f>
        <v>2050.6746468512433</v>
      </c>
      <c r="I3082">
        <v>0.79579999999999995</v>
      </c>
      <c r="J3082">
        <v>1.3409</v>
      </c>
      <c r="K3082">
        <v>0.66469999999999996</v>
      </c>
      <c r="L3082">
        <v>0.46060000000000001</v>
      </c>
      <c r="M3082">
        <v>0.27339999999999998</v>
      </c>
      <c r="N3082">
        <f>CONVERT(O3082,"lbf","N")</f>
        <v>15168.880530199831</v>
      </c>
      <c r="O3082">
        <v>3410.1</v>
      </c>
      <c r="P3082">
        <f t="shared" si="48"/>
        <v>0.5935735996526269</v>
      </c>
    </row>
    <row r="3083" spans="1:16" hidden="1" x14ac:dyDescent="0.25">
      <c r="A3083">
        <v>0</v>
      </c>
      <c r="B3083">
        <v>25000</v>
      </c>
      <c r="C3083">
        <f>1.225 * (1 - 0.00000687559 * B3083) ^ 4.2561</f>
        <v>0.54892259437885793</v>
      </c>
      <c r="D3083">
        <f>E3083*(SQRT($C$2/C3083))</f>
        <v>268.89640489638606</v>
      </c>
      <c r="E3083">
        <v>180</v>
      </c>
      <c r="F3083">
        <v>1215</v>
      </c>
      <c r="G3083">
        <v>2750</v>
      </c>
      <c r="H3083">
        <f>CONVERT(G3083,"HP","kW")</f>
        <v>2050.6746468512433</v>
      </c>
      <c r="I3083">
        <v>0.84850000000000003</v>
      </c>
      <c r="J3083">
        <v>1.724</v>
      </c>
      <c r="K3083">
        <v>0.72260000000000002</v>
      </c>
      <c r="L3083">
        <v>0.46060000000000001</v>
      </c>
      <c r="M3083">
        <v>0.22670000000000001</v>
      </c>
      <c r="N3083">
        <f>CONVERT(O3083,"lbf","N")</f>
        <v>12579.125905795168</v>
      </c>
      <c r="O3083">
        <v>2827.9</v>
      </c>
      <c r="P3083">
        <f t="shared" si="48"/>
        <v>0.49218410768562748</v>
      </c>
    </row>
    <row r="3084" spans="1:16" hidden="1" x14ac:dyDescent="0.25">
      <c r="A3084">
        <v>0</v>
      </c>
      <c r="B3084">
        <v>25000</v>
      </c>
      <c r="C3084">
        <f>1.225 * (1 - 0.00000687559 * B3084) ^ 4.2561</f>
        <v>0.54892259437885793</v>
      </c>
      <c r="D3084">
        <f>E3084*(SQRT($C$2/C3084))</f>
        <v>358.52853986184806</v>
      </c>
      <c r="E3084">
        <v>240</v>
      </c>
      <c r="F3084">
        <v>1215</v>
      </c>
      <c r="G3084">
        <v>2750</v>
      </c>
      <c r="H3084">
        <f>CONVERT(G3084,"HP","kW")</f>
        <v>2050.6746468512433</v>
      </c>
      <c r="I3084">
        <v>0.80100000000000005</v>
      </c>
      <c r="J3084">
        <v>2.2986</v>
      </c>
      <c r="K3084">
        <v>0.82350000000000001</v>
      </c>
      <c r="L3084">
        <v>0.46060000000000001</v>
      </c>
      <c r="M3084">
        <v>0.1605</v>
      </c>
      <c r="N3084">
        <f>CONVERT(O3084,"lbf","N")</f>
        <v>8905.3396737515213</v>
      </c>
      <c r="O3084">
        <v>2002</v>
      </c>
      <c r="P3084">
        <f t="shared" si="48"/>
        <v>0.34845853234910984</v>
      </c>
    </row>
    <row r="3085" spans="1:16" hidden="1" x14ac:dyDescent="0.25">
      <c r="A3085">
        <v>0</v>
      </c>
      <c r="B3085">
        <v>25000</v>
      </c>
      <c r="C3085">
        <f>1.225 * (1 - 0.00000687559 * B3085) ^ 4.2561</f>
        <v>0.54892259437885793</v>
      </c>
      <c r="D3085">
        <f>E3085*(SQRT($C$2/C3085))</f>
        <v>0</v>
      </c>
      <c r="E3085">
        <v>0</v>
      </c>
      <c r="F3085">
        <v>1215</v>
      </c>
      <c r="G3085">
        <v>2750</v>
      </c>
      <c r="H3085">
        <f>CONVERT(G3085,"HP","kW")</f>
        <v>2050.6746468512433</v>
      </c>
      <c r="I3085">
        <v>0</v>
      </c>
      <c r="J3085">
        <v>0</v>
      </c>
      <c r="K3085">
        <v>0.55689999999999995</v>
      </c>
      <c r="L3085">
        <v>0.4607</v>
      </c>
      <c r="M3085">
        <v>0.1938</v>
      </c>
      <c r="N3085">
        <f>CONVERT(O3085,"lbf","N")</f>
        <v>10751.351644084627</v>
      </c>
      <c r="O3085">
        <v>2417</v>
      </c>
      <c r="P3085">
        <f t="shared" si="48"/>
        <v>0.42066420664206644</v>
      </c>
    </row>
    <row r="3086" spans="1:16" hidden="1" x14ac:dyDescent="0.25">
      <c r="A3086">
        <v>0</v>
      </c>
      <c r="B3086">
        <v>25000</v>
      </c>
      <c r="C3086">
        <f>1.225 * (1 - 0.00000687559 * B3086) ^ 4.2561</f>
        <v>0.54892259437885793</v>
      </c>
      <c r="D3086">
        <f>E3086*(SQRT($C$2/C3086))</f>
        <v>388.40591818366875</v>
      </c>
      <c r="E3086">
        <v>260</v>
      </c>
      <c r="F3086">
        <v>1215</v>
      </c>
      <c r="G3086">
        <v>2750</v>
      </c>
      <c r="H3086">
        <f>CONVERT(G3086,"HP","kW")</f>
        <v>2050.6746468512433</v>
      </c>
      <c r="I3086">
        <v>0.71860000000000002</v>
      </c>
      <c r="J3086">
        <v>2.4902000000000002</v>
      </c>
      <c r="K3086">
        <v>0.86029999999999995</v>
      </c>
      <c r="L3086">
        <v>0.46089999999999998</v>
      </c>
      <c r="M3086">
        <v>0.13300000000000001</v>
      </c>
      <c r="N3086">
        <f>CONVERT(O3086,"lbf","N")</f>
        <v>7375.5962602634345</v>
      </c>
      <c r="O3086">
        <v>1658.1</v>
      </c>
      <c r="P3086">
        <f t="shared" si="48"/>
        <v>0.28856584942503799</v>
      </c>
    </row>
    <row r="3087" spans="1:16" hidden="1" x14ac:dyDescent="0.25">
      <c r="A3087">
        <v>0</v>
      </c>
      <c r="B3087">
        <v>30000</v>
      </c>
      <c r="C3087">
        <f>1.225 * (1 - 0.00000687559 * B3087) ^ 4.2561</f>
        <v>0.45828836225470948</v>
      </c>
      <c r="D3087">
        <f>E3087*(SQRT($C$2/C3087))</f>
        <v>65.397119729012928</v>
      </c>
      <c r="E3087">
        <v>40</v>
      </c>
      <c r="F3087">
        <v>987</v>
      </c>
      <c r="G3087">
        <v>1250</v>
      </c>
      <c r="H3087">
        <f>CONVERT(G3087,"HP","kW")</f>
        <v>932.12483947783778</v>
      </c>
      <c r="I3087">
        <v>0.23769999999999999</v>
      </c>
      <c r="J3087">
        <v>0.5161</v>
      </c>
      <c r="K3087">
        <v>0.48110000000000003</v>
      </c>
      <c r="L3087">
        <v>0.46750000000000003</v>
      </c>
      <c r="M3087">
        <v>0.21529999999999999</v>
      </c>
      <c r="N3087">
        <f>CONVERT(O3087,"lbf","N")</f>
        <v>6586.9265678777483</v>
      </c>
      <c r="O3087">
        <v>1480.8</v>
      </c>
      <c r="P3087">
        <f t="shared" si="48"/>
        <v>0.46053475935828875</v>
      </c>
    </row>
    <row r="3088" spans="1:16" hidden="1" x14ac:dyDescent="0.25">
      <c r="A3088">
        <v>0</v>
      </c>
      <c r="B3088">
        <v>30000</v>
      </c>
      <c r="C3088">
        <f>1.225 * (1 - 0.00000687559 * B3088) ^ 4.2561</f>
        <v>0.45828836225470948</v>
      </c>
      <c r="D3088">
        <f>E3088*(SQRT($C$2/C3088))</f>
        <v>32.698559864506464</v>
      </c>
      <c r="E3088">
        <v>20</v>
      </c>
      <c r="F3088">
        <v>987</v>
      </c>
      <c r="G3088">
        <v>1250</v>
      </c>
      <c r="H3088">
        <f>CONVERT(G3088,"HP","kW")</f>
        <v>932.12483947783778</v>
      </c>
      <c r="I3088">
        <v>9.4200000000000006E-2</v>
      </c>
      <c r="J3088">
        <v>0.2581</v>
      </c>
      <c r="K3088">
        <v>0.46650000000000003</v>
      </c>
      <c r="L3088">
        <v>0.46760000000000002</v>
      </c>
      <c r="M3088">
        <v>0.1706</v>
      </c>
      <c r="N3088">
        <f>CONVERT(O3088,"lbf","N")</f>
        <v>5217.7639547005665</v>
      </c>
      <c r="O3088">
        <v>1173</v>
      </c>
      <c r="P3088">
        <f t="shared" si="48"/>
        <v>0.36484174508126604</v>
      </c>
    </row>
    <row r="3089" spans="1:16" hidden="1" x14ac:dyDescent="0.25">
      <c r="A3089">
        <v>0</v>
      </c>
      <c r="B3089">
        <v>30000</v>
      </c>
      <c r="C3089">
        <f>1.225 * (1 - 0.00000687559 * B3089) ^ 4.2561</f>
        <v>0.45828836225470948</v>
      </c>
      <c r="D3089">
        <f>E3089*(SQRT($C$2/C3089))</f>
        <v>425.08127823858405</v>
      </c>
      <c r="E3089">
        <v>260</v>
      </c>
      <c r="F3089">
        <v>987</v>
      </c>
      <c r="G3089">
        <v>1250</v>
      </c>
      <c r="H3089">
        <f>CONVERT(G3089,"HP","kW")</f>
        <v>932.12483947783778</v>
      </c>
      <c r="I3089">
        <v>0.3569</v>
      </c>
      <c r="J3089">
        <v>3.3548</v>
      </c>
      <c r="K3089">
        <v>0.86229999999999996</v>
      </c>
      <c r="L3089">
        <v>0.46760000000000002</v>
      </c>
      <c r="M3089">
        <v>4.9700000000000001E-2</v>
      </c>
      <c r="N3089">
        <f>CONVERT(O3089,"lbf","N")</f>
        <v>1521.2917924190911</v>
      </c>
      <c r="O3089">
        <v>342</v>
      </c>
      <c r="P3089">
        <f t="shared" si="48"/>
        <v>0.1062874251497006</v>
      </c>
    </row>
    <row r="3090" spans="1:16" hidden="1" x14ac:dyDescent="0.25">
      <c r="A3090">
        <v>0</v>
      </c>
      <c r="B3090">
        <v>30000</v>
      </c>
      <c r="C3090">
        <f>1.225 * (1 - 0.00000687559 * B3090) ^ 4.2561</f>
        <v>0.45828836225470948</v>
      </c>
      <c r="D3090">
        <f>E3090*(SQRT($C$2/C3090))</f>
        <v>130.79423945802586</v>
      </c>
      <c r="E3090">
        <v>80</v>
      </c>
      <c r="F3090">
        <v>987</v>
      </c>
      <c r="G3090">
        <v>1250</v>
      </c>
      <c r="H3090">
        <f>CONVERT(G3090,"HP","kW")</f>
        <v>932.12483947783778</v>
      </c>
      <c r="I3090">
        <v>0.69820000000000004</v>
      </c>
      <c r="J3090">
        <v>1.0323</v>
      </c>
      <c r="K3090">
        <v>0.51870000000000005</v>
      </c>
      <c r="L3090">
        <v>0.4677</v>
      </c>
      <c r="M3090">
        <v>0.31640000000000001</v>
      </c>
      <c r="N3090">
        <f>CONVERT(O3090,"lbf","N")</f>
        <v>9671.7682580609053</v>
      </c>
      <c r="O3090">
        <v>2174.3000000000002</v>
      </c>
      <c r="P3090">
        <f t="shared" si="48"/>
        <v>0.6765020312165918</v>
      </c>
    </row>
    <row r="3091" spans="1:16" hidden="1" x14ac:dyDescent="0.25">
      <c r="A3091">
        <v>0</v>
      </c>
      <c r="B3091">
        <v>30000</v>
      </c>
      <c r="C3091">
        <f>1.225 * (1 - 0.00000687559 * B3091) ^ 4.2561</f>
        <v>0.45828836225470948</v>
      </c>
      <c r="D3091">
        <f>E3091*(SQRT($C$2/C3091))</f>
        <v>228.88991905154526</v>
      </c>
      <c r="E3091">
        <v>140</v>
      </c>
      <c r="F3091">
        <v>987</v>
      </c>
      <c r="G3091">
        <v>1250</v>
      </c>
      <c r="H3091">
        <f>CONVERT(G3091,"HP","kW")</f>
        <v>932.12483947783778</v>
      </c>
      <c r="I3091">
        <v>0.8599</v>
      </c>
      <c r="J3091">
        <v>1.8065</v>
      </c>
      <c r="K3091">
        <v>0.61080000000000001</v>
      </c>
      <c r="L3091">
        <v>0.4677</v>
      </c>
      <c r="M3091">
        <v>0.22259999999999999</v>
      </c>
      <c r="N3091">
        <f>CONVERT(O3091,"lbf","N")</f>
        <v>6807.1135378331437</v>
      </c>
      <c r="O3091">
        <v>1530.3</v>
      </c>
      <c r="P3091">
        <f t="shared" si="48"/>
        <v>0.47594611930724823</v>
      </c>
    </row>
    <row r="3092" spans="1:16" hidden="1" x14ac:dyDescent="0.25">
      <c r="A3092">
        <v>0</v>
      </c>
      <c r="B3092">
        <v>30000</v>
      </c>
      <c r="C3092">
        <f>1.225 * (1 - 0.00000687559 * B3092) ^ 4.2561</f>
        <v>0.45828836225470948</v>
      </c>
      <c r="D3092">
        <f>E3092*(SQRT($C$2/C3092))</f>
        <v>261.58847891605171</v>
      </c>
      <c r="E3092">
        <v>160</v>
      </c>
      <c r="F3092">
        <v>987</v>
      </c>
      <c r="G3092">
        <v>1250</v>
      </c>
      <c r="H3092">
        <f>CONVERT(G3092,"HP","kW")</f>
        <v>932.12483947783778</v>
      </c>
      <c r="I3092">
        <v>0.87549999999999994</v>
      </c>
      <c r="J3092">
        <v>2.0644999999999998</v>
      </c>
      <c r="K3092">
        <v>0.64780000000000004</v>
      </c>
      <c r="L3092">
        <v>0.4677</v>
      </c>
      <c r="M3092">
        <v>0.1983</v>
      </c>
      <c r="N3092">
        <f>CONVERT(O3092,"lbf","N")</f>
        <v>6064.2605280846392</v>
      </c>
      <c r="O3092">
        <v>1363.3</v>
      </c>
      <c r="P3092">
        <f t="shared" si="48"/>
        <v>0.42398973701090442</v>
      </c>
    </row>
    <row r="3093" spans="1:16" hidden="1" x14ac:dyDescent="0.25">
      <c r="A3093">
        <v>0</v>
      </c>
      <c r="B3093">
        <v>30000</v>
      </c>
      <c r="C3093">
        <f>1.225 * (1 - 0.00000687559 * B3093) ^ 4.2561</f>
        <v>0.45828836225470948</v>
      </c>
      <c r="D3093">
        <f>E3093*(SQRT($C$2/C3093))</f>
        <v>359.68415850957115</v>
      </c>
      <c r="E3093">
        <v>220</v>
      </c>
      <c r="F3093">
        <v>987</v>
      </c>
      <c r="G3093">
        <v>1250</v>
      </c>
      <c r="H3093">
        <f>CONVERT(G3093,"HP","kW")</f>
        <v>932.12483947783778</v>
      </c>
      <c r="I3093">
        <v>0.81430000000000002</v>
      </c>
      <c r="J3093">
        <v>2.8386999999999998</v>
      </c>
      <c r="K3093">
        <v>0.77180000000000004</v>
      </c>
      <c r="L3093">
        <v>0.4677</v>
      </c>
      <c r="M3093">
        <v>0.13420000000000001</v>
      </c>
      <c r="N3093">
        <f>CONVERT(O3093,"lbf","N")</f>
        <v>4102.149973593233</v>
      </c>
      <c r="O3093">
        <v>922.2</v>
      </c>
      <c r="P3093">
        <f t="shared" si="48"/>
        <v>0.28693607013042549</v>
      </c>
    </row>
    <row r="3094" spans="1:16" hidden="1" x14ac:dyDescent="0.25">
      <c r="A3094">
        <v>0</v>
      </c>
      <c r="B3094">
        <v>30000</v>
      </c>
      <c r="C3094">
        <f>1.225 * (1 - 0.00000687559 * B3094) ^ 4.2561</f>
        <v>0.45828836225470948</v>
      </c>
      <c r="D3094">
        <f>E3094*(SQRT($C$2/C3094))</f>
        <v>98.095679593519407</v>
      </c>
      <c r="E3094">
        <v>60</v>
      </c>
      <c r="F3094">
        <v>987</v>
      </c>
      <c r="G3094">
        <v>1250</v>
      </c>
      <c r="H3094">
        <f>CONVERT(G3094,"HP","kW")</f>
        <v>932.12483947783778</v>
      </c>
      <c r="I3094">
        <v>0.4677</v>
      </c>
      <c r="J3094">
        <v>0.7742</v>
      </c>
      <c r="K3094">
        <v>0.49690000000000001</v>
      </c>
      <c r="L3094">
        <v>0.46779999999999999</v>
      </c>
      <c r="M3094">
        <v>0.28260000000000002</v>
      </c>
      <c r="N3094">
        <f>CONVERT(O3094,"lbf","N")</f>
        <v>8638.8911989974167</v>
      </c>
      <c r="O3094">
        <v>1942.1</v>
      </c>
      <c r="P3094">
        <f t="shared" si="48"/>
        <v>0.60410431808465159</v>
      </c>
    </row>
    <row r="3095" spans="1:16" hidden="1" x14ac:dyDescent="0.25">
      <c r="A3095">
        <v>0</v>
      </c>
      <c r="B3095">
        <v>30000</v>
      </c>
      <c r="C3095">
        <f>1.225 * (1 - 0.00000687559 * B3095) ^ 4.2561</f>
        <v>0.45828836225470948</v>
      </c>
      <c r="D3095">
        <f>E3095*(SQRT($C$2/C3095))</f>
        <v>196.19135918703881</v>
      </c>
      <c r="E3095">
        <v>120</v>
      </c>
      <c r="F3095">
        <v>987</v>
      </c>
      <c r="G3095">
        <v>1250</v>
      </c>
      <c r="H3095">
        <f>CONVERT(G3095,"HP","kW")</f>
        <v>932.12483947783778</v>
      </c>
      <c r="I3095">
        <v>0.83350000000000002</v>
      </c>
      <c r="J3095">
        <v>1.5484</v>
      </c>
      <c r="K3095">
        <v>0.57669999999999999</v>
      </c>
      <c r="L3095">
        <v>0.46779999999999999</v>
      </c>
      <c r="M3095">
        <v>0.25180000000000002</v>
      </c>
      <c r="N3095">
        <f>CONVERT(O3095,"lbf","N")</f>
        <v>7698.5371495313475</v>
      </c>
      <c r="O3095">
        <v>1730.7</v>
      </c>
      <c r="P3095">
        <f t="shared" si="48"/>
        <v>0.53826421547669945</v>
      </c>
    </row>
    <row r="3096" spans="1:16" hidden="1" x14ac:dyDescent="0.25">
      <c r="A3096">
        <v>0</v>
      </c>
      <c r="B3096">
        <v>30000</v>
      </c>
      <c r="C3096">
        <f>1.225 * (1 - 0.00000687559 * B3096) ^ 4.2561</f>
        <v>0.45828836225470948</v>
      </c>
      <c r="D3096">
        <f>E3096*(SQRT($C$2/C3096))</f>
        <v>294.28703878055819</v>
      </c>
      <c r="E3096">
        <v>180</v>
      </c>
      <c r="F3096">
        <v>987</v>
      </c>
      <c r="G3096">
        <v>1250</v>
      </c>
      <c r="H3096">
        <f>CONVERT(G3096,"HP","kW")</f>
        <v>932.12483947783778</v>
      </c>
      <c r="I3096">
        <v>0.88160000000000005</v>
      </c>
      <c r="J3096">
        <v>2.3226</v>
      </c>
      <c r="K3096">
        <v>0.68720000000000003</v>
      </c>
      <c r="L3096">
        <v>0.46779999999999999</v>
      </c>
      <c r="M3096">
        <v>0.17760000000000001</v>
      </c>
      <c r="N3096">
        <f>CONVERT(O3096,"lbf","N")</f>
        <v>5428.1648371023884</v>
      </c>
      <c r="O3096">
        <v>1220.3</v>
      </c>
      <c r="P3096">
        <f t="shared" si="48"/>
        <v>0.37964942283026937</v>
      </c>
    </row>
    <row r="3097" spans="1:16" hidden="1" x14ac:dyDescent="0.25">
      <c r="A3097">
        <v>0</v>
      </c>
      <c r="B3097">
        <v>30000</v>
      </c>
      <c r="C3097">
        <f>1.225 * (1 - 0.00000687559 * B3097) ^ 4.2561</f>
        <v>0.45828836225470948</v>
      </c>
      <c r="D3097">
        <f>E3097*(SQRT($C$2/C3097))</f>
        <v>392.38271837407763</v>
      </c>
      <c r="E3097">
        <v>240</v>
      </c>
      <c r="F3097">
        <v>987</v>
      </c>
      <c r="G3097">
        <v>1250</v>
      </c>
      <c r="H3097">
        <f>CONVERT(G3097,"HP","kW")</f>
        <v>932.12483947783778</v>
      </c>
      <c r="I3097">
        <v>0.66410000000000002</v>
      </c>
      <c r="J3097">
        <v>3.0968</v>
      </c>
      <c r="K3097">
        <v>0.81640000000000001</v>
      </c>
      <c r="L3097">
        <v>0.46779999999999999</v>
      </c>
      <c r="M3097">
        <v>0.1003</v>
      </c>
      <c r="N3097">
        <f>CONVERT(O3097,"lbf","N")</f>
        <v>3066.6039815605886</v>
      </c>
      <c r="O3097">
        <v>689.4</v>
      </c>
      <c r="P3097">
        <f t="shared" si="48"/>
        <v>0.21440786660966224</v>
      </c>
    </row>
    <row r="3098" spans="1:16" hidden="1" x14ac:dyDescent="0.25">
      <c r="A3098">
        <v>0</v>
      </c>
      <c r="B3098">
        <v>30000</v>
      </c>
      <c r="C3098">
        <f>1.225 * (1 - 0.00000687559 * B3098) ^ 4.2561</f>
        <v>0.45828836225470948</v>
      </c>
      <c r="D3098">
        <f>E3098*(SQRT($C$2/C3098))</f>
        <v>163.49279932253233</v>
      </c>
      <c r="E3098">
        <v>100</v>
      </c>
      <c r="F3098">
        <v>987</v>
      </c>
      <c r="G3098">
        <v>1250</v>
      </c>
      <c r="H3098">
        <f>CONVERT(G3098,"HP","kW")</f>
        <v>932.12483947783778</v>
      </c>
      <c r="I3098">
        <v>0.79020000000000001</v>
      </c>
      <c r="J3098">
        <v>1.2903</v>
      </c>
      <c r="K3098">
        <v>0.54579999999999995</v>
      </c>
      <c r="L3098">
        <v>0.46800000000000003</v>
      </c>
      <c r="M3098">
        <v>0.28660000000000002</v>
      </c>
      <c r="N3098">
        <f>CONVERT(O3098,"lbf","N")</f>
        <v>8757.213893963346</v>
      </c>
      <c r="O3098">
        <v>1968.7</v>
      </c>
      <c r="P3098">
        <f t="shared" si="48"/>
        <v>0.61239316239316244</v>
      </c>
    </row>
    <row r="3099" spans="1:16" hidden="1" x14ac:dyDescent="0.25">
      <c r="A3099">
        <v>0</v>
      </c>
      <c r="B3099">
        <v>25000</v>
      </c>
      <c r="C3099">
        <f>1.225 * (1 - 0.00000687559 * B3099) ^ 4.2561</f>
        <v>0.54892259437885793</v>
      </c>
      <c r="D3099">
        <f>E3099*(SQRT($C$2/C3099))</f>
        <v>298.77378321820675</v>
      </c>
      <c r="E3099">
        <v>200</v>
      </c>
      <c r="F3099">
        <v>987</v>
      </c>
      <c r="G3099">
        <v>1500</v>
      </c>
      <c r="H3099">
        <f>CONVERT(G3099,"HP","kW")</f>
        <v>1118.5498073734054</v>
      </c>
      <c r="I3099">
        <v>0.88229999999999997</v>
      </c>
      <c r="J3099">
        <v>2.3580000000000001</v>
      </c>
      <c r="K3099">
        <v>0.67820000000000003</v>
      </c>
      <c r="L3099">
        <v>0.46810000000000002</v>
      </c>
      <c r="M3099">
        <v>0.17510000000000001</v>
      </c>
      <c r="N3099">
        <f>CONVERT(O3099,"lbf","N")</f>
        <v>6420.563079467006</v>
      </c>
      <c r="O3099">
        <v>1443.4</v>
      </c>
      <c r="P3099">
        <f t="shared" si="48"/>
        <v>0.37406537064729761</v>
      </c>
    </row>
    <row r="3100" spans="1:16" hidden="1" x14ac:dyDescent="0.25">
      <c r="A3100">
        <v>0</v>
      </c>
      <c r="B3100">
        <v>30000</v>
      </c>
      <c r="C3100">
        <f>1.225 * (1 - 0.00000687559 * B3100) ^ 4.2561</f>
        <v>0.45828836225470948</v>
      </c>
      <c r="D3100">
        <f>E3100*(SQRT($C$2/C3100))</f>
        <v>326.98559864506467</v>
      </c>
      <c r="E3100">
        <v>200</v>
      </c>
      <c r="F3100">
        <v>987</v>
      </c>
      <c r="G3100">
        <v>1250</v>
      </c>
      <c r="H3100">
        <f>CONVERT(G3100,"HP","kW")</f>
        <v>932.12483947783778</v>
      </c>
      <c r="I3100">
        <v>0.87229999999999996</v>
      </c>
      <c r="J3100">
        <v>2.5807000000000002</v>
      </c>
      <c r="K3100">
        <v>0.72860000000000003</v>
      </c>
      <c r="L3100">
        <v>0.46820000000000001</v>
      </c>
      <c r="M3100">
        <v>0.15820000000000001</v>
      </c>
      <c r="N3100">
        <f>CONVERT(O3100,"lbf","N")</f>
        <v>4833.4376071420593</v>
      </c>
      <c r="O3100">
        <v>1086.5999999999999</v>
      </c>
      <c r="P3100">
        <f t="shared" si="48"/>
        <v>0.33788979068774028</v>
      </c>
    </row>
    <row r="3101" spans="1:16" hidden="1" x14ac:dyDescent="0.25">
      <c r="A3101">
        <v>0</v>
      </c>
      <c r="B3101">
        <v>25000</v>
      </c>
      <c r="C3101">
        <f>1.225 * (1 - 0.00000687559 * B3101) ^ 4.2561</f>
        <v>0.54892259437885793</v>
      </c>
      <c r="D3101">
        <f>E3101*(SQRT($C$2/C3101))</f>
        <v>59.754756643641343</v>
      </c>
      <c r="E3101">
        <v>40</v>
      </c>
      <c r="F3101">
        <v>987</v>
      </c>
      <c r="G3101">
        <v>1500</v>
      </c>
      <c r="H3101">
        <f>CONVERT(G3101,"HP","kW")</f>
        <v>1118.5498073734054</v>
      </c>
      <c r="I3101">
        <v>0.19819999999999999</v>
      </c>
      <c r="J3101">
        <v>0.47160000000000002</v>
      </c>
      <c r="K3101">
        <v>0.46910000000000002</v>
      </c>
      <c r="L3101">
        <v>0.46829999999999999</v>
      </c>
      <c r="M3101">
        <v>0.19689999999999999</v>
      </c>
      <c r="N3101">
        <f>CONVERT(O3101,"lbf","N")</f>
        <v>7212.7913491449008</v>
      </c>
      <c r="O3101">
        <v>1621.5</v>
      </c>
      <c r="P3101">
        <f t="shared" si="48"/>
        <v>0.42045697202647875</v>
      </c>
    </row>
    <row r="3102" spans="1:16" hidden="1" x14ac:dyDescent="0.25">
      <c r="A3102">
        <v>0</v>
      </c>
      <c r="B3102">
        <v>25000</v>
      </c>
      <c r="C3102">
        <f>1.225 * (1 - 0.00000687559 * B3102) ^ 4.2561</f>
        <v>0.54892259437885793</v>
      </c>
      <c r="D3102">
        <f>E3102*(SQRT($C$2/C3102))</f>
        <v>29.877378321820672</v>
      </c>
      <c r="E3102">
        <v>20</v>
      </c>
      <c r="F3102">
        <v>987</v>
      </c>
      <c r="G3102">
        <v>1500</v>
      </c>
      <c r="H3102">
        <f>CONVERT(G3102,"HP","kW")</f>
        <v>1118.5498073734054</v>
      </c>
      <c r="I3102">
        <v>8.1500000000000003E-2</v>
      </c>
      <c r="J3102">
        <v>0.23580000000000001</v>
      </c>
      <c r="K3102">
        <v>0.45200000000000001</v>
      </c>
      <c r="L3102">
        <v>0.46850000000000003</v>
      </c>
      <c r="M3102">
        <v>0.16189999999999999</v>
      </c>
      <c r="N3102">
        <f>CONVERT(O3102,"lbf","N")</f>
        <v>5930.3690574652992</v>
      </c>
      <c r="O3102">
        <v>1333.2</v>
      </c>
      <c r="P3102">
        <f t="shared" si="48"/>
        <v>0.34557097118463176</v>
      </c>
    </row>
    <row r="3103" spans="1:16" hidden="1" x14ac:dyDescent="0.25">
      <c r="A3103">
        <v>0</v>
      </c>
      <c r="B3103">
        <v>25000</v>
      </c>
      <c r="C3103">
        <f>1.225 * (1 - 0.00000687559 * B3103) ^ 4.2561</f>
        <v>0.54892259437885793</v>
      </c>
      <c r="D3103">
        <f>E3103*(SQRT($C$2/C3103))</f>
        <v>179.26426993092403</v>
      </c>
      <c r="E3103">
        <v>120</v>
      </c>
      <c r="F3103">
        <v>987</v>
      </c>
      <c r="G3103">
        <v>1500</v>
      </c>
      <c r="H3103">
        <f>CONVERT(G3103,"HP","kW")</f>
        <v>1118.5498073734054</v>
      </c>
      <c r="I3103">
        <v>0.81410000000000005</v>
      </c>
      <c r="J3103">
        <v>1.4148000000000001</v>
      </c>
      <c r="K3103">
        <v>0.54849999999999999</v>
      </c>
      <c r="L3103">
        <v>0.46850000000000003</v>
      </c>
      <c r="M3103">
        <v>0.26960000000000001</v>
      </c>
      <c r="N3103">
        <f>CONVERT(O3103,"lbf","N")</f>
        <v>9875.05198587831</v>
      </c>
      <c r="O3103">
        <v>2220</v>
      </c>
      <c r="P3103">
        <f t="shared" si="48"/>
        <v>0.57545357524012808</v>
      </c>
    </row>
    <row r="3104" spans="1:16" hidden="1" x14ac:dyDescent="0.25">
      <c r="A3104">
        <v>0</v>
      </c>
      <c r="B3104">
        <v>25000</v>
      </c>
      <c r="C3104">
        <f>1.225 * (1 - 0.00000687559 * B3104) ^ 4.2561</f>
        <v>0.54892259437885793</v>
      </c>
      <c r="D3104">
        <f>E3104*(SQRT($C$2/C3104))</f>
        <v>89.632134965462015</v>
      </c>
      <c r="E3104">
        <v>60</v>
      </c>
      <c r="F3104">
        <v>987</v>
      </c>
      <c r="G3104">
        <v>1500</v>
      </c>
      <c r="H3104">
        <f>CONVERT(G3104,"HP","kW")</f>
        <v>1118.5498073734054</v>
      </c>
      <c r="I3104">
        <v>0.40479999999999999</v>
      </c>
      <c r="J3104">
        <v>0.70740000000000003</v>
      </c>
      <c r="K3104">
        <v>0.4819</v>
      </c>
      <c r="L3104">
        <v>0.46860000000000002</v>
      </c>
      <c r="M3104">
        <v>0.26819999999999999</v>
      </c>
      <c r="N3104">
        <f>CONVERT(O3104,"lbf","N")</f>
        <v>9820.7836821721321</v>
      </c>
      <c r="O3104">
        <v>2207.8000000000002</v>
      </c>
      <c r="P3104">
        <f t="shared" si="48"/>
        <v>0.57234314980793854</v>
      </c>
    </row>
    <row r="3105" spans="1:16" hidden="1" x14ac:dyDescent="0.25">
      <c r="A3105">
        <v>0</v>
      </c>
      <c r="B3105">
        <v>25000</v>
      </c>
      <c r="C3105">
        <f>1.225 * (1 - 0.00000687559 * B3105) ^ 4.2561</f>
        <v>0.54892259437885793</v>
      </c>
      <c r="D3105">
        <f>E3105*(SQRT($C$2/C3105))</f>
        <v>119.50951328728269</v>
      </c>
      <c r="E3105">
        <v>80</v>
      </c>
      <c r="F3105">
        <v>987</v>
      </c>
      <c r="G3105">
        <v>1500</v>
      </c>
      <c r="H3105">
        <f>CONVERT(G3105,"HP","kW")</f>
        <v>1118.5498073734054</v>
      </c>
      <c r="I3105">
        <v>0.63300000000000001</v>
      </c>
      <c r="J3105">
        <v>0.94320000000000004</v>
      </c>
      <c r="K3105">
        <v>0.49980000000000002</v>
      </c>
      <c r="L3105">
        <v>0.46860000000000002</v>
      </c>
      <c r="M3105">
        <v>0.3145</v>
      </c>
      <c r="N3105">
        <f>CONVERT(O3105,"lbf","N")</f>
        <v>11517.335406232485</v>
      </c>
      <c r="O3105">
        <v>2589.1999999999998</v>
      </c>
      <c r="P3105">
        <f t="shared" si="48"/>
        <v>0.67114810072556552</v>
      </c>
    </row>
    <row r="3106" spans="1:16" hidden="1" x14ac:dyDescent="0.25">
      <c r="A3106">
        <v>0</v>
      </c>
      <c r="B3106">
        <v>25000</v>
      </c>
      <c r="C3106">
        <f>1.225 * (1 - 0.00000687559 * B3106) ^ 4.2561</f>
        <v>0.54892259437885793</v>
      </c>
      <c r="D3106">
        <f>E3106*(SQRT($C$2/C3106))</f>
        <v>209.14164825274472</v>
      </c>
      <c r="E3106">
        <v>140</v>
      </c>
      <c r="F3106">
        <v>987</v>
      </c>
      <c r="G3106">
        <v>1500</v>
      </c>
      <c r="H3106">
        <f>CONVERT(G3106,"HP","kW")</f>
        <v>1118.5498073734054</v>
      </c>
      <c r="I3106">
        <v>0.84560000000000002</v>
      </c>
      <c r="J3106">
        <v>1.6506000000000001</v>
      </c>
      <c r="K3106">
        <v>0.57750000000000001</v>
      </c>
      <c r="L3106">
        <v>0.46860000000000002</v>
      </c>
      <c r="M3106">
        <v>0.24010000000000001</v>
      </c>
      <c r="N3106">
        <f>CONVERT(O3106,"lbf","N")</f>
        <v>8791.4652004008531</v>
      </c>
      <c r="O3106">
        <v>1976.4</v>
      </c>
      <c r="P3106">
        <f t="shared" si="48"/>
        <v>0.51237729406743493</v>
      </c>
    </row>
    <row r="3107" spans="1:16" hidden="1" x14ac:dyDescent="0.25">
      <c r="A3107">
        <v>0</v>
      </c>
      <c r="B3107">
        <v>25000</v>
      </c>
      <c r="C3107">
        <f>1.225 * (1 - 0.00000687559 * B3107) ^ 4.2561</f>
        <v>0.54892259437885793</v>
      </c>
      <c r="D3107">
        <f>E3107*(SQRT($C$2/C3107))</f>
        <v>239.01902657456537</v>
      </c>
      <c r="E3107">
        <v>160</v>
      </c>
      <c r="F3107">
        <v>987</v>
      </c>
      <c r="G3107">
        <v>1500</v>
      </c>
      <c r="H3107">
        <f>CONVERT(G3107,"HP","kW")</f>
        <v>1118.5498073734054</v>
      </c>
      <c r="I3107">
        <v>0.8659</v>
      </c>
      <c r="J3107">
        <v>1.8864000000000001</v>
      </c>
      <c r="K3107">
        <v>0.6089</v>
      </c>
      <c r="L3107">
        <v>0.46860000000000002</v>
      </c>
      <c r="M3107">
        <v>0.21510000000000001</v>
      </c>
      <c r="N3107">
        <f>CONVERT(O3107,"lbf","N")</f>
        <v>7876.9108363032938</v>
      </c>
      <c r="O3107">
        <v>1770.8</v>
      </c>
      <c r="P3107">
        <f t="shared" si="48"/>
        <v>0.45902688860435342</v>
      </c>
    </row>
    <row r="3108" spans="1:16" hidden="1" x14ac:dyDescent="0.25">
      <c r="A3108">
        <v>0</v>
      </c>
      <c r="B3108">
        <v>25000</v>
      </c>
      <c r="C3108">
        <f>1.225 * (1 - 0.00000687559 * B3108) ^ 4.2561</f>
        <v>0.54892259437885793</v>
      </c>
      <c r="D3108">
        <f>E3108*(SQRT($C$2/C3108))</f>
        <v>268.89640489638606</v>
      </c>
      <c r="E3108">
        <v>180</v>
      </c>
      <c r="F3108">
        <v>987</v>
      </c>
      <c r="G3108">
        <v>1500</v>
      </c>
      <c r="H3108">
        <f>CONVERT(G3108,"HP","kW")</f>
        <v>1118.5498073734054</v>
      </c>
      <c r="I3108">
        <v>0.87790000000000001</v>
      </c>
      <c r="J3108">
        <v>2.1221999999999999</v>
      </c>
      <c r="K3108">
        <v>0.64259999999999995</v>
      </c>
      <c r="L3108">
        <v>0.46860000000000002</v>
      </c>
      <c r="M3108">
        <v>0.19389999999999999</v>
      </c>
      <c r="N3108">
        <f>CONVERT(O3108,"lbf","N")</f>
        <v>7099.3616979557582</v>
      </c>
      <c r="O3108">
        <v>1596</v>
      </c>
      <c r="P3108">
        <f t="shared" si="48"/>
        <v>0.41378574477166025</v>
      </c>
    </row>
    <row r="3109" spans="1:16" hidden="1" x14ac:dyDescent="0.25">
      <c r="A3109">
        <v>0</v>
      </c>
      <c r="B3109">
        <v>25000</v>
      </c>
      <c r="C3109">
        <f>1.225 * (1 - 0.00000687559 * B3109) ^ 4.2561</f>
        <v>0.54892259437885793</v>
      </c>
      <c r="D3109">
        <f>E3109*(SQRT($C$2/C3109))</f>
        <v>328.65116154002743</v>
      </c>
      <c r="E3109">
        <v>220</v>
      </c>
      <c r="F3109">
        <v>987</v>
      </c>
      <c r="G3109">
        <v>1500</v>
      </c>
      <c r="H3109">
        <f>CONVERT(G3109,"HP","kW")</f>
        <v>1118.5498073734054</v>
      </c>
      <c r="I3109">
        <v>0.87429999999999997</v>
      </c>
      <c r="J3109">
        <v>2.5937999999999999</v>
      </c>
      <c r="K3109">
        <v>0.71540000000000004</v>
      </c>
      <c r="L3109">
        <v>0.46860000000000002</v>
      </c>
      <c r="M3109">
        <v>0.158</v>
      </c>
      <c r="N3109">
        <f>CONVERT(O3109,"lbf","N")</f>
        <v>5784.4673884847543</v>
      </c>
      <c r="O3109">
        <v>1300.4000000000001</v>
      </c>
      <c r="P3109">
        <f t="shared" si="48"/>
        <v>0.33717456252667521</v>
      </c>
    </row>
    <row r="3110" spans="1:16" hidden="1" x14ac:dyDescent="0.25">
      <c r="A3110">
        <v>0</v>
      </c>
      <c r="B3110">
        <v>25000</v>
      </c>
      <c r="C3110">
        <f>1.225 * (1 - 0.00000687559 * B3110) ^ 4.2561</f>
        <v>0.54892259437885793</v>
      </c>
      <c r="D3110">
        <f>E3110*(SQRT($C$2/C3110))</f>
        <v>358.52853986184806</v>
      </c>
      <c r="E3110">
        <v>240</v>
      </c>
      <c r="F3110">
        <v>987</v>
      </c>
      <c r="G3110">
        <v>1500</v>
      </c>
      <c r="H3110">
        <f>CONVERT(G3110,"HP","kW")</f>
        <v>1118.5498073734054</v>
      </c>
      <c r="I3110">
        <v>0.8327</v>
      </c>
      <c r="J3110">
        <v>2.8296000000000001</v>
      </c>
      <c r="K3110">
        <v>0.75409999999999999</v>
      </c>
      <c r="L3110">
        <v>0.46860000000000002</v>
      </c>
      <c r="M3110">
        <v>0.13789999999999999</v>
      </c>
      <c r="N3110">
        <f>CONVERT(O3110,"lbf","N")</f>
        <v>5050.0659998052452</v>
      </c>
      <c r="O3110">
        <v>1135.3</v>
      </c>
      <c r="P3110">
        <f t="shared" si="48"/>
        <v>0.29428083653435766</v>
      </c>
    </row>
    <row r="3111" spans="1:16" hidden="1" x14ac:dyDescent="0.25">
      <c r="A3111">
        <v>0</v>
      </c>
      <c r="B3111">
        <v>25000</v>
      </c>
      <c r="C3111">
        <f>1.225 * (1 - 0.00000687559 * B3111) ^ 4.2561</f>
        <v>0.54892259437885793</v>
      </c>
      <c r="D3111">
        <f>E3111*(SQRT($C$2/C3111))</f>
        <v>388.40591818366875</v>
      </c>
      <c r="E3111">
        <v>260</v>
      </c>
      <c r="F3111">
        <v>987</v>
      </c>
      <c r="G3111">
        <v>1500</v>
      </c>
      <c r="H3111">
        <f>CONVERT(G3111,"HP","kW")</f>
        <v>1118.5498073734054</v>
      </c>
      <c r="I3111">
        <v>0.73329999999999995</v>
      </c>
      <c r="J3111">
        <v>3.0653999999999999</v>
      </c>
      <c r="K3111">
        <v>0.79390000000000005</v>
      </c>
      <c r="L3111">
        <v>0.46860000000000002</v>
      </c>
      <c r="M3111">
        <v>0.11210000000000001</v>
      </c>
      <c r="N3111">
        <f>CONVERT(O3111,"lbf","N")</f>
        <v>4105.2637287239149</v>
      </c>
      <c r="O3111">
        <v>922.9</v>
      </c>
      <c r="P3111">
        <f t="shared" si="48"/>
        <v>0.23922321809645752</v>
      </c>
    </row>
    <row r="3112" spans="1:16" hidden="1" x14ac:dyDescent="0.25">
      <c r="A3112">
        <v>0</v>
      </c>
      <c r="B3112">
        <v>25000</v>
      </c>
      <c r="C3112">
        <f>1.225 * (1 - 0.00000687559 * B3112) ^ 4.2561</f>
        <v>0.54892259437885793</v>
      </c>
      <c r="D3112">
        <f>E3112*(SQRT($C$2/C3112))</f>
        <v>149.38689160910337</v>
      </c>
      <c r="E3112">
        <v>100</v>
      </c>
      <c r="F3112">
        <v>987</v>
      </c>
      <c r="G3112">
        <v>1500</v>
      </c>
      <c r="H3112">
        <f>CONVERT(G3112,"HP","kW")</f>
        <v>1118.5498073734054</v>
      </c>
      <c r="I3112">
        <v>0.7591</v>
      </c>
      <c r="J3112">
        <v>1.179</v>
      </c>
      <c r="K3112">
        <v>0.52239999999999998</v>
      </c>
      <c r="L3112">
        <v>0.46870000000000001</v>
      </c>
      <c r="M3112">
        <v>0.30180000000000001</v>
      </c>
      <c r="N3112">
        <f>CONVERT(O3112,"lbf","N")</f>
        <v>11048.937670145557</v>
      </c>
      <c r="O3112">
        <v>2483.9</v>
      </c>
      <c r="P3112">
        <f t="shared" si="48"/>
        <v>0.64390868359291664</v>
      </c>
    </row>
    <row r="3113" spans="1:16" hidden="1" x14ac:dyDescent="0.25">
      <c r="A3113">
        <v>0</v>
      </c>
      <c r="B3113">
        <v>30000</v>
      </c>
      <c r="C3113">
        <f>1.225 * (1 - 0.00000687559 * B3113) ^ 4.2561</f>
        <v>0.45828836225470948</v>
      </c>
      <c r="D3113">
        <f>E3113*(SQRT($C$2/C3113))</f>
        <v>65.397119729012928</v>
      </c>
      <c r="E3113">
        <v>40</v>
      </c>
      <c r="F3113">
        <v>1150</v>
      </c>
      <c r="G3113">
        <v>2000</v>
      </c>
      <c r="H3113">
        <f>CONVERT(G3113,"HP","kW")</f>
        <v>1491.3997431645405</v>
      </c>
      <c r="I3113">
        <v>0.2031</v>
      </c>
      <c r="J3113">
        <v>0.443</v>
      </c>
      <c r="K3113">
        <v>0.55569999999999997</v>
      </c>
      <c r="L3113">
        <v>0.47289999999999999</v>
      </c>
      <c r="M3113">
        <v>0.21690000000000001</v>
      </c>
      <c r="N3113">
        <f>CONVERT(O3113,"lbf","N")</f>
        <v>9004.5350157718294</v>
      </c>
      <c r="O3113">
        <v>2024.3</v>
      </c>
      <c r="P3113">
        <f t="shared" si="48"/>
        <v>0.45865933601184183</v>
      </c>
    </row>
    <row r="3114" spans="1:16" hidden="1" x14ac:dyDescent="0.25">
      <c r="A3114">
        <v>0</v>
      </c>
      <c r="B3114">
        <v>30000</v>
      </c>
      <c r="C3114">
        <f>1.225 * (1 - 0.00000687559 * B3114) ^ 4.2561</f>
        <v>0.45828836225470948</v>
      </c>
      <c r="D3114">
        <f>E3114*(SQRT($C$2/C3114))</f>
        <v>228.88991905154526</v>
      </c>
      <c r="E3114">
        <v>140</v>
      </c>
      <c r="F3114">
        <v>1150</v>
      </c>
      <c r="G3114">
        <v>2000</v>
      </c>
      <c r="H3114">
        <f>CONVERT(G3114,"HP","kW")</f>
        <v>1491.3997431645405</v>
      </c>
      <c r="I3114">
        <v>0.8296</v>
      </c>
      <c r="J3114">
        <v>1.5504</v>
      </c>
      <c r="K3114">
        <v>0.67220000000000002</v>
      </c>
      <c r="L3114">
        <v>0.47289999999999999</v>
      </c>
      <c r="M3114">
        <v>0.253</v>
      </c>
      <c r="N3114">
        <f>CONVERT(O3114,"lbf","N")</f>
        <v>10507.144277406827</v>
      </c>
      <c r="O3114">
        <v>2362.1</v>
      </c>
      <c r="P3114">
        <f t="shared" si="48"/>
        <v>0.53499682808204696</v>
      </c>
    </row>
    <row r="3115" spans="1:16" hidden="1" x14ac:dyDescent="0.25">
      <c r="A3115">
        <v>0</v>
      </c>
      <c r="B3115">
        <v>30000</v>
      </c>
      <c r="C3115">
        <f>1.225 * (1 - 0.00000687559 * B3115) ^ 4.2561</f>
        <v>0.45828836225470948</v>
      </c>
      <c r="D3115">
        <f>E3115*(SQRT($C$2/C3115))</f>
        <v>130.79423945802586</v>
      </c>
      <c r="E3115">
        <v>80</v>
      </c>
      <c r="F3115">
        <v>1150</v>
      </c>
      <c r="G3115">
        <v>2000</v>
      </c>
      <c r="H3115">
        <f>CONVERT(G3115,"HP","kW")</f>
        <v>1491.3997431645405</v>
      </c>
      <c r="I3115">
        <v>0.54920000000000002</v>
      </c>
      <c r="J3115">
        <v>0.88590000000000002</v>
      </c>
      <c r="K3115">
        <v>0.58909999999999996</v>
      </c>
      <c r="L3115">
        <v>0.47299999999999998</v>
      </c>
      <c r="M3115">
        <v>0.29320000000000002</v>
      </c>
      <c r="N3115">
        <f>CONVERT(O3115,"lbf","N")</f>
        <v>12174.337738806462</v>
      </c>
      <c r="O3115">
        <v>2736.9</v>
      </c>
      <c r="P3115">
        <f t="shared" si="48"/>
        <v>0.61987315010570831</v>
      </c>
    </row>
    <row r="3116" spans="1:16" hidden="1" x14ac:dyDescent="0.25">
      <c r="A3116">
        <v>0</v>
      </c>
      <c r="B3116">
        <v>30000</v>
      </c>
      <c r="C3116">
        <f>1.225 * (1 - 0.00000687559 * B3116) ^ 4.2561</f>
        <v>0.45828836225470948</v>
      </c>
      <c r="D3116">
        <f>E3116*(SQRT($C$2/C3116))</f>
        <v>98.095679593519407</v>
      </c>
      <c r="E3116">
        <v>60</v>
      </c>
      <c r="F3116">
        <v>1150</v>
      </c>
      <c r="G3116">
        <v>2000</v>
      </c>
      <c r="H3116">
        <f>CONVERT(G3116,"HP","kW")</f>
        <v>1491.3997431645405</v>
      </c>
      <c r="I3116">
        <v>0.36020000000000002</v>
      </c>
      <c r="J3116">
        <v>0.66449999999999998</v>
      </c>
      <c r="K3116">
        <v>0.56999999999999995</v>
      </c>
      <c r="L3116">
        <v>0.47310000000000002</v>
      </c>
      <c r="M3116">
        <v>0.25650000000000001</v>
      </c>
      <c r="N3116">
        <f>CONVERT(O3116,"lbf","N")</f>
        <v>10645.039147479902</v>
      </c>
      <c r="O3116">
        <v>2393.1</v>
      </c>
      <c r="P3116">
        <f t="shared" si="48"/>
        <v>0.54216867469879515</v>
      </c>
    </row>
    <row r="3117" spans="1:16" hidden="1" x14ac:dyDescent="0.25">
      <c r="A3117">
        <v>0</v>
      </c>
      <c r="B3117">
        <v>30000</v>
      </c>
      <c r="C3117">
        <f>1.225 * (1 - 0.00000687559 * B3117) ^ 4.2561</f>
        <v>0.45828836225470948</v>
      </c>
      <c r="D3117">
        <f>E3117*(SQRT($C$2/C3117))</f>
        <v>163.49279932253233</v>
      </c>
      <c r="E3117">
        <v>100</v>
      </c>
      <c r="F3117">
        <v>1150</v>
      </c>
      <c r="G3117">
        <v>2000</v>
      </c>
      <c r="H3117">
        <f>CONVERT(G3117,"HP","kW")</f>
        <v>1491.3997431645405</v>
      </c>
      <c r="I3117">
        <v>0.71819999999999995</v>
      </c>
      <c r="J3117">
        <v>1.1073999999999999</v>
      </c>
      <c r="K3117">
        <v>0.6129</v>
      </c>
      <c r="L3117">
        <v>0.47310000000000002</v>
      </c>
      <c r="M3117">
        <v>0.30680000000000002</v>
      </c>
      <c r="N3117">
        <f>CONVERT(O3117,"lbf","N")</f>
        <v>12735.703306652338</v>
      </c>
      <c r="O3117">
        <v>2863.1</v>
      </c>
      <c r="P3117">
        <f t="shared" si="48"/>
        <v>0.64848869160853939</v>
      </c>
    </row>
    <row r="3118" spans="1:16" hidden="1" x14ac:dyDescent="0.25">
      <c r="A3118">
        <v>0</v>
      </c>
      <c r="B3118">
        <v>30000</v>
      </c>
      <c r="C3118">
        <f>1.225 * (1 - 0.00000687559 * B3118) ^ 4.2561</f>
        <v>0.45828836225470948</v>
      </c>
      <c r="D3118">
        <f>E3118*(SQRT($C$2/C3118))</f>
        <v>196.19135918703881</v>
      </c>
      <c r="E3118">
        <v>120</v>
      </c>
      <c r="F3118">
        <v>1150</v>
      </c>
      <c r="G3118">
        <v>2000</v>
      </c>
      <c r="H3118">
        <f>CONVERT(G3118,"HP","kW")</f>
        <v>1491.3997431645405</v>
      </c>
      <c r="I3118">
        <v>0.78890000000000005</v>
      </c>
      <c r="J3118">
        <v>1.3289</v>
      </c>
      <c r="K3118">
        <v>0.64090000000000003</v>
      </c>
      <c r="L3118">
        <v>0.47310000000000002</v>
      </c>
      <c r="M3118">
        <v>0.28089999999999998</v>
      </c>
      <c r="N3118">
        <f>CONVERT(O3118,"lbf","N")</f>
        <v>11657.009564951666</v>
      </c>
      <c r="O3118">
        <v>2620.6</v>
      </c>
      <c r="P3118">
        <f t="shared" si="48"/>
        <v>0.59374339463115611</v>
      </c>
    </row>
    <row r="3119" spans="1:16" hidden="1" x14ac:dyDescent="0.25">
      <c r="A3119">
        <v>0</v>
      </c>
      <c r="B3119">
        <v>30000</v>
      </c>
      <c r="C3119">
        <f>1.225 * (1 - 0.00000687559 * B3119) ^ 4.2561</f>
        <v>0.45828836225470948</v>
      </c>
      <c r="D3119">
        <f>E3119*(SQRT($C$2/C3119))</f>
        <v>359.68415850957115</v>
      </c>
      <c r="E3119">
        <v>220</v>
      </c>
      <c r="F3119">
        <v>1150</v>
      </c>
      <c r="G3119">
        <v>2000</v>
      </c>
      <c r="H3119">
        <f>CONVERT(G3119,"HP","kW")</f>
        <v>1491.3997431645405</v>
      </c>
      <c r="I3119">
        <v>0.7944</v>
      </c>
      <c r="J3119">
        <v>2.4363999999999999</v>
      </c>
      <c r="K3119">
        <v>0.82150000000000001</v>
      </c>
      <c r="L3119">
        <v>0.47310000000000002</v>
      </c>
      <c r="M3119">
        <v>0.15429999999999999</v>
      </c>
      <c r="N3119">
        <f>CONVERT(O3119,"lbf","N")</f>
        <v>6402.7701930059648</v>
      </c>
      <c r="O3119">
        <v>1439.4</v>
      </c>
      <c r="P3119">
        <f t="shared" si="48"/>
        <v>0.32614669203128299</v>
      </c>
    </row>
    <row r="3120" spans="1:16" hidden="1" x14ac:dyDescent="0.25">
      <c r="A3120">
        <v>0</v>
      </c>
      <c r="B3120">
        <v>30000</v>
      </c>
      <c r="C3120">
        <f>1.225 * (1 - 0.00000687559 * B3120) ^ 4.2561</f>
        <v>0.45828836225470948</v>
      </c>
      <c r="D3120">
        <f>E3120*(SQRT($C$2/C3120))</f>
        <v>392.38271837407763</v>
      </c>
      <c r="E3120">
        <v>240</v>
      </c>
      <c r="F3120">
        <v>1150</v>
      </c>
      <c r="G3120">
        <v>2000</v>
      </c>
      <c r="H3120">
        <f>CONVERT(G3120,"HP","kW")</f>
        <v>1491.3997431645405</v>
      </c>
      <c r="I3120">
        <v>0.67430000000000001</v>
      </c>
      <c r="J3120">
        <v>2.6577999999999999</v>
      </c>
      <c r="K3120">
        <v>0.86380000000000001</v>
      </c>
      <c r="L3120">
        <v>0.47310000000000002</v>
      </c>
      <c r="M3120">
        <v>0.12</v>
      </c>
      <c r="N3120">
        <f>CONVERT(O3120,"lbf","N")</f>
        <v>4982.0082090917604</v>
      </c>
      <c r="O3120">
        <v>1120</v>
      </c>
      <c r="P3120">
        <f t="shared" si="48"/>
        <v>0.2536461636017755</v>
      </c>
    </row>
    <row r="3121" spans="1:16" hidden="1" x14ac:dyDescent="0.25">
      <c r="A3121">
        <v>0</v>
      </c>
      <c r="B3121">
        <v>30000</v>
      </c>
      <c r="C3121">
        <f>1.225 * (1 - 0.00000687559 * B3121) ^ 4.2561</f>
        <v>0.45828836225470948</v>
      </c>
      <c r="D3121">
        <f>E3121*(SQRT($C$2/C3121))</f>
        <v>261.58847891605171</v>
      </c>
      <c r="E3121">
        <v>160</v>
      </c>
      <c r="F3121">
        <v>1150</v>
      </c>
      <c r="G3121">
        <v>2000</v>
      </c>
      <c r="H3121">
        <f>CONVERT(G3121,"HP","kW")</f>
        <v>1491.3997431645405</v>
      </c>
      <c r="I3121">
        <v>0.85309999999999997</v>
      </c>
      <c r="J3121">
        <v>1.7719</v>
      </c>
      <c r="K3121">
        <v>0.70609999999999995</v>
      </c>
      <c r="L3121">
        <v>0.47320000000000001</v>
      </c>
      <c r="M3121">
        <v>0.2278</v>
      </c>
      <c r="N3121">
        <f>CONVERT(O3121,"lbf","N")</f>
        <v>9454.6950432361919</v>
      </c>
      <c r="O3121">
        <v>2125.5</v>
      </c>
      <c r="P3121">
        <f t="shared" si="48"/>
        <v>0.48140321217244292</v>
      </c>
    </row>
    <row r="3122" spans="1:16" hidden="1" x14ac:dyDescent="0.25">
      <c r="A3122">
        <v>0</v>
      </c>
      <c r="B3122">
        <v>30000</v>
      </c>
      <c r="C3122">
        <f>1.225 * (1 - 0.00000687559 * B3122) ^ 4.2561</f>
        <v>0.45828836225470948</v>
      </c>
      <c r="D3122">
        <f>E3122*(SQRT($C$2/C3122))</f>
        <v>294.28703878055819</v>
      </c>
      <c r="E3122">
        <v>180</v>
      </c>
      <c r="F3122">
        <v>1150</v>
      </c>
      <c r="G3122">
        <v>2000</v>
      </c>
      <c r="H3122">
        <f>CONVERT(G3122,"HP","kW")</f>
        <v>1491.3997431645405</v>
      </c>
      <c r="I3122">
        <v>0.86299999999999999</v>
      </c>
      <c r="J3122">
        <v>1.9934000000000001</v>
      </c>
      <c r="K3122">
        <v>0.74250000000000005</v>
      </c>
      <c r="L3122">
        <v>0.47320000000000001</v>
      </c>
      <c r="M3122">
        <v>0.2049</v>
      </c>
      <c r="N3122">
        <f>CONVERT(O3122,"lbf","N")</f>
        <v>8501.4411510858681</v>
      </c>
      <c r="O3122">
        <v>1911.2</v>
      </c>
      <c r="P3122">
        <f t="shared" si="48"/>
        <v>0.43300929839391378</v>
      </c>
    </row>
    <row r="3123" spans="1:16" hidden="1" x14ac:dyDescent="0.25">
      <c r="A3123">
        <v>0</v>
      </c>
      <c r="B3123">
        <v>30000</v>
      </c>
      <c r="C3123">
        <f>1.225 * (1 - 0.00000687559 * B3123) ^ 4.2561</f>
        <v>0.45828836225470948</v>
      </c>
      <c r="D3123">
        <f>E3123*(SQRT($C$2/C3123))</f>
        <v>326.98559864506467</v>
      </c>
      <c r="E3123">
        <v>200</v>
      </c>
      <c r="F3123">
        <v>1150</v>
      </c>
      <c r="G3123">
        <v>2000</v>
      </c>
      <c r="H3123">
        <f>CONVERT(G3123,"HP","kW")</f>
        <v>1491.3997431645405</v>
      </c>
      <c r="I3123">
        <v>0.8458</v>
      </c>
      <c r="J3123">
        <v>2.2149000000000001</v>
      </c>
      <c r="K3123">
        <v>0.78110000000000002</v>
      </c>
      <c r="L3123">
        <v>0.47320000000000001</v>
      </c>
      <c r="M3123">
        <v>0.1807</v>
      </c>
      <c r="N3123">
        <f>CONVERT(O3123,"lbf","N")</f>
        <v>7499.256821167678</v>
      </c>
      <c r="O3123">
        <v>1685.9</v>
      </c>
      <c r="P3123">
        <f t="shared" si="48"/>
        <v>0.38186813186813184</v>
      </c>
    </row>
    <row r="3124" spans="1:16" hidden="1" x14ac:dyDescent="0.25">
      <c r="A3124">
        <v>0</v>
      </c>
      <c r="B3124">
        <v>30000</v>
      </c>
      <c r="C3124">
        <f>1.225 * (1 - 0.00000687559 * B3124) ^ 4.2561</f>
        <v>0.45828836225470948</v>
      </c>
      <c r="D3124">
        <f>E3124*(SQRT($C$2/C3124))</f>
        <v>425.08127823858405</v>
      </c>
      <c r="E3124">
        <v>260</v>
      </c>
      <c r="F3124">
        <v>1150</v>
      </c>
      <c r="G3124">
        <v>2000</v>
      </c>
      <c r="H3124">
        <f>CONVERT(G3124,"HP","kW")</f>
        <v>1491.3997431645405</v>
      </c>
      <c r="I3124">
        <v>0.46510000000000001</v>
      </c>
      <c r="J3124">
        <v>2.8793000000000002</v>
      </c>
      <c r="K3124">
        <v>0.9073</v>
      </c>
      <c r="L3124">
        <v>0.4733</v>
      </c>
      <c r="M3124">
        <v>7.6499999999999999E-2</v>
      </c>
      <c r="N3124">
        <f>CONVERT(O3124,"lbf","N")</f>
        <v>3172.4716560037887</v>
      </c>
      <c r="O3124">
        <v>713.2</v>
      </c>
      <c r="P3124">
        <f t="shared" si="48"/>
        <v>0.1616311007817452</v>
      </c>
    </row>
    <row r="3125" spans="1:16" hidden="1" x14ac:dyDescent="0.25">
      <c r="A3125">
        <v>0</v>
      </c>
      <c r="B3125">
        <v>30000</v>
      </c>
      <c r="C3125">
        <f>1.225 * (1 - 0.00000687559 * B3125) ^ 4.2561</f>
        <v>0.45828836225470948</v>
      </c>
      <c r="D3125">
        <f>E3125*(SQRT($C$2/C3125))</f>
        <v>0</v>
      </c>
      <c r="E3125">
        <v>0</v>
      </c>
      <c r="F3125">
        <v>1150</v>
      </c>
      <c r="G3125">
        <v>2000</v>
      </c>
      <c r="H3125">
        <f>CONVERT(G3125,"HP","kW")</f>
        <v>1491.3997431645405</v>
      </c>
      <c r="I3125">
        <v>0</v>
      </c>
      <c r="J3125">
        <v>0</v>
      </c>
      <c r="K3125">
        <v>0.53869999999999996</v>
      </c>
      <c r="L3125">
        <v>0.47339999999999999</v>
      </c>
      <c r="M3125">
        <v>0.1855</v>
      </c>
      <c r="N3125">
        <f>CONVERT(O3125,"lbf","N")</f>
        <v>7695.4233944006655</v>
      </c>
      <c r="O3125">
        <v>1730</v>
      </c>
      <c r="P3125">
        <f t="shared" si="48"/>
        <v>0.39184621884241655</v>
      </c>
    </row>
    <row r="3126" spans="1:16" hidden="1" x14ac:dyDescent="0.25">
      <c r="A3126">
        <v>0</v>
      </c>
      <c r="B3126">
        <v>30000</v>
      </c>
      <c r="C3126">
        <f>1.225 * (1 - 0.00000687559 * B3126) ^ 4.2561</f>
        <v>0.45828836225470948</v>
      </c>
      <c r="D3126">
        <f>E3126*(SQRT($C$2/C3126))</f>
        <v>32.698559864506464</v>
      </c>
      <c r="E3126">
        <v>20</v>
      </c>
      <c r="F3126">
        <v>1150</v>
      </c>
      <c r="G3126">
        <v>2000</v>
      </c>
      <c r="H3126">
        <f>CONVERT(G3126,"HP","kW")</f>
        <v>1491.3997431645405</v>
      </c>
      <c r="I3126">
        <v>9.0999999999999998E-2</v>
      </c>
      <c r="J3126">
        <v>0.2215</v>
      </c>
      <c r="K3126">
        <v>0.54569999999999996</v>
      </c>
      <c r="L3126">
        <v>0.47339999999999999</v>
      </c>
      <c r="M3126">
        <v>0.1946</v>
      </c>
      <c r="N3126">
        <f>CONVERT(O3126,"lbf","N")</f>
        <v>8071.2981208901774</v>
      </c>
      <c r="O3126">
        <v>1814.5</v>
      </c>
      <c r="P3126">
        <f t="shared" si="48"/>
        <v>0.41106886354034644</v>
      </c>
    </row>
    <row r="3127" spans="1:16" hidden="1" x14ac:dyDescent="0.25">
      <c r="A3127">
        <v>0</v>
      </c>
      <c r="B3127">
        <v>10000</v>
      </c>
      <c r="C3127">
        <f>1.225 * (1 - 0.00000687559 * B3127) ^ 4.2561</f>
        <v>0.90462252368600637</v>
      </c>
      <c r="D3127">
        <f>E3127*(SQRT($C$2/C3127))</f>
        <v>209.4627741358866</v>
      </c>
      <c r="E3127">
        <v>180</v>
      </c>
      <c r="F3127">
        <v>987</v>
      </c>
      <c r="G3127">
        <v>2500</v>
      </c>
      <c r="H3127">
        <f>CONVERT(G3127,"HP","kW")</f>
        <v>1864.2496789556756</v>
      </c>
      <c r="I3127">
        <v>0.84560000000000002</v>
      </c>
      <c r="J3127">
        <v>1.6532</v>
      </c>
      <c r="K3127">
        <v>0.54490000000000005</v>
      </c>
      <c r="L3127">
        <v>0.47349999999999998</v>
      </c>
      <c r="M3127">
        <v>0.2422</v>
      </c>
      <c r="N3127">
        <f>CONVERT(O3127,"lbf","N")</f>
        <v>14628.866426107206</v>
      </c>
      <c r="O3127">
        <v>3288.7</v>
      </c>
      <c r="P3127">
        <f t="shared" si="48"/>
        <v>0.51151003167898634</v>
      </c>
    </row>
    <row r="3128" spans="1:16" hidden="1" x14ac:dyDescent="0.25">
      <c r="A3128">
        <v>0</v>
      </c>
      <c r="B3128">
        <v>10000</v>
      </c>
      <c r="C3128">
        <f>1.225 * (1 - 0.00000687559 * B3128) ^ 4.2561</f>
        <v>0.90462252368600637</v>
      </c>
      <c r="D3128">
        <f>E3128*(SQRT($C$2/C3128))</f>
        <v>302.55734041850286</v>
      </c>
      <c r="E3128">
        <v>260</v>
      </c>
      <c r="F3128">
        <v>987</v>
      </c>
      <c r="G3128">
        <v>2500</v>
      </c>
      <c r="H3128">
        <f>CONVERT(G3128,"HP","kW")</f>
        <v>1864.2496789556756</v>
      </c>
      <c r="I3128">
        <v>0.88339999999999996</v>
      </c>
      <c r="J3128">
        <v>2.3879000000000001</v>
      </c>
      <c r="K3128">
        <v>0.64390000000000003</v>
      </c>
      <c r="L3128">
        <v>0.47360000000000002</v>
      </c>
      <c r="M3128">
        <v>0.17519999999999999</v>
      </c>
      <c r="N3128">
        <f>CONVERT(O3128,"lbf","N")</f>
        <v>10580.539934058626</v>
      </c>
      <c r="O3128">
        <v>2378.6</v>
      </c>
      <c r="P3128">
        <f t="shared" si="48"/>
        <v>0.3699324324324324</v>
      </c>
    </row>
    <row r="3129" spans="1:16" hidden="1" x14ac:dyDescent="0.25">
      <c r="A3129">
        <v>0</v>
      </c>
      <c r="B3129">
        <v>10000</v>
      </c>
      <c r="C3129">
        <f>1.225 * (1 - 0.00000687559 * B3129) ^ 4.2561</f>
        <v>0.90462252368600637</v>
      </c>
      <c r="D3129">
        <f>E3129*(SQRT($C$2/C3129))</f>
        <v>69.820924711962206</v>
      </c>
      <c r="E3129">
        <v>60</v>
      </c>
      <c r="F3129">
        <v>987</v>
      </c>
      <c r="G3129">
        <v>2500</v>
      </c>
      <c r="H3129">
        <f>CONVERT(G3129,"HP","kW")</f>
        <v>1864.2496789556756</v>
      </c>
      <c r="I3129">
        <v>0.24990000000000001</v>
      </c>
      <c r="J3129">
        <v>0.55110000000000003</v>
      </c>
      <c r="K3129">
        <v>0.44600000000000001</v>
      </c>
      <c r="L3129">
        <v>0.47370000000000001</v>
      </c>
      <c r="M3129">
        <v>0.21490000000000001</v>
      </c>
      <c r="N3129">
        <f>CONVERT(O3129,"lbf","N")</f>
        <v>12972.793518745722</v>
      </c>
      <c r="O3129">
        <v>2916.4</v>
      </c>
      <c r="P3129">
        <f t="shared" si="48"/>
        <v>0.45366265568925479</v>
      </c>
    </row>
    <row r="3130" spans="1:16" hidden="1" x14ac:dyDescent="0.25">
      <c r="A3130">
        <v>0</v>
      </c>
      <c r="B3130">
        <v>10000</v>
      </c>
      <c r="C3130">
        <f>1.225 * (1 - 0.00000687559 * B3130) ^ 4.2561</f>
        <v>0.90462252368600637</v>
      </c>
      <c r="D3130">
        <f>E3130*(SQRT($C$2/C3130))</f>
        <v>139.64184942392441</v>
      </c>
      <c r="E3130">
        <v>120</v>
      </c>
      <c r="F3130">
        <v>987</v>
      </c>
      <c r="G3130">
        <v>2500</v>
      </c>
      <c r="H3130">
        <f>CONVERT(G3130,"HP","kW")</f>
        <v>1864.2496789556756</v>
      </c>
      <c r="I3130">
        <v>0.72870000000000001</v>
      </c>
      <c r="J3130">
        <v>1.1021000000000001</v>
      </c>
      <c r="K3130">
        <v>0.48520000000000002</v>
      </c>
      <c r="L3130">
        <v>0.47370000000000001</v>
      </c>
      <c r="M3130">
        <v>0.31319999999999998</v>
      </c>
      <c r="N3130">
        <f>CONVERT(O3130,"lbf","N")</f>
        <v>18909.390086472384</v>
      </c>
      <c r="O3130">
        <v>4251</v>
      </c>
      <c r="P3130">
        <f t="shared" si="48"/>
        <v>0.66117796073464208</v>
      </c>
    </row>
    <row r="3131" spans="1:16" hidden="1" x14ac:dyDescent="0.25">
      <c r="A3131">
        <v>0</v>
      </c>
      <c r="B3131">
        <v>10000</v>
      </c>
      <c r="C3131">
        <f>1.225 * (1 - 0.00000687559 * B3131) ^ 4.2561</f>
        <v>0.90462252368600637</v>
      </c>
      <c r="D3131">
        <f>E3131*(SQRT($C$2/C3131))</f>
        <v>93.09456628261627</v>
      </c>
      <c r="E3131">
        <v>80</v>
      </c>
      <c r="F3131">
        <v>987</v>
      </c>
      <c r="G3131">
        <v>2500</v>
      </c>
      <c r="H3131">
        <f>CONVERT(G3131,"HP","kW")</f>
        <v>1864.2496789556756</v>
      </c>
      <c r="I3131">
        <v>0.4178</v>
      </c>
      <c r="J3131">
        <v>0.73470000000000002</v>
      </c>
      <c r="K3131">
        <v>0.45619999999999999</v>
      </c>
      <c r="L3131">
        <v>0.47389999999999999</v>
      </c>
      <c r="M3131">
        <v>0.26950000000000002</v>
      </c>
      <c r="N3131">
        <f>CONVERT(O3131,"lbf","N")</f>
        <v>16263.143047553913</v>
      </c>
      <c r="O3131">
        <v>3656.1</v>
      </c>
      <c r="P3131">
        <f t="shared" si="48"/>
        <v>0.56868537666174301</v>
      </c>
    </row>
    <row r="3132" spans="1:16" hidden="1" x14ac:dyDescent="0.25">
      <c r="A3132">
        <v>0</v>
      </c>
      <c r="B3132">
        <v>10000</v>
      </c>
      <c r="C3132">
        <f>1.225 * (1 - 0.00000687559 * B3132) ^ 4.2561</f>
        <v>0.90462252368600637</v>
      </c>
      <c r="D3132">
        <f>E3132*(SQRT($C$2/C3132))</f>
        <v>186.18913256523254</v>
      </c>
      <c r="E3132">
        <v>160</v>
      </c>
      <c r="F3132">
        <v>987</v>
      </c>
      <c r="G3132">
        <v>2500</v>
      </c>
      <c r="H3132">
        <f>CONVERT(G3132,"HP","kW")</f>
        <v>1864.2496789556756</v>
      </c>
      <c r="I3132">
        <v>0.82199999999999995</v>
      </c>
      <c r="J3132">
        <v>1.4695</v>
      </c>
      <c r="K3132">
        <v>0.52329999999999999</v>
      </c>
      <c r="L3132">
        <v>0.47389999999999999</v>
      </c>
      <c r="M3132">
        <v>0.2651</v>
      </c>
      <c r="N3132">
        <f>CONVERT(O3132,"lbf","N")</f>
        <v>15998.473861445913</v>
      </c>
      <c r="O3132">
        <v>3596.6</v>
      </c>
      <c r="P3132">
        <f t="shared" si="48"/>
        <v>0.559400717450939</v>
      </c>
    </row>
    <row r="3133" spans="1:16" hidden="1" x14ac:dyDescent="0.25">
      <c r="A3133">
        <v>0</v>
      </c>
      <c r="B3133">
        <v>10000</v>
      </c>
      <c r="C3133">
        <f>1.225 * (1 - 0.00000687559 * B3133) ^ 4.2561</f>
        <v>0.90462252368600637</v>
      </c>
      <c r="D3133">
        <f>E3133*(SQRT($C$2/C3133))</f>
        <v>46.547283141308135</v>
      </c>
      <c r="E3133">
        <v>40</v>
      </c>
      <c r="F3133">
        <v>987</v>
      </c>
      <c r="G3133">
        <v>2500</v>
      </c>
      <c r="H3133">
        <f>CONVERT(G3133,"HP","kW")</f>
        <v>1864.2496789556756</v>
      </c>
      <c r="I3133">
        <v>0.13739999999999999</v>
      </c>
      <c r="J3133">
        <v>0.3674</v>
      </c>
      <c r="K3133">
        <v>0.438</v>
      </c>
      <c r="L3133">
        <v>0.47399999999999998</v>
      </c>
      <c r="M3133">
        <v>0.1772</v>
      </c>
      <c r="N3133">
        <f>CONVERT(O3133,"lbf","N")</f>
        <v>10693.524763086243</v>
      </c>
      <c r="O3133">
        <v>2404</v>
      </c>
      <c r="P3133">
        <f t="shared" si="48"/>
        <v>0.37383966244725741</v>
      </c>
    </row>
    <row r="3134" spans="1:16" hidden="1" x14ac:dyDescent="0.25">
      <c r="A3134">
        <v>0</v>
      </c>
      <c r="B3134">
        <v>10000</v>
      </c>
      <c r="C3134">
        <f>1.225 * (1 - 0.00000687559 * B3134) ^ 4.2561</f>
        <v>0.90462252368600637</v>
      </c>
      <c r="D3134">
        <f>E3134*(SQRT($C$2/C3134))</f>
        <v>232.73641570654067</v>
      </c>
      <c r="E3134">
        <v>200</v>
      </c>
      <c r="F3134">
        <v>987</v>
      </c>
      <c r="G3134">
        <v>2500</v>
      </c>
      <c r="H3134">
        <f>CONVERT(G3134,"HP","kW")</f>
        <v>1864.2496789556756</v>
      </c>
      <c r="I3134">
        <v>0.86209999999999998</v>
      </c>
      <c r="J3134">
        <v>1.8368</v>
      </c>
      <c r="K3134">
        <v>0.56779999999999997</v>
      </c>
      <c r="L3134">
        <v>0.47399999999999998</v>
      </c>
      <c r="M3134">
        <v>0.2225</v>
      </c>
      <c r="N3134">
        <f>CONVERT(O3134,"lbf","N")</f>
        <v>13424.288012694664</v>
      </c>
      <c r="O3134">
        <v>3017.9</v>
      </c>
      <c r="P3134">
        <f t="shared" si="48"/>
        <v>0.46940928270042198</v>
      </c>
    </row>
    <row r="3135" spans="1:16" hidden="1" x14ac:dyDescent="0.25">
      <c r="A3135">
        <v>0</v>
      </c>
      <c r="B3135">
        <v>10000</v>
      </c>
      <c r="C3135">
        <f>1.225 * (1 - 0.00000687559 * B3135) ^ 4.2561</f>
        <v>0.90462252368600637</v>
      </c>
      <c r="D3135">
        <f>E3135*(SQRT($C$2/C3135))</f>
        <v>256.01005727719473</v>
      </c>
      <c r="E3135">
        <v>220</v>
      </c>
      <c r="F3135">
        <v>987</v>
      </c>
      <c r="G3135">
        <v>2500</v>
      </c>
      <c r="H3135">
        <f>CONVERT(G3135,"HP","kW")</f>
        <v>1864.2496789556756</v>
      </c>
      <c r="I3135">
        <v>0.87360000000000004</v>
      </c>
      <c r="J3135">
        <v>2.0205000000000002</v>
      </c>
      <c r="K3135">
        <v>0.59209999999999996</v>
      </c>
      <c r="L3135">
        <v>0.47399999999999998</v>
      </c>
      <c r="M3135">
        <v>0.2049</v>
      </c>
      <c r="N3135">
        <f>CONVERT(O3135,"lbf","N")</f>
        <v>12365.611268262664</v>
      </c>
      <c r="O3135">
        <v>2779.9</v>
      </c>
      <c r="P3135">
        <f t="shared" si="48"/>
        <v>0.43227848101265826</v>
      </c>
    </row>
    <row r="3136" spans="1:16" hidden="1" x14ac:dyDescent="0.25">
      <c r="A3136">
        <v>0</v>
      </c>
      <c r="B3136">
        <v>10000</v>
      </c>
      <c r="C3136">
        <f>1.225 * (1 - 0.00000687559 * B3136) ^ 4.2561</f>
        <v>0.90462252368600637</v>
      </c>
      <c r="D3136">
        <f>E3136*(SQRT($C$2/C3136))</f>
        <v>279.28369884784883</v>
      </c>
      <c r="E3136">
        <v>240</v>
      </c>
      <c r="F3136">
        <v>987</v>
      </c>
      <c r="G3136">
        <v>2500</v>
      </c>
      <c r="H3136">
        <f>CONVERT(G3136,"HP","kW")</f>
        <v>1864.2496789556756</v>
      </c>
      <c r="I3136">
        <v>0.88060000000000005</v>
      </c>
      <c r="J3136">
        <v>2.2042000000000002</v>
      </c>
      <c r="K3136">
        <v>0.61750000000000005</v>
      </c>
      <c r="L3136">
        <v>0.47399999999999998</v>
      </c>
      <c r="M3136">
        <v>0.18940000000000001</v>
      </c>
      <c r="N3136">
        <f>CONVERT(O3136,"lbf","N")</f>
        <v>11426.591685281173</v>
      </c>
      <c r="O3136">
        <v>2568.8000000000002</v>
      </c>
      <c r="P3136">
        <f t="shared" si="48"/>
        <v>0.39957805907173</v>
      </c>
    </row>
    <row r="3137" spans="1:16" hidden="1" x14ac:dyDescent="0.25">
      <c r="A3137">
        <v>0</v>
      </c>
      <c r="B3137">
        <v>10000</v>
      </c>
      <c r="C3137">
        <f>1.225 * (1 - 0.00000687559 * B3137) ^ 4.2561</f>
        <v>0.90462252368600637</v>
      </c>
      <c r="D3137">
        <f>E3137*(SQRT($C$2/C3137))</f>
        <v>162.91549099457848</v>
      </c>
      <c r="E3137">
        <v>140</v>
      </c>
      <c r="F3137">
        <v>987</v>
      </c>
      <c r="G3137">
        <v>2500</v>
      </c>
      <c r="H3137">
        <f>CONVERT(G3137,"HP","kW")</f>
        <v>1864.2496789556756</v>
      </c>
      <c r="I3137">
        <v>0.78890000000000005</v>
      </c>
      <c r="J3137">
        <v>1.2858000000000001</v>
      </c>
      <c r="K3137">
        <v>0.50329999999999997</v>
      </c>
      <c r="L3137">
        <v>0.47410000000000002</v>
      </c>
      <c r="M3137">
        <v>0.29089999999999999</v>
      </c>
      <c r="N3137">
        <f>CONVERT(O3137,"lbf","N")</f>
        <v>17548.679094364201</v>
      </c>
      <c r="O3137">
        <v>3945.1</v>
      </c>
      <c r="P3137">
        <f t="shared" si="48"/>
        <v>0.61358363214511702</v>
      </c>
    </row>
    <row r="3138" spans="1:16" hidden="1" x14ac:dyDescent="0.25">
      <c r="A3138">
        <v>0</v>
      </c>
      <c r="B3138">
        <v>10000</v>
      </c>
      <c r="C3138">
        <f>1.225 * (1 - 0.00000687559 * B3138) ^ 4.2561</f>
        <v>0.90462252368600637</v>
      </c>
      <c r="D3138">
        <f>E3138*(SQRT($C$2/C3138))</f>
        <v>116.36820785327033</v>
      </c>
      <c r="E3138">
        <v>100</v>
      </c>
      <c r="F3138">
        <v>987</v>
      </c>
      <c r="G3138">
        <v>2500</v>
      </c>
      <c r="H3138">
        <f>CONVERT(G3138,"HP","kW")</f>
        <v>1864.2496789556756</v>
      </c>
      <c r="I3138">
        <v>0.59499999999999997</v>
      </c>
      <c r="J3138">
        <v>0.91839999999999999</v>
      </c>
      <c r="K3138">
        <v>0.46939999999999998</v>
      </c>
      <c r="L3138">
        <v>0.47420000000000001</v>
      </c>
      <c r="M3138">
        <v>0.30719999999999997</v>
      </c>
      <c r="N3138">
        <f>CONVERT(O3138,"lbf","N")</f>
        <v>18529.956782690664</v>
      </c>
      <c r="O3138">
        <v>4165.7</v>
      </c>
      <c r="P3138">
        <f t="shared" si="48"/>
        <v>0.64782792070856177</v>
      </c>
    </row>
    <row r="3139" spans="1:16" hidden="1" x14ac:dyDescent="0.25">
      <c r="A3139">
        <v>0</v>
      </c>
      <c r="B3139">
        <v>25000</v>
      </c>
      <c r="C3139">
        <f>1.225 * (1 - 0.00000687559 * B3139) ^ 4.2561</f>
        <v>0.54892259437885793</v>
      </c>
      <c r="D3139">
        <f>E3139*(SQRT($C$2/C3139))</f>
        <v>0</v>
      </c>
      <c r="E3139">
        <v>0</v>
      </c>
      <c r="F3139">
        <v>1150</v>
      </c>
      <c r="G3139">
        <v>2500</v>
      </c>
      <c r="H3139">
        <f>CONVERT(G3139,"HP","kW")</f>
        <v>1864.2496789556756</v>
      </c>
      <c r="I3139">
        <v>0</v>
      </c>
      <c r="J3139">
        <v>0</v>
      </c>
      <c r="K3139">
        <v>0.52629999999999999</v>
      </c>
      <c r="L3139">
        <v>0.49359999999999998</v>
      </c>
      <c r="M3139">
        <v>0.17519999999999999</v>
      </c>
      <c r="N3139">
        <f>CONVERT(O3139,"lbf","N")</f>
        <v>8714.5109664568445</v>
      </c>
      <c r="O3139">
        <v>1959.1</v>
      </c>
      <c r="P3139">
        <f t="shared" ref="P3139:P3202" si="49">M3139/L3139</f>
        <v>0.35494327390599678</v>
      </c>
    </row>
    <row r="3140" spans="1:16" hidden="1" x14ac:dyDescent="0.25">
      <c r="A3140">
        <v>0</v>
      </c>
      <c r="B3140">
        <v>25000</v>
      </c>
      <c r="C3140">
        <f>1.225 * (1 - 0.00000687559 * B3140) ^ 4.2561</f>
        <v>0.54892259437885793</v>
      </c>
      <c r="D3140">
        <f>E3140*(SQRT($C$2/C3140))</f>
        <v>328.65116154002743</v>
      </c>
      <c r="E3140">
        <v>220</v>
      </c>
      <c r="F3140">
        <v>1150</v>
      </c>
      <c r="G3140">
        <v>2500</v>
      </c>
      <c r="H3140">
        <f>CONVERT(G3140,"HP","kW")</f>
        <v>1864.2496789556756</v>
      </c>
      <c r="I3140">
        <v>0.85409999999999997</v>
      </c>
      <c r="J3140">
        <v>2.2262</v>
      </c>
      <c r="K3140">
        <v>0.76670000000000005</v>
      </c>
      <c r="L3140">
        <v>0.49359999999999998</v>
      </c>
      <c r="M3140">
        <v>0.18940000000000001</v>
      </c>
      <c r="N3140">
        <f>CONVERT(O3140,"lbf","N")</f>
        <v>9417.7748038295304</v>
      </c>
      <c r="O3140">
        <v>2117.1999999999998</v>
      </c>
      <c r="P3140">
        <f t="shared" si="49"/>
        <v>0.38371150729335496</v>
      </c>
    </row>
    <row r="3141" spans="1:16" hidden="1" x14ac:dyDescent="0.25">
      <c r="A3141">
        <v>0</v>
      </c>
      <c r="B3141">
        <v>25000</v>
      </c>
      <c r="C3141">
        <f>1.225 * (1 - 0.00000687559 * B3141) ^ 4.2561</f>
        <v>0.54892259437885793</v>
      </c>
      <c r="D3141">
        <f>E3141*(SQRT($C$2/C3141))</f>
        <v>268.89640489638606</v>
      </c>
      <c r="E3141">
        <v>180</v>
      </c>
      <c r="F3141">
        <v>1150</v>
      </c>
      <c r="G3141">
        <v>2500</v>
      </c>
      <c r="H3141">
        <f>CONVERT(G3141,"HP","kW")</f>
        <v>1864.2496789556756</v>
      </c>
      <c r="I3141">
        <v>0.85399999999999998</v>
      </c>
      <c r="J3141">
        <v>1.8213999999999999</v>
      </c>
      <c r="K3141">
        <v>0.69899999999999995</v>
      </c>
      <c r="L3141">
        <v>0.49370000000000003</v>
      </c>
      <c r="M3141">
        <v>0.23150000000000001</v>
      </c>
      <c r="N3141">
        <f>CONVERT(O3141,"lbf","N")</f>
        <v>11509.328607325018</v>
      </c>
      <c r="O3141">
        <v>2587.4</v>
      </c>
      <c r="P3141">
        <f t="shared" si="49"/>
        <v>0.46890824387279723</v>
      </c>
    </row>
    <row r="3142" spans="1:16" hidden="1" x14ac:dyDescent="0.25">
      <c r="A3142">
        <v>0</v>
      </c>
      <c r="B3142">
        <v>25000</v>
      </c>
      <c r="C3142">
        <f>1.225 * (1 - 0.00000687559 * B3142) ^ 4.2561</f>
        <v>0.54892259437885793</v>
      </c>
      <c r="D3142">
        <f>E3142*(SQRT($C$2/C3142))</f>
        <v>29.877378321820672</v>
      </c>
      <c r="E3142">
        <v>20</v>
      </c>
      <c r="F3142">
        <v>1150</v>
      </c>
      <c r="G3142">
        <v>2500</v>
      </c>
      <c r="H3142">
        <f>CONVERT(G3142,"HP","kW")</f>
        <v>1864.2496789556756</v>
      </c>
      <c r="I3142">
        <v>7.4700000000000003E-2</v>
      </c>
      <c r="J3142">
        <v>0.2024</v>
      </c>
      <c r="K3142">
        <v>0.53390000000000004</v>
      </c>
      <c r="L3142">
        <v>0.49380000000000002</v>
      </c>
      <c r="M3142">
        <v>0.1822</v>
      </c>
      <c r="N3142">
        <f>CONVERT(O3142,"lbf","N")</f>
        <v>9058.8033194780091</v>
      </c>
      <c r="O3142">
        <v>2036.5</v>
      </c>
      <c r="P3142">
        <f t="shared" si="49"/>
        <v>0.36897529364115023</v>
      </c>
    </row>
    <row r="3143" spans="1:16" hidden="1" x14ac:dyDescent="0.25">
      <c r="A3143">
        <v>0</v>
      </c>
      <c r="B3143">
        <v>25000</v>
      </c>
      <c r="C3143">
        <f>1.225 * (1 - 0.00000687559 * B3143) ^ 4.2561</f>
        <v>0.54892259437885793</v>
      </c>
      <c r="D3143">
        <f>E3143*(SQRT($C$2/C3143))</f>
        <v>59.754756643641343</v>
      </c>
      <c r="E3143">
        <v>40</v>
      </c>
      <c r="F3143">
        <v>1150</v>
      </c>
      <c r="G3143">
        <v>2500</v>
      </c>
      <c r="H3143">
        <f>CONVERT(G3143,"HP","kW")</f>
        <v>1864.2496789556756</v>
      </c>
      <c r="I3143">
        <v>0.16070000000000001</v>
      </c>
      <c r="J3143">
        <v>0.40479999999999999</v>
      </c>
      <c r="K3143">
        <v>0.54259999999999997</v>
      </c>
      <c r="L3143">
        <v>0.49380000000000002</v>
      </c>
      <c r="M3143">
        <v>0.1961</v>
      </c>
      <c r="N3143">
        <f>CONVERT(O3143,"lbf","N")</f>
        <v>9747.8328476818606</v>
      </c>
      <c r="O3143">
        <v>2191.4</v>
      </c>
      <c r="P3143">
        <f t="shared" si="49"/>
        <v>0.39712434183880113</v>
      </c>
    </row>
    <row r="3144" spans="1:16" hidden="1" x14ac:dyDescent="0.25">
      <c r="A3144">
        <v>0</v>
      </c>
      <c r="B3144">
        <v>25000</v>
      </c>
      <c r="C3144">
        <f>1.225 * (1 - 0.00000687559 * B3144) ^ 4.2561</f>
        <v>0.54892259437885793</v>
      </c>
      <c r="D3144">
        <f>E3144*(SQRT($C$2/C3144))</f>
        <v>89.632134965462015</v>
      </c>
      <c r="E3144">
        <v>60</v>
      </c>
      <c r="F3144">
        <v>1150</v>
      </c>
      <c r="G3144">
        <v>2500</v>
      </c>
      <c r="H3144">
        <f>CONVERT(G3144,"HP","kW")</f>
        <v>1864.2496789556756</v>
      </c>
      <c r="I3144">
        <v>0.2863</v>
      </c>
      <c r="J3144">
        <v>0.60709999999999997</v>
      </c>
      <c r="K3144">
        <v>0.55430000000000001</v>
      </c>
      <c r="L3144">
        <v>0.49380000000000002</v>
      </c>
      <c r="M3144">
        <v>0.23280000000000001</v>
      </c>
      <c r="N3144">
        <f>CONVERT(O3144,"lbf","N")</f>
        <v>11574.717465069347</v>
      </c>
      <c r="O3144">
        <v>2602.1</v>
      </c>
      <c r="P3144">
        <f t="shared" si="49"/>
        <v>0.47144592952612391</v>
      </c>
    </row>
    <row r="3145" spans="1:16" hidden="1" x14ac:dyDescent="0.25">
      <c r="A3145">
        <v>0</v>
      </c>
      <c r="B3145">
        <v>25000</v>
      </c>
      <c r="C3145">
        <f>1.225 * (1 - 0.00000687559 * B3145) ^ 4.2561</f>
        <v>0.54892259437885793</v>
      </c>
      <c r="D3145">
        <f>E3145*(SQRT($C$2/C3145))</f>
        <v>149.38689160910337</v>
      </c>
      <c r="E3145">
        <v>100</v>
      </c>
      <c r="F3145">
        <v>1150</v>
      </c>
      <c r="G3145">
        <v>2500</v>
      </c>
      <c r="H3145">
        <f>CONVERT(G3145,"HP","kW")</f>
        <v>1864.2496789556756</v>
      </c>
      <c r="I3145">
        <v>0.63219999999999998</v>
      </c>
      <c r="J3145">
        <v>1.0119</v>
      </c>
      <c r="K3145">
        <v>0.58930000000000005</v>
      </c>
      <c r="L3145">
        <v>0.49380000000000002</v>
      </c>
      <c r="M3145">
        <v>0.3085</v>
      </c>
      <c r="N3145">
        <f>CONVERT(O3145,"lbf","N")</f>
        <v>15337.023307256679</v>
      </c>
      <c r="O3145">
        <v>3447.9</v>
      </c>
      <c r="P3145">
        <f t="shared" si="49"/>
        <v>0.62474686107735922</v>
      </c>
    </row>
    <row r="3146" spans="1:16" hidden="1" x14ac:dyDescent="0.25">
      <c r="A3146">
        <v>0</v>
      </c>
      <c r="B3146">
        <v>25000</v>
      </c>
      <c r="C3146">
        <f>1.225 * (1 - 0.00000687559 * B3146) ^ 4.2561</f>
        <v>0.54892259437885793</v>
      </c>
      <c r="D3146">
        <f>E3146*(SQRT($C$2/C3146))</f>
        <v>179.26426993092403</v>
      </c>
      <c r="E3146">
        <v>120</v>
      </c>
      <c r="F3146">
        <v>1150</v>
      </c>
      <c r="G3146">
        <v>2500</v>
      </c>
      <c r="H3146">
        <f>CONVERT(G3146,"HP","kW")</f>
        <v>1864.2496789556756</v>
      </c>
      <c r="I3146">
        <v>0.74670000000000003</v>
      </c>
      <c r="J3146">
        <v>1.2142999999999999</v>
      </c>
      <c r="K3146">
        <v>0.61270000000000002</v>
      </c>
      <c r="L3146">
        <v>0.49380000000000002</v>
      </c>
      <c r="M3146">
        <v>0.30359999999999998</v>
      </c>
      <c r="N3146">
        <f>CONVERT(O3146,"lbf","N")</f>
        <v>15094.595229224982</v>
      </c>
      <c r="O3146">
        <v>3393.4</v>
      </c>
      <c r="P3146">
        <f t="shared" si="49"/>
        <v>0.61482381530984198</v>
      </c>
    </row>
    <row r="3147" spans="1:16" hidden="1" x14ac:dyDescent="0.25">
      <c r="A3147">
        <v>0</v>
      </c>
      <c r="B3147">
        <v>25000</v>
      </c>
      <c r="C3147">
        <f>1.225 * (1 - 0.00000687559 * B3147) ^ 4.2561</f>
        <v>0.54892259437885793</v>
      </c>
      <c r="D3147">
        <f>E3147*(SQRT($C$2/C3147))</f>
        <v>209.14164825274472</v>
      </c>
      <c r="E3147">
        <v>140</v>
      </c>
      <c r="F3147">
        <v>1150</v>
      </c>
      <c r="G3147">
        <v>2500</v>
      </c>
      <c r="H3147">
        <f>CONVERT(G3147,"HP","kW")</f>
        <v>1864.2496789556756</v>
      </c>
      <c r="I3147">
        <v>0.80130000000000001</v>
      </c>
      <c r="J3147">
        <v>1.4166000000000001</v>
      </c>
      <c r="K3147">
        <v>0.6391</v>
      </c>
      <c r="L3147">
        <v>0.49380000000000002</v>
      </c>
      <c r="M3147">
        <v>0.27929999999999999</v>
      </c>
      <c r="N3147">
        <f>CONVERT(O3147,"lbf","N")</f>
        <v>13883.78930555107</v>
      </c>
      <c r="O3147">
        <v>3121.2</v>
      </c>
      <c r="P3147">
        <f t="shared" si="49"/>
        <v>0.5656136087484811</v>
      </c>
    </row>
    <row r="3148" spans="1:16" hidden="1" x14ac:dyDescent="0.25">
      <c r="A3148">
        <v>0</v>
      </c>
      <c r="B3148">
        <v>25000</v>
      </c>
      <c r="C3148">
        <f>1.225 * (1 - 0.00000687559 * B3148) ^ 4.2561</f>
        <v>0.54892259437885793</v>
      </c>
      <c r="D3148">
        <f>E3148*(SQRT($C$2/C3148))</f>
        <v>298.77378321820675</v>
      </c>
      <c r="E3148">
        <v>200</v>
      </c>
      <c r="F3148">
        <v>1150</v>
      </c>
      <c r="G3148">
        <v>2500</v>
      </c>
      <c r="H3148">
        <f>CONVERT(G3148,"HP","kW")</f>
        <v>1864.2496789556756</v>
      </c>
      <c r="I3148">
        <v>0.86560000000000004</v>
      </c>
      <c r="J3148">
        <v>2.0238</v>
      </c>
      <c r="K3148">
        <v>0.73199999999999998</v>
      </c>
      <c r="L3148">
        <v>0.49380000000000002</v>
      </c>
      <c r="M3148">
        <v>0.2112</v>
      </c>
      <c r="N3148">
        <f>CONVERT(O3148,"lbf","N")</f>
        <v>10499.582300660884</v>
      </c>
      <c r="O3148">
        <v>2360.4</v>
      </c>
      <c r="P3148">
        <f t="shared" si="49"/>
        <v>0.42770352369380316</v>
      </c>
    </row>
    <row r="3149" spans="1:16" hidden="1" x14ac:dyDescent="0.25">
      <c r="A3149">
        <v>0</v>
      </c>
      <c r="B3149">
        <v>25000</v>
      </c>
      <c r="C3149">
        <f>1.225 * (1 - 0.00000687559 * B3149) ^ 4.2561</f>
        <v>0.54892259437885793</v>
      </c>
      <c r="D3149">
        <f>E3149*(SQRT($C$2/C3149))</f>
        <v>358.52853986184806</v>
      </c>
      <c r="E3149">
        <v>240</v>
      </c>
      <c r="F3149">
        <v>1150</v>
      </c>
      <c r="G3149">
        <v>2500</v>
      </c>
      <c r="H3149">
        <f>CONVERT(G3149,"HP","kW")</f>
        <v>1864.2496789556756</v>
      </c>
      <c r="I3149">
        <v>0.81630000000000003</v>
      </c>
      <c r="J3149">
        <v>2.4285000000000001</v>
      </c>
      <c r="K3149">
        <v>0.80289999999999995</v>
      </c>
      <c r="L3149">
        <v>0.49380000000000002</v>
      </c>
      <c r="M3149">
        <v>0.16600000000000001</v>
      </c>
      <c r="N3149">
        <f>CONVERT(O3149,"lbf","N")</f>
        <v>8251.4510963082284</v>
      </c>
      <c r="O3149">
        <v>1855</v>
      </c>
      <c r="P3149">
        <f t="shared" si="49"/>
        <v>0.33616848926690968</v>
      </c>
    </row>
    <row r="3150" spans="1:16" hidden="1" x14ac:dyDescent="0.25">
      <c r="A3150">
        <v>0</v>
      </c>
      <c r="B3150">
        <v>25000</v>
      </c>
      <c r="C3150">
        <f>1.225 * (1 - 0.00000687559 * B3150) ^ 4.2561</f>
        <v>0.54892259437885793</v>
      </c>
      <c r="D3150">
        <f>E3150*(SQRT($C$2/C3150))</f>
        <v>119.50951328728269</v>
      </c>
      <c r="E3150">
        <v>80</v>
      </c>
      <c r="F3150">
        <v>1150</v>
      </c>
      <c r="G3150">
        <v>2500</v>
      </c>
      <c r="H3150">
        <f>CONVERT(G3150,"HP","kW")</f>
        <v>1864.2496789556756</v>
      </c>
      <c r="I3150">
        <v>0.44900000000000001</v>
      </c>
      <c r="J3150">
        <v>0.8095</v>
      </c>
      <c r="K3150">
        <v>0.56989999999999996</v>
      </c>
      <c r="L3150">
        <v>0.49390000000000001</v>
      </c>
      <c r="M3150">
        <v>0.27389999999999998</v>
      </c>
      <c r="N3150">
        <f>CONVERT(O3150,"lbf","N")</f>
        <v>13613.78225350476</v>
      </c>
      <c r="O3150">
        <v>3060.5</v>
      </c>
      <c r="P3150">
        <f t="shared" si="49"/>
        <v>0.55456570155901996</v>
      </c>
    </row>
    <row r="3151" spans="1:16" hidden="1" x14ac:dyDescent="0.25">
      <c r="A3151">
        <v>0</v>
      </c>
      <c r="B3151">
        <v>25000</v>
      </c>
      <c r="C3151">
        <f>1.225 * (1 - 0.00000687559 * B3151) ^ 4.2561</f>
        <v>0.54892259437885793</v>
      </c>
      <c r="D3151">
        <f>E3151*(SQRT($C$2/C3151))</f>
        <v>388.40591818366875</v>
      </c>
      <c r="E3151">
        <v>260</v>
      </c>
      <c r="F3151">
        <v>1150</v>
      </c>
      <c r="G3151">
        <v>2500</v>
      </c>
      <c r="H3151">
        <f>CONVERT(G3151,"HP","kW")</f>
        <v>1864.2496789556756</v>
      </c>
      <c r="I3151">
        <v>0.73839999999999995</v>
      </c>
      <c r="J3151">
        <v>2.6309</v>
      </c>
      <c r="K3151">
        <v>0.84040000000000004</v>
      </c>
      <c r="L3151">
        <v>0.49409999999999998</v>
      </c>
      <c r="M3151">
        <v>0.13869999999999999</v>
      </c>
      <c r="N3151">
        <f>CONVERT(O3151,"lbf","N")</f>
        <v>6889.405637715462</v>
      </c>
      <c r="O3151">
        <v>1548.8</v>
      </c>
      <c r="P3151">
        <f t="shared" si="49"/>
        <v>0.28071240639546652</v>
      </c>
    </row>
    <row r="3152" spans="1:16" hidden="1" x14ac:dyDescent="0.25">
      <c r="A3152">
        <v>0</v>
      </c>
      <c r="B3152">
        <v>25000</v>
      </c>
      <c r="C3152">
        <f>1.225 * (1 - 0.00000687559 * B3152) ^ 4.2561</f>
        <v>0.54892259437885793</v>
      </c>
      <c r="D3152">
        <f>E3152*(SQRT($C$2/C3152))</f>
        <v>239.01902657456537</v>
      </c>
      <c r="E3152">
        <v>160</v>
      </c>
      <c r="F3152">
        <v>1150</v>
      </c>
      <c r="G3152">
        <v>2500</v>
      </c>
      <c r="H3152">
        <f>CONVERT(G3152,"HP","kW")</f>
        <v>1864.2496789556756</v>
      </c>
      <c r="I3152">
        <v>0.8337</v>
      </c>
      <c r="J3152">
        <v>1.619</v>
      </c>
      <c r="K3152">
        <v>0.66800000000000004</v>
      </c>
      <c r="L3152">
        <v>0.49419999999999997</v>
      </c>
      <c r="M3152">
        <v>0.2545</v>
      </c>
      <c r="N3152">
        <f>CONVERT(O3152,"lbf","N")</f>
        <v>12640.511364085762</v>
      </c>
      <c r="O3152">
        <v>2841.7</v>
      </c>
      <c r="P3152">
        <f t="shared" si="49"/>
        <v>0.51497369486038047</v>
      </c>
    </row>
    <row r="3153" spans="1:16" hidden="1" x14ac:dyDescent="0.25">
      <c r="A3153">
        <v>0</v>
      </c>
      <c r="B3153">
        <v>15000</v>
      </c>
      <c r="C3153">
        <f>1.225 * (1 - 0.00000687559 * B3153) ^ 4.2561</f>
        <v>0.77079726910167001</v>
      </c>
      <c r="D3153">
        <f>E3153*(SQRT($C$2/C3153))</f>
        <v>302.55839133039672</v>
      </c>
      <c r="E3153">
        <v>240</v>
      </c>
      <c r="F3153">
        <v>987</v>
      </c>
      <c r="G3153">
        <v>2250</v>
      </c>
      <c r="H3153">
        <f>CONVERT(G3153,"HP","kW")</f>
        <v>1677.8247110601083</v>
      </c>
      <c r="I3153">
        <v>0.88</v>
      </c>
      <c r="J3153">
        <v>2.3879000000000001</v>
      </c>
      <c r="K3153">
        <v>0.65610000000000002</v>
      </c>
      <c r="L3153">
        <v>0.50009999999999999</v>
      </c>
      <c r="M3153">
        <v>0.18429999999999999</v>
      </c>
      <c r="N3153">
        <f>CONVERT(O3153,"lbf","N")</f>
        <v>9486.2774167045427</v>
      </c>
      <c r="O3153">
        <v>2132.6</v>
      </c>
      <c r="P3153">
        <f t="shared" si="49"/>
        <v>0.36852629474105181</v>
      </c>
    </row>
    <row r="3154" spans="1:16" hidden="1" x14ac:dyDescent="0.25">
      <c r="A3154">
        <v>0</v>
      </c>
      <c r="B3154">
        <v>15000</v>
      </c>
      <c r="C3154">
        <f>1.225 * (1 - 0.00000687559 * B3154) ^ 4.2561</f>
        <v>0.77079726910167001</v>
      </c>
      <c r="D3154">
        <f>E3154*(SQRT($C$2/C3154))</f>
        <v>75.639597832599179</v>
      </c>
      <c r="E3154">
        <v>60</v>
      </c>
      <c r="F3154">
        <v>987</v>
      </c>
      <c r="G3154">
        <v>2250</v>
      </c>
      <c r="H3154">
        <f>CONVERT(G3154,"HP","kW")</f>
        <v>1677.8247110601083</v>
      </c>
      <c r="I3154">
        <v>0.2306</v>
      </c>
      <c r="J3154">
        <v>0.59699999999999998</v>
      </c>
      <c r="K3154">
        <v>0.45739999999999997</v>
      </c>
      <c r="L3154">
        <v>0.50029999999999997</v>
      </c>
      <c r="M3154">
        <v>0.1933</v>
      </c>
      <c r="N3154">
        <f>CONVERT(O3154,"lbf","N")</f>
        <v>9944.8890652378996</v>
      </c>
      <c r="O3154">
        <v>2235.6999999999998</v>
      </c>
      <c r="P3154">
        <f t="shared" si="49"/>
        <v>0.38636817909254451</v>
      </c>
    </row>
    <row r="3155" spans="1:16" hidden="1" x14ac:dyDescent="0.25">
      <c r="A3155">
        <v>0</v>
      </c>
      <c r="B3155">
        <v>15000</v>
      </c>
      <c r="C3155">
        <f>1.225 * (1 - 0.00000687559 * B3155) ^ 4.2561</f>
        <v>0.77079726910167001</v>
      </c>
      <c r="D3155">
        <f>E3155*(SQRT($C$2/C3155))</f>
        <v>201.70559422026446</v>
      </c>
      <c r="E3155">
        <v>160</v>
      </c>
      <c r="F3155">
        <v>987</v>
      </c>
      <c r="G3155">
        <v>2250</v>
      </c>
      <c r="H3155">
        <f>CONVERT(G3155,"HP","kW")</f>
        <v>1677.8247110601083</v>
      </c>
      <c r="I3155">
        <v>0.83230000000000004</v>
      </c>
      <c r="J3155">
        <v>1.5919000000000001</v>
      </c>
      <c r="K3155">
        <v>0.54759999999999998</v>
      </c>
      <c r="L3155">
        <v>0.50029999999999997</v>
      </c>
      <c r="M3155">
        <v>0.26150000000000001</v>
      </c>
      <c r="N3155">
        <f>CONVERT(O3155,"lbf","N")</f>
        <v>13457.20485264759</v>
      </c>
      <c r="O3155">
        <v>3025.3</v>
      </c>
      <c r="P3155">
        <f t="shared" si="49"/>
        <v>0.52268638816709978</v>
      </c>
    </row>
    <row r="3156" spans="1:16" hidden="1" x14ac:dyDescent="0.25">
      <c r="A3156">
        <v>0</v>
      </c>
      <c r="B3156">
        <v>15000</v>
      </c>
      <c r="C3156">
        <f>1.225 * (1 - 0.00000687559 * B3156) ^ 4.2561</f>
        <v>0.77079726910167001</v>
      </c>
      <c r="D3156">
        <f>E3156*(SQRT($C$2/C3156))</f>
        <v>100.85279711013223</v>
      </c>
      <c r="E3156">
        <v>80</v>
      </c>
      <c r="F3156">
        <v>987</v>
      </c>
      <c r="G3156">
        <v>2250</v>
      </c>
      <c r="H3156">
        <f>CONVERT(G3156,"HP","kW")</f>
        <v>1677.8247110601083</v>
      </c>
      <c r="I3156">
        <v>0.42820000000000003</v>
      </c>
      <c r="J3156">
        <v>0.79600000000000004</v>
      </c>
      <c r="K3156">
        <v>0.46920000000000001</v>
      </c>
      <c r="L3156">
        <v>0.50049999999999994</v>
      </c>
      <c r="M3156">
        <v>0.26919999999999999</v>
      </c>
      <c r="N3156">
        <f>CONVERT(O3156,"lbf","N")</f>
        <v>13848.20353262899</v>
      </c>
      <c r="O3156">
        <v>3113.2</v>
      </c>
      <c r="P3156">
        <f t="shared" si="49"/>
        <v>0.53786213786213788</v>
      </c>
    </row>
    <row r="3157" spans="1:16" hidden="1" x14ac:dyDescent="0.25">
      <c r="A3157">
        <v>0</v>
      </c>
      <c r="B3157">
        <v>15000</v>
      </c>
      <c r="C3157">
        <f>1.225 * (1 - 0.00000687559 * B3157) ^ 4.2561</f>
        <v>0.77079726910167001</v>
      </c>
      <c r="D3157">
        <f>E3157*(SQRT($C$2/C3157))</f>
        <v>151.27919566519836</v>
      </c>
      <c r="E3157">
        <v>120</v>
      </c>
      <c r="F3157">
        <v>987</v>
      </c>
      <c r="G3157">
        <v>2250</v>
      </c>
      <c r="H3157">
        <f>CONVERT(G3157,"HP","kW")</f>
        <v>1677.8247110601083</v>
      </c>
      <c r="I3157">
        <v>0.74690000000000001</v>
      </c>
      <c r="J3157">
        <v>1.1939</v>
      </c>
      <c r="K3157">
        <v>0.50319999999999998</v>
      </c>
      <c r="L3157">
        <v>0.50049999999999994</v>
      </c>
      <c r="M3157">
        <v>0.31309999999999999</v>
      </c>
      <c r="N3157">
        <f>CONVERT(O3157,"lbf","N")</f>
        <v>16102.117425081484</v>
      </c>
      <c r="O3157">
        <v>3619.9</v>
      </c>
      <c r="P3157">
        <f t="shared" si="49"/>
        <v>0.62557442557442566</v>
      </c>
    </row>
    <row r="3158" spans="1:16" hidden="1" x14ac:dyDescent="0.25">
      <c r="A3158">
        <v>0</v>
      </c>
      <c r="B3158">
        <v>15000</v>
      </c>
      <c r="C3158">
        <f>1.225 * (1 - 0.00000687559 * B3158) ^ 4.2561</f>
        <v>0.77079726910167001</v>
      </c>
      <c r="D3158">
        <f>E3158*(SQRT($C$2/C3158))</f>
        <v>226.91879349779754</v>
      </c>
      <c r="E3158">
        <v>180</v>
      </c>
      <c r="F3158">
        <v>987</v>
      </c>
      <c r="G3158">
        <v>2250</v>
      </c>
      <c r="H3158">
        <f>CONVERT(G3158,"HP","kW")</f>
        <v>1677.8247110601083</v>
      </c>
      <c r="I3158">
        <v>0.85309999999999997</v>
      </c>
      <c r="J3158">
        <v>1.7908999999999999</v>
      </c>
      <c r="K3158">
        <v>0.57250000000000001</v>
      </c>
      <c r="L3158">
        <v>0.50060000000000004</v>
      </c>
      <c r="M3158">
        <v>0.23849999999999999</v>
      </c>
      <c r="N3158">
        <f>CONVERT(O3158,"lbf","N")</f>
        <v>12261.967704627094</v>
      </c>
      <c r="O3158">
        <v>2756.6</v>
      </c>
      <c r="P3158">
        <f t="shared" si="49"/>
        <v>0.47642828605673188</v>
      </c>
    </row>
    <row r="3159" spans="1:16" hidden="1" x14ac:dyDescent="0.25">
      <c r="A3159" s="4">
        <v>0</v>
      </c>
      <c r="B3159" s="4">
        <v>15000</v>
      </c>
      <c r="C3159" s="4">
        <f>1.225 * (1 - 0.00000687559 * B3159) ^ 4.2561</f>
        <v>0.77079726910167001</v>
      </c>
      <c r="D3159" s="4">
        <f>E3159*(SQRT($C$2/C3159))</f>
        <v>252.13199277533059</v>
      </c>
      <c r="E3159" s="4">
        <v>200</v>
      </c>
      <c r="F3159" s="4">
        <v>987</v>
      </c>
      <c r="G3159" s="4">
        <v>2250</v>
      </c>
      <c r="H3159" s="4">
        <f>CONVERT(G3159,"HP","kW")</f>
        <v>1677.8247110601083</v>
      </c>
      <c r="I3159" s="4">
        <v>0.86750000000000005</v>
      </c>
      <c r="J3159" s="4">
        <v>1.9899</v>
      </c>
      <c r="K3159" s="4">
        <v>0.59899999999999998</v>
      </c>
      <c r="L3159" s="4">
        <v>0.50060000000000004</v>
      </c>
      <c r="M3159" s="4">
        <v>0.21820000000000001</v>
      </c>
      <c r="N3159" s="4">
        <f>CONVERT(O3159,"lbf","N")</f>
        <v>11221.528668817664</v>
      </c>
      <c r="O3159" s="4">
        <v>2522.6999999999998</v>
      </c>
      <c r="P3159">
        <f t="shared" si="49"/>
        <v>0.4358769476628046</v>
      </c>
    </row>
    <row r="3160" spans="1:16" hidden="1" x14ac:dyDescent="0.25">
      <c r="A3160">
        <v>0</v>
      </c>
      <c r="B3160">
        <v>15000</v>
      </c>
      <c r="C3160">
        <f>1.225 * (1 - 0.00000687559 * B3160) ^ 4.2561</f>
        <v>0.77079726910167001</v>
      </c>
      <c r="D3160">
        <f>E3160*(SQRT($C$2/C3160))</f>
        <v>277.34519205286364</v>
      </c>
      <c r="E3160">
        <v>220</v>
      </c>
      <c r="F3160">
        <v>987</v>
      </c>
      <c r="G3160">
        <v>2250</v>
      </c>
      <c r="H3160">
        <f>CONVERT(G3160,"HP","kW")</f>
        <v>1677.8247110601083</v>
      </c>
      <c r="I3160">
        <v>0.87649999999999995</v>
      </c>
      <c r="J3160">
        <v>2.1888999999999998</v>
      </c>
      <c r="K3160">
        <v>0.62690000000000001</v>
      </c>
      <c r="L3160">
        <v>0.50060000000000004</v>
      </c>
      <c r="M3160">
        <v>0.20050000000000001</v>
      </c>
      <c r="N3160">
        <f>CONVERT(O3160,"lbf","N")</f>
        <v>10307.41912688163</v>
      </c>
      <c r="O3160">
        <v>2317.1999999999998</v>
      </c>
      <c r="P3160">
        <f t="shared" si="49"/>
        <v>0.4005193767479025</v>
      </c>
    </row>
    <row r="3161" spans="1:16" hidden="1" x14ac:dyDescent="0.25">
      <c r="A3161">
        <v>0</v>
      </c>
      <c r="B3161">
        <v>15000</v>
      </c>
      <c r="C3161">
        <f>1.225 * (1 - 0.00000687559 * B3161) ^ 4.2561</f>
        <v>0.77079726910167001</v>
      </c>
      <c r="D3161">
        <f>E3161*(SQRT($C$2/C3161))</f>
        <v>50.426398555066115</v>
      </c>
      <c r="E3161">
        <v>40</v>
      </c>
      <c r="F3161">
        <v>987</v>
      </c>
      <c r="G3161">
        <v>2250</v>
      </c>
      <c r="H3161">
        <f>CONVERT(G3161,"HP","kW")</f>
        <v>1677.8247110601083</v>
      </c>
      <c r="I3161">
        <v>0.12859999999999999</v>
      </c>
      <c r="J3161">
        <v>0.39800000000000002</v>
      </c>
      <c r="K3161">
        <v>0.443</v>
      </c>
      <c r="L3161">
        <v>0.50070000000000003</v>
      </c>
      <c r="M3161">
        <v>0.16170000000000001</v>
      </c>
      <c r="N3161">
        <f>CONVERT(O3161,"lbf","N")</f>
        <v>8315.0606654064522</v>
      </c>
      <c r="O3161">
        <v>1869.3</v>
      </c>
      <c r="P3161">
        <f t="shared" si="49"/>
        <v>0.32294787297783106</v>
      </c>
    </row>
    <row r="3162" spans="1:16" hidden="1" x14ac:dyDescent="0.25">
      <c r="A3162">
        <v>0</v>
      </c>
      <c r="B3162">
        <v>15000</v>
      </c>
      <c r="C3162">
        <f>1.225 * (1 - 0.00000687559 * B3162) ^ 4.2561</f>
        <v>0.77079726910167001</v>
      </c>
      <c r="D3162">
        <f>E3162*(SQRT($C$2/C3162))</f>
        <v>327.77159060792974</v>
      </c>
      <c r="E3162">
        <v>260</v>
      </c>
      <c r="F3162">
        <v>987</v>
      </c>
      <c r="G3162">
        <v>2250</v>
      </c>
      <c r="H3162">
        <f>CONVERT(G3162,"HP","kW")</f>
        <v>1677.8247110601083</v>
      </c>
      <c r="I3162">
        <v>0.87480000000000002</v>
      </c>
      <c r="J3162">
        <v>2.5869</v>
      </c>
      <c r="K3162">
        <v>0.68640000000000001</v>
      </c>
      <c r="L3162">
        <v>0.50070000000000003</v>
      </c>
      <c r="M3162">
        <v>0.16930000000000001</v>
      </c>
      <c r="N3162">
        <f>CONVERT(O3162,"lbf","N")</f>
        <v>8704.2800567417471</v>
      </c>
      <c r="O3162">
        <v>1956.8</v>
      </c>
      <c r="P3162">
        <f t="shared" si="49"/>
        <v>0.33812662272818056</v>
      </c>
    </row>
    <row r="3163" spans="1:16" hidden="1" x14ac:dyDescent="0.25">
      <c r="A3163">
        <v>0</v>
      </c>
      <c r="B3163">
        <v>15000</v>
      </c>
      <c r="C3163">
        <f>1.225 * (1 - 0.00000687559 * B3163) ^ 4.2561</f>
        <v>0.77079726910167001</v>
      </c>
      <c r="D3163">
        <f>E3163*(SQRT($C$2/C3163))</f>
        <v>126.06599638766529</v>
      </c>
      <c r="E3163">
        <v>100</v>
      </c>
      <c r="F3163">
        <v>987</v>
      </c>
      <c r="G3163">
        <v>2250</v>
      </c>
      <c r="H3163">
        <f>CONVERT(G3163,"HP","kW")</f>
        <v>1677.8247110601083</v>
      </c>
      <c r="I3163">
        <v>0.62250000000000005</v>
      </c>
      <c r="J3163">
        <v>0.995</v>
      </c>
      <c r="K3163">
        <v>0.48459999999999998</v>
      </c>
      <c r="L3163">
        <v>0.501</v>
      </c>
      <c r="M3163">
        <v>0.31340000000000001</v>
      </c>
      <c r="N3163">
        <f>CONVERT(O3163,"lbf","N")</f>
        <v>16103.896713727589</v>
      </c>
      <c r="O3163">
        <v>3620.3</v>
      </c>
      <c r="P3163">
        <f t="shared" si="49"/>
        <v>0.62554890219560877</v>
      </c>
    </row>
    <row r="3164" spans="1:16" hidden="1" x14ac:dyDescent="0.25">
      <c r="A3164">
        <v>0</v>
      </c>
      <c r="B3164">
        <v>15000</v>
      </c>
      <c r="C3164">
        <f>1.225 * (1 - 0.00000687559 * B3164) ^ 4.2561</f>
        <v>0.77079726910167001</v>
      </c>
      <c r="D3164">
        <f>E3164*(SQRT($C$2/C3164))</f>
        <v>176.49239494273141</v>
      </c>
      <c r="E3164">
        <v>140</v>
      </c>
      <c r="F3164">
        <v>987</v>
      </c>
      <c r="G3164">
        <v>2250</v>
      </c>
      <c r="H3164">
        <f>CONVERT(G3164,"HP","kW")</f>
        <v>1677.8247110601083</v>
      </c>
      <c r="I3164">
        <v>0.80200000000000005</v>
      </c>
      <c r="J3164">
        <v>1.3929</v>
      </c>
      <c r="K3164">
        <v>0.52439999999999998</v>
      </c>
      <c r="L3164">
        <v>0.50109999999999999</v>
      </c>
      <c r="M3164">
        <v>0.28849999999999998</v>
      </c>
      <c r="N3164">
        <f>CONVERT(O3164,"lbf","N")</f>
        <v>14819.695133401883</v>
      </c>
      <c r="O3164">
        <v>3331.6</v>
      </c>
      <c r="P3164">
        <f t="shared" si="49"/>
        <v>0.57573338654959083</v>
      </c>
    </row>
    <row r="3165" spans="1:16" hidden="1" x14ac:dyDescent="0.25">
      <c r="A3165">
        <v>0</v>
      </c>
      <c r="B3165">
        <v>30000</v>
      </c>
      <c r="C3165">
        <f>1.225 * (1 - 0.00000687559 * B3165) ^ 4.2561</f>
        <v>0.45828836225470948</v>
      </c>
      <c r="D3165">
        <f>E3165*(SQRT($C$2/C3165))</f>
        <v>0</v>
      </c>
      <c r="E3165">
        <v>0</v>
      </c>
      <c r="F3165">
        <v>1215</v>
      </c>
      <c r="G3165">
        <v>2500</v>
      </c>
      <c r="H3165">
        <f>CONVERT(G3165,"HP","kW")</f>
        <v>1864.2496789556756</v>
      </c>
      <c r="I3165">
        <v>0</v>
      </c>
      <c r="J3165">
        <v>0</v>
      </c>
      <c r="K3165">
        <v>0.56899999999999995</v>
      </c>
      <c r="L3165">
        <v>0.50129999999999997</v>
      </c>
      <c r="M3165">
        <v>0.18590000000000001</v>
      </c>
      <c r="N3165">
        <f>CONVERT(O3165,"lbf","N")</f>
        <v>8613.9811579519574</v>
      </c>
      <c r="O3165">
        <v>1936.5</v>
      </c>
      <c r="P3165">
        <f t="shared" si="49"/>
        <v>0.37083582685018956</v>
      </c>
    </row>
    <row r="3166" spans="1:16" hidden="1" x14ac:dyDescent="0.25">
      <c r="A3166">
        <v>0</v>
      </c>
      <c r="B3166">
        <v>30000</v>
      </c>
      <c r="C3166">
        <f>1.225 * (1 - 0.00000687559 * B3166) ^ 4.2561</f>
        <v>0.45828836225470948</v>
      </c>
      <c r="D3166">
        <f>E3166*(SQRT($C$2/C3166))</f>
        <v>294.28703878055819</v>
      </c>
      <c r="E3166">
        <v>180</v>
      </c>
      <c r="F3166">
        <v>1215</v>
      </c>
      <c r="G3166">
        <v>2500</v>
      </c>
      <c r="H3166">
        <f>CONVERT(G3166,"HP","kW")</f>
        <v>1864.2496789556756</v>
      </c>
      <c r="I3166">
        <v>0.83199999999999996</v>
      </c>
      <c r="J3166">
        <v>1.8867</v>
      </c>
      <c r="K3166">
        <v>0.76529999999999998</v>
      </c>
      <c r="L3166">
        <v>0.50129999999999997</v>
      </c>
      <c r="M3166">
        <v>0.22109999999999999</v>
      </c>
      <c r="N3166">
        <f>CONVERT(O3166,"lbf","N")</f>
        <v>10245.144024267984</v>
      </c>
      <c r="O3166">
        <v>2303.1999999999998</v>
      </c>
      <c r="P3166">
        <f t="shared" si="49"/>
        <v>0.44105326152004787</v>
      </c>
    </row>
    <row r="3167" spans="1:16" hidden="1" x14ac:dyDescent="0.25">
      <c r="A3167">
        <v>0</v>
      </c>
      <c r="B3167">
        <v>30000</v>
      </c>
      <c r="C3167">
        <f>1.225 * (1 - 0.00000687559 * B3167) ^ 4.2561</f>
        <v>0.45828836225470948</v>
      </c>
      <c r="D3167">
        <f>E3167*(SQRT($C$2/C3167))</f>
        <v>32.698559864506464</v>
      </c>
      <c r="E3167">
        <v>20</v>
      </c>
      <c r="F3167">
        <v>1215</v>
      </c>
      <c r="G3167">
        <v>2500</v>
      </c>
      <c r="H3167">
        <f>CONVERT(G3167,"HP","kW")</f>
        <v>1864.2496789556756</v>
      </c>
      <c r="I3167">
        <v>8.0500000000000002E-2</v>
      </c>
      <c r="J3167">
        <v>0.20960000000000001</v>
      </c>
      <c r="K3167">
        <v>0.57589999999999997</v>
      </c>
      <c r="L3167">
        <v>0.50139999999999996</v>
      </c>
      <c r="M3167">
        <v>0.19259999999999999</v>
      </c>
      <c r="N3167">
        <f>CONVERT(O3167,"lbf","N")</f>
        <v>8926.6911375047712</v>
      </c>
      <c r="O3167">
        <v>2006.8</v>
      </c>
      <c r="P3167">
        <f t="shared" si="49"/>
        <v>0.38412445153570007</v>
      </c>
    </row>
    <row r="3168" spans="1:16" hidden="1" x14ac:dyDescent="0.25">
      <c r="A3168">
        <v>0</v>
      </c>
      <c r="B3168">
        <v>30000</v>
      </c>
      <c r="C3168">
        <f>1.225 * (1 - 0.00000687559 * B3168) ^ 4.2561</f>
        <v>0.45828836225470948</v>
      </c>
      <c r="D3168">
        <f>E3168*(SQRT($C$2/C3168))</f>
        <v>392.38271837407763</v>
      </c>
      <c r="E3168">
        <v>240</v>
      </c>
      <c r="F3168">
        <v>1215</v>
      </c>
      <c r="G3168">
        <v>2500</v>
      </c>
      <c r="H3168">
        <f>CONVERT(G3168,"HP","kW")</f>
        <v>1864.2496789556756</v>
      </c>
      <c r="I3168">
        <v>0.66459999999999997</v>
      </c>
      <c r="J3168">
        <v>2.5156999999999998</v>
      </c>
      <c r="K3168">
        <v>0.88380000000000003</v>
      </c>
      <c r="L3168">
        <v>0.50139999999999996</v>
      </c>
      <c r="M3168">
        <v>0.13250000000000001</v>
      </c>
      <c r="N3168">
        <f>CONVERT(O3168,"lbf","N")</f>
        <v>6137.6561847364374</v>
      </c>
      <c r="O3168">
        <v>1379.8</v>
      </c>
      <c r="P3168">
        <f t="shared" si="49"/>
        <v>0.26426007179896294</v>
      </c>
    </row>
    <row r="3169" spans="1:16" hidden="1" x14ac:dyDescent="0.25">
      <c r="A3169">
        <v>0</v>
      </c>
      <c r="B3169">
        <v>30000</v>
      </c>
      <c r="C3169">
        <f>1.225 * (1 - 0.00000687559 * B3169) ^ 4.2561</f>
        <v>0.45828836225470948</v>
      </c>
      <c r="D3169">
        <f>E3169*(SQRT($C$2/C3169))</f>
        <v>65.397119729012928</v>
      </c>
      <c r="E3169">
        <v>40</v>
      </c>
      <c r="F3169">
        <v>1215</v>
      </c>
      <c r="G3169">
        <v>2500</v>
      </c>
      <c r="H3169">
        <f>CONVERT(G3169,"HP","kW")</f>
        <v>1864.2496789556756</v>
      </c>
      <c r="I3169">
        <v>0.1724</v>
      </c>
      <c r="J3169">
        <v>0.41930000000000001</v>
      </c>
      <c r="K3169">
        <v>0.58579999999999999</v>
      </c>
      <c r="L3169">
        <v>0.50149999999999995</v>
      </c>
      <c r="M3169">
        <v>0.20619999999999999</v>
      </c>
      <c r="N3169">
        <f>CONVERT(O3169,"lbf","N")</f>
        <v>9551.2214522873455</v>
      </c>
      <c r="O3169">
        <v>2147.1999999999998</v>
      </c>
      <c r="P3169">
        <f t="shared" si="49"/>
        <v>0.41116650049850451</v>
      </c>
    </row>
    <row r="3170" spans="1:16" hidden="1" x14ac:dyDescent="0.25">
      <c r="A3170">
        <v>0</v>
      </c>
      <c r="B3170">
        <v>30000</v>
      </c>
      <c r="C3170">
        <f>1.225 * (1 - 0.00000687559 * B3170) ^ 4.2561</f>
        <v>0.45828836225470948</v>
      </c>
      <c r="D3170">
        <f>E3170*(SQRT($C$2/C3170))</f>
        <v>98.095679593519407</v>
      </c>
      <c r="E3170">
        <v>60</v>
      </c>
      <c r="F3170">
        <v>1215</v>
      </c>
      <c r="G3170">
        <v>2500</v>
      </c>
      <c r="H3170">
        <f>CONVERT(G3170,"HP","kW")</f>
        <v>1864.2496789556756</v>
      </c>
      <c r="I3170">
        <v>0.29470000000000002</v>
      </c>
      <c r="J3170">
        <v>0.62890000000000001</v>
      </c>
      <c r="K3170">
        <v>0.59960000000000002</v>
      </c>
      <c r="L3170">
        <v>0.50149999999999995</v>
      </c>
      <c r="M3170">
        <v>0.23499999999999999</v>
      </c>
      <c r="N3170">
        <f>CONVERT(O3170,"lbf","N")</f>
        <v>10885.687936865494</v>
      </c>
      <c r="O3170">
        <v>2447.1999999999998</v>
      </c>
      <c r="P3170">
        <f t="shared" si="49"/>
        <v>0.46859421734795614</v>
      </c>
    </row>
    <row r="3171" spans="1:16" hidden="1" x14ac:dyDescent="0.25">
      <c r="A3171">
        <v>0</v>
      </c>
      <c r="B3171">
        <v>30000</v>
      </c>
      <c r="C3171">
        <f>1.225 * (1 - 0.00000687559 * B3171) ^ 4.2561</f>
        <v>0.45828836225470948</v>
      </c>
      <c r="D3171">
        <f>E3171*(SQRT($C$2/C3171))</f>
        <v>163.49279932253233</v>
      </c>
      <c r="E3171">
        <v>100</v>
      </c>
      <c r="F3171">
        <v>1215</v>
      </c>
      <c r="G3171">
        <v>2500</v>
      </c>
      <c r="H3171">
        <f>CONVERT(G3171,"HP","kW")</f>
        <v>1864.2496789556756</v>
      </c>
      <c r="I3171">
        <v>0.63400000000000001</v>
      </c>
      <c r="J3171">
        <v>1.0482</v>
      </c>
      <c r="K3171">
        <v>0.6401</v>
      </c>
      <c r="L3171">
        <v>0.50149999999999995</v>
      </c>
      <c r="M3171">
        <v>0.30330000000000001</v>
      </c>
      <c r="N3171">
        <f>CONVERT(O3171,"lbf","N")</f>
        <v>14053.711371254025</v>
      </c>
      <c r="O3171">
        <v>3159.4</v>
      </c>
      <c r="P3171">
        <f t="shared" si="49"/>
        <v>0.60478564307078775</v>
      </c>
    </row>
    <row r="3172" spans="1:16" hidden="1" x14ac:dyDescent="0.25">
      <c r="A3172">
        <v>0</v>
      </c>
      <c r="B3172">
        <v>30000</v>
      </c>
      <c r="C3172">
        <f>1.225 * (1 - 0.00000687559 * B3172) ^ 4.2561</f>
        <v>0.45828836225470948</v>
      </c>
      <c r="D3172">
        <f>E3172*(SQRT($C$2/C3172))</f>
        <v>196.19135918703881</v>
      </c>
      <c r="E3172">
        <v>120</v>
      </c>
      <c r="F3172">
        <v>1215</v>
      </c>
      <c r="G3172">
        <v>2500</v>
      </c>
      <c r="H3172">
        <f>CONVERT(G3172,"HP","kW")</f>
        <v>1864.2496789556756</v>
      </c>
      <c r="I3172">
        <v>0.75090000000000001</v>
      </c>
      <c r="J3172">
        <v>1.2578</v>
      </c>
      <c r="K3172">
        <v>0.66690000000000005</v>
      </c>
      <c r="L3172">
        <v>0.50149999999999995</v>
      </c>
      <c r="M3172">
        <v>0.2994</v>
      </c>
      <c r="N3172">
        <f>CONVERT(O3172,"lbf","N")</f>
        <v>13870.444640705289</v>
      </c>
      <c r="O3172">
        <v>3118.2</v>
      </c>
      <c r="P3172">
        <f t="shared" si="49"/>
        <v>0.59700897308075784</v>
      </c>
    </row>
    <row r="3173" spans="1:16" hidden="1" x14ac:dyDescent="0.25">
      <c r="A3173">
        <v>0</v>
      </c>
      <c r="B3173">
        <v>30000</v>
      </c>
      <c r="C3173">
        <f>1.225 * (1 - 0.00000687559 * B3173) ^ 4.2561</f>
        <v>0.45828836225470948</v>
      </c>
      <c r="D3173">
        <f>E3173*(SQRT($C$2/C3173))</f>
        <v>261.58847891605171</v>
      </c>
      <c r="E3173">
        <v>160</v>
      </c>
      <c r="F3173">
        <v>1215</v>
      </c>
      <c r="G3173">
        <v>2500</v>
      </c>
      <c r="H3173">
        <f>CONVERT(G3173,"HP","kW")</f>
        <v>1864.2496789556756</v>
      </c>
      <c r="I3173">
        <v>0.83050000000000002</v>
      </c>
      <c r="J3173">
        <v>1.6771</v>
      </c>
      <c r="K3173">
        <v>0.73</v>
      </c>
      <c r="L3173">
        <v>0.50149999999999995</v>
      </c>
      <c r="M3173">
        <v>0.24829999999999999</v>
      </c>
      <c r="N3173">
        <f>CONVERT(O3173,"lbf","N")</f>
        <v>11505.770030032809</v>
      </c>
      <c r="O3173">
        <v>2586.6</v>
      </c>
      <c r="P3173">
        <f t="shared" si="49"/>
        <v>0.4951146560319043</v>
      </c>
    </row>
    <row r="3174" spans="1:16" hidden="1" x14ac:dyDescent="0.25">
      <c r="A3174">
        <v>0</v>
      </c>
      <c r="B3174">
        <v>30000</v>
      </c>
      <c r="C3174">
        <f>1.225 * (1 - 0.00000687559 * B3174) ^ 4.2561</f>
        <v>0.45828836225470948</v>
      </c>
      <c r="D3174">
        <f>E3174*(SQRT($C$2/C3174))</f>
        <v>326.98559864506467</v>
      </c>
      <c r="E3174">
        <v>200</v>
      </c>
      <c r="F3174">
        <v>1215</v>
      </c>
      <c r="G3174">
        <v>2500</v>
      </c>
      <c r="H3174">
        <f>CONVERT(G3174,"HP","kW")</f>
        <v>1864.2496789556756</v>
      </c>
      <c r="I3174">
        <v>0.81530000000000002</v>
      </c>
      <c r="J3174">
        <v>2.0964</v>
      </c>
      <c r="K3174">
        <v>0.80289999999999995</v>
      </c>
      <c r="L3174">
        <v>0.50149999999999995</v>
      </c>
      <c r="M3174">
        <v>0.1951</v>
      </c>
      <c r="N3174">
        <f>CONVERT(O3174,"lbf","N")</f>
        <v>9036.1173892401803</v>
      </c>
      <c r="O3174">
        <v>2031.4</v>
      </c>
      <c r="P3174">
        <f t="shared" si="49"/>
        <v>0.38903290129611168</v>
      </c>
    </row>
    <row r="3175" spans="1:16" hidden="1" x14ac:dyDescent="0.25">
      <c r="A3175">
        <v>0</v>
      </c>
      <c r="B3175">
        <v>30000</v>
      </c>
      <c r="C3175">
        <f>1.225 * (1 - 0.00000687559 * B3175) ^ 4.2561</f>
        <v>0.45828836225470948</v>
      </c>
      <c r="D3175">
        <f>E3175*(SQRT($C$2/C3175))</f>
        <v>359.68415850957115</v>
      </c>
      <c r="E3175">
        <v>220</v>
      </c>
      <c r="F3175">
        <v>1215</v>
      </c>
      <c r="G3175">
        <v>2500</v>
      </c>
      <c r="H3175">
        <f>CONVERT(G3175,"HP","kW")</f>
        <v>1864.2496789556756</v>
      </c>
      <c r="I3175">
        <v>0.76910000000000001</v>
      </c>
      <c r="J3175">
        <v>2.306</v>
      </c>
      <c r="K3175">
        <v>0.84260000000000002</v>
      </c>
      <c r="L3175">
        <v>0.50149999999999995</v>
      </c>
      <c r="M3175">
        <v>0.1673</v>
      </c>
      <c r="N3175">
        <f>CONVERT(O3175,"lbf","N")</f>
        <v>7748.8020537837911</v>
      </c>
      <c r="O3175">
        <v>1742</v>
      </c>
      <c r="P3175">
        <f t="shared" si="49"/>
        <v>0.33359920239282159</v>
      </c>
    </row>
    <row r="3176" spans="1:16" hidden="1" x14ac:dyDescent="0.25">
      <c r="A3176">
        <v>0</v>
      </c>
      <c r="B3176">
        <v>30000</v>
      </c>
      <c r="C3176">
        <f>1.225 * (1 - 0.00000687559 * B3176) ^ 4.2561</f>
        <v>0.45828836225470948</v>
      </c>
      <c r="D3176">
        <f>E3176*(SQRT($C$2/C3176))</f>
        <v>425.08127823858405</v>
      </c>
      <c r="E3176">
        <v>260</v>
      </c>
      <c r="F3176">
        <v>1215</v>
      </c>
      <c r="G3176">
        <v>2500</v>
      </c>
      <c r="H3176">
        <f>CONVERT(G3176,"HP","kW")</f>
        <v>1864.2496789556756</v>
      </c>
      <c r="I3176">
        <v>0.49519999999999997</v>
      </c>
      <c r="J3176">
        <v>2.7252999999999998</v>
      </c>
      <c r="K3176">
        <v>0.9264</v>
      </c>
      <c r="L3176">
        <v>0.50149999999999995</v>
      </c>
      <c r="M3176">
        <v>9.11E-2</v>
      </c>
      <c r="N3176">
        <f>CONVERT(O3176,"lbf","N")</f>
        <v>4221.8071350437413</v>
      </c>
      <c r="O3176">
        <v>949.1</v>
      </c>
      <c r="P3176">
        <f t="shared" si="49"/>
        <v>0.18165503489531407</v>
      </c>
    </row>
    <row r="3177" spans="1:16" hidden="1" x14ac:dyDescent="0.25">
      <c r="A3177">
        <v>0</v>
      </c>
      <c r="B3177">
        <v>30000</v>
      </c>
      <c r="C3177">
        <f>1.225 * (1 - 0.00000687559 * B3177) ^ 4.2561</f>
        <v>0.45828836225470948</v>
      </c>
      <c r="D3177">
        <f>E3177*(SQRT($C$2/C3177))</f>
        <v>130.79423945802586</v>
      </c>
      <c r="E3177">
        <v>80</v>
      </c>
      <c r="F3177">
        <v>1215</v>
      </c>
      <c r="G3177">
        <v>2500</v>
      </c>
      <c r="H3177">
        <f>CONVERT(G3177,"HP","kW")</f>
        <v>1864.2496789556756</v>
      </c>
      <c r="I3177">
        <v>0.45</v>
      </c>
      <c r="J3177">
        <v>0.83860000000000001</v>
      </c>
      <c r="K3177">
        <v>0.61770000000000003</v>
      </c>
      <c r="L3177">
        <v>0.50160000000000005</v>
      </c>
      <c r="M3177">
        <v>0.26919999999999999</v>
      </c>
      <c r="N3177">
        <f>CONVERT(O3177,"lbf","N")</f>
        <v>12468.365187575182</v>
      </c>
      <c r="O3177">
        <v>2803</v>
      </c>
      <c r="P3177">
        <f t="shared" si="49"/>
        <v>0.53668261562998398</v>
      </c>
    </row>
    <row r="3178" spans="1:16" hidden="1" x14ac:dyDescent="0.25">
      <c r="A3178">
        <v>0</v>
      </c>
      <c r="B3178">
        <v>30000</v>
      </c>
      <c r="C3178">
        <f>1.225 * (1 - 0.00000687559 * B3178) ^ 4.2561</f>
        <v>0.45828836225470948</v>
      </c>
      <c r="D3178">
        <f>E3178*(SQRT($C$2/C3178))</f>
        <v>228.88991905154526</v>
      </c>
      <c r="E3178">
        <v>140</v>
      </c>
      <c r="F3178">
        <v>1215</v>
      </c>
      <c r="G3178">
        <v>2500</v>
      </c>
      <c r="H3178">
        <f>CONVERT(G3178,"HP","kW")</f>
        <v>1864.2496789556756</v>
      </c>
      <c r="I3178">
        <v>0.80230000000000001</v>
      </c>
      <c r="J3178">
        <v>1.4675</v>
      </c>
      <c r="K3178">
        <v>0.69699999999999995</v>
      </c>
      <c r="L3178">
        <v>0.50180000000000002</v>
      </c>
      <c r="M3178">
        <v>0.27429999999999999</v>
      </c>
      <c r="N3178">
        <f>CONVERT(O3178,"lbf","N")</f>
        <v>12702.78646669941</v>
      </c>
      <c r="O3178">
        <v>2855.7</v>
      </c>
      <c r="P3178">
        <f t="shared" si="49"/>
        <v>0.54663212435233155</v>
      </c>
    </row>
    <row r="3179" spans="1:16" hidden="1" x14ac:dyDescent="0.25">
      <c r="A3179">
        <v>0</v>
      </c>
      <c r="B3179">
        <v>10000</v>
      </c>
      <c r="C3179">
        <f>1.225 * (1 - 0.00000687559 * B3179) ^ 4.2561</f>
        <v>0.90462252368600637</v>
      </c>
      <c r="D3179">
        <f>E3179*(SQRT($C$2/C3179))</f>
        <v>232.73641570654067</v>
      </c>
      <c r="E3179">
        <v>200</v>
      </c>
      <c r="F3179">
        <v>987</v>
      </c>
      <c r="G3179">
        <v>2750</v>
      </c>
      <c r="H3179">
        <f>CONVERT(G3179,"HP","kW")</f>
        <v>2050.6746468512433</v>
      </c>
      <c r="I3179">
        <v>0.85340000000000005</v>
      </c>
      <c r="J3179">
        <v>1.8368</v>
      </c>
      <c r="K3179">
        <v>0.56759999999999999</v>
      </c>
      <c r="L3179">
        <v>0.52080000000000004</v>
      </c>
      <c r="M3179">
        <v>0.24199999999999999</v>
      </c>
      <c r="N3179">
        <f>CONVERT(O3179,"lbf","N")</f>
        <v>14617.30104990753</v>
      </c>
      <c r="O3179">
        <v>3286.1</v>
      </c>
      <c r="P3179">
        <f t="shared" si="49"/>
        <v>0.46466973886328722</v>
      </c>
    </row>
    <row r="3180" spans="1:16" hidden="1" x14ac:dyDescent="0.25">
      <c r="A3180">
        <v>0</v>
      </c>
      <c r="B3180">
        <v>10000</v>
      </c>
      <c r="C3180">
        <f>1.225 * (1 - 0.00000687559 * B3180) ^ 4.2561</f>
        <v>0.90462252368600637</v>
      </c>
      <c r="D3180">
        <f>E3180*(SQRT($C$2/C3180))</f>
        <v>302.55734041850286</v>
      </c>
      <c r="E3180">
        <v>260</v>
      </c>
      <c r="F3180">
        <v>987</v>
      </c>
      <c r="G3180">
        <v>2750</v>
      </c>
      <c r="H3180">
        <f>CONVERT(G3180,"HP","kW")</f>
        <v>2050.6746468512433</v>
      </c>
      <c r="I3180">
        <v>0.87829999999999997</v>
      </c>
      <c r="J3180">
        <v>2.3879000000000001</v>
      </c>
      <c r="K3180">
        <v>0.64380000000000004</v>
      </c>
      <c r="L3180">
        <v>0.52080000000000004</v>
      </c>
      <c r="M3180">
        <v>0.1915</v>
      </c>
      <c r="N3180">
        <f>CONVERT(O3180,"lbf","N")</f>
        <v>11571.603709938665</v>
      </c>
      <c r="O3180">
        <v>2601.4</v>
      </c>
      <c r="P3180">
        <f t="shared" si="49"/>
        <v>0.36770353302611364</v>
      </c>
    </row>
    <row r="3181" spans="1:16" hidden="1" x14ac:dyDescent="0.25">
      <c r="A3181">
        <v>0</v>
      </c>
      <c r="B3181">
        <v>10000</v>
      </c>
      <c r="C3181">
        <f>1.225 * (1 - 0.00000687559 * B3181) ^ 4.2561</f>
        <v>0.90462252368600637</v>
      </c>
      <c r="D3181">
        <f>E3181*(SQRT($C$2/C3181))</f>
        <v>162.91549099457848</v>
      </c>
      <c r="E3181">
        <v>140</v>
      </c>
      <c r="F3181">
        <v>987</v>
      </c>
      <c r="G3181">
        <v>2750</v>
      </c>
      <c r="H3181">
        <f>CONVERT(G3181,"HP","kW")</f>
        <v>2050.6746468512433</v>
      </c>
      <c r="I3181">
        <v>0.76719999999999999</v>
      </c>
      <c r="J3181">
        <v>1.2858000000000001</v>
      </c>
      <c r="K3181">
        <v>0.503</v>
      </c>
      <c r="L3181">
        <v>0.52090000000000003</v>
      </c>
      <c r="M3181">
        <v>0.31080000000000002</v>
      </c>
      <c r="N3181">
        <f>CONVERT(O3181,"lbf","N")</f>
        <v>18771.050394237784</v>
      </c>
      <c r="O3181">
        <v>4219.8999999999996</v>
      </c>
      <c r="P3181">
        <f t="shared" si="49"/>
        <v>0.59665962756767132</v>
      </c>
    </row>
    <row r="3182" spans="1:16" hidden="1" x14ac:dyDescent="0.25">
      <c r="A3182">
        <v>0</v>
      </c>
      <c r="B3182">
        <v>10000</v>
      </c>
      <c r="C3182">
        <f>1.225 * (1 - 0.00000687559 * B3182) ^ 4.2561</f>
        <v>0.90462252368600637</v>
      </c>
      <c r="D3182">
        <f>E3182*(SQRT($C$2/C3182))</f>
        <v>139.64184942392441</v>
      </c>
      <c r="E3182">
        <v>120</v>
      </c>
      <c r="F3182">
        <v>987</v>
      </c>
      <c r="G3182">
        <v>2750</v>
      </c>
      <c r="H3182">
        <f>CONVERT(G3182,"HP","kW")</f>
        <v>2050.6746468512433</v>
      </c>
      <c r="I3182">
        <v>0.68620000000000003</v>
      </c>
      <c r="J3182">
        <v>1.1021000000000001</v>
      </c>
      <c r="K3182">
        <v>0.48499999999999999</v>
      </c>
      <c r="L3182">
        <v>0.52100000000000002</v>
      </c>
      <c r="M3182">
        <v>0.32440000000000002</v>
      </c>
      <c r="N3182">
        <f>CONVERT(O3182,"lbf","N")</f>
        <v>19589.078349284191</v>
      </c>
      <c r="O3182">
        <v>4403.8</v>
      </c>
      <c r="P3182">
        <f t="shared" si="49"/>
        <v>0.62264875239923223</v>
      </c>
    </row>
    <row r="3183" spans="1:16" hidden="1" x14ac:dyDescent="0.25">
      <c r="A3183">
        <v>0</v>
      </c>
      <c r="B3183">
        <v>10000</v>
      </c>
      <c r="C3183">
        <f>1.225 * (1 - 0.00000687559 * B3183) ^ 4.2561</f>
        <v>0.90462252368600637</v>
      </c>
      <c r="D3183">
        <f>E3183*(SQRT($C$2/C3183))</f>
        <v>93.09456628261627</v>
      </c>
      <c r="E3183">
        <v>80</v>
      </c>
      <c r="F3183">
        <v>987</v>
      </c>
      <c r="G3183">
        <v>2750</v>
      </c>
      <c r="H3183">
        <f>CONVERT(G3183,"HP","kW")</f>
        <v>2050.6746468512433</v>
      </c>
      <c r="I3183">
        <v>0.3236</v>
      </c>
      <c r="J3183">
        <v>0.73470000000000002</v>
      </c>
      <c r="K3183">
        <v>0.45669999999999999</v>
      </c>
      <c r="L3183">
        <v>0.52110000000000001</v>
      </c>
      <c r="M3183">
        <v>0.22950000000000001</v>
      </c>
      <c r="N3183">
        <f>CONVERT(O3183,"lbf","N")</f>
        <v>13857.544798021037</v>
      </c>
      <c r="O3183">
        <v>3115.3</v>
      </c>
      <c r="P3183">
        <f t="shared" si="49"/>
        <v>0.44041450777202074</v>
      </c>
    </row>
    <row r="3184" spans="1:16" hidden="1" x14ac:dyDescent="0.25">
      <c r="A3184">
        <v>0</v>
      </c>
      <c r="B3184">
        <v>10000</v>
      </c>
      <c r="C3184">
        <f>1.225 * (1 - 0.00000687559 * B3184) ^ 4.2561</f>
        <v>0.90462252368600637</v>
      </c>
      <c r="D3184">
        <f>E3184*(SQRT($C$2/C3184))</f>
        <v>209.4627741358866</v>
      </c>
      <c r="E3184">
        <v>180</v>
      </c>
      <c r="F3184">
        <v>987</v>
      </c>
      <c r="G3184">
        <v>2750</v>
      </c>
      <c r="H3184">
        <f>CONVERT(G3184,"HP","kW")</f>
        <v>2050.6746468512433</v>
      </c>
      <c r="I3184">
        <v>0.83520000000000005</v>
      </c>
      <c r="J3184">
        <v>1.6532</v>
      </c>
      <c r="K3184">
        <v>0.54459999999999997</v>
      </c>
      <c r="L3184">
        <v>0.52110000000000001</v>
      </c>
      <c r="M3184">
        <v>0.26329999999999998</v>
      </c>
      <c r="N3184">
        <f>CONVERT(O3184,"lbf","N")</f>
        <v>15894.830297810344</v>
      </c>
      <c r="O3184">
        <v>3573.3</v>
      </c>
      <c r="P3184">
        <f t="shared" si="49"/>
        <v>0.50527729802341192</v>
      </c>
    </row>
    <row r="3185" spans="1:16" hidden="1" x14ac:dyDescent="0.25">
      <c r="A3185">
        <v>0</v>
      </c>
      <c r="B3185">
        <v>10000</v>
      </c>
      <c r="C3185">
        <f>1.225 * (1 - 0.00000687559 * B3185) ^ 4.2561</f>
        <v>0.90462252368600637</v>
      </c>
      <c r="D3185">
        <f>E3185*(SQRT($C$2/C3185))</f>
        <v>23.273641570654068</v>
      </c>
      <c r="E3185">
        <v>20</v>
      </c>
      <c r="F3185">
        <v>987</v>
      </c>
      <c r="G3185">
        <v>2750</v>
      </c>
      <c r="H3185">
        <f>CONVERT(G3185,"HP","kW")</f>
        <v>2050.6746468512433</v>
      </c>
      <c r="I3185">
        <v>-8.3500000000000005E-2</v>
      </c>
      <c r="J3185">
        <v>0.1837</v>
      </c>
      <c r="K3185">
        <v>0.42320000000000002</v>
      </c>
      <c r="L3185">
        <v>0.52139999999999997</v>
      </c>
      <c r="M3185">
        <v>-0.23710000000000001</v>
      </c>
      <c r="N3185">
        <f>CONVERT(O3185,"lbf","N")</f>
        <v>-14306.815181162348</v>
      </c>
      <c r="O3185">
        <v>-3216.3</v>
      </c>
      <c r="P3185">
        <f t="shared" si="49"/>
        <v>-0.4547372458764864</v>
      </c>
    </row>
    <row r="3186" spans="1:16" hidden="1" x14ac:dyDescent="0.25">
      <c r="A3186">
        <v>0</v>
      </c>
      <c r="B3186">
        <v>10000</v>
      </c>
      <c r="C3186">
        <f>1.225 * (1 - 0.00000687559 * B3186) ^ 4.2561</f>
        <v>0.90462252368600637</v>
      </c>
      <c r="D3186">
        <f>E3186*(SQRT($C$2/C3186))</f>
        <v>256.01005727719473</v>
      </c>
      <c r="E3186">
        <v>220</v>
      </c>
      <c r="F3186">
        <v>987</v>
      </c>
      <c r="G3186">
        <v>2750</v>
      </c>
      <c r="H3186">
        <f>CONVERT(G3186,"HP","kW")</f>
        <v>2050.6746468512433</v>
      </c>
      <c r="I3186">
        <v>0.86619999999999997</v>
      </c>
      <c r="J3186">
        <v>2.0205000000000002</v>
      </c>
      <c r="K3186">
        <v>0.59189999999999998</v>
      </c>
      <c r="L3186">
        <v>0.52139999999999997</v>
      </c>
      <c r="M3186">
        <v>0.2235</v>
      </c>
      <c r="N3186">
        <f>CONVERT(O3186,"lbf","N")</f>
        <v>13486.56311530831</v>
      </c>
      <c r="O3186">
        <v>3031.9</v>
      </c>
      <c r="P3186">
        <f t="shared" si="49"/>
        <v>0.42865362485615655</v>
      </c>
    </row>
    <row r="3187" spans="1:16" hidden="1" x14ac:dyDescent="0.25">
      <c r="A3187">
        <v>0</v>
      </c>
      <c r="B3187">
        <v>10000</v>
      </c>
      <c r="C3187">
        <f>1.225 * (1 - 0.00000687559 * B3187) ^ 4.2561</f>
        <v>0.90462252368600637</v>
      </c>
      <c r="D3187">
        <f>E3187*(SQRT($C$2/C3187))</f>
        <v>279.28369884784883</v>
      </c>
      <c r="E3187">
        <v>240</v>
      </c>
      <c r="F3187">
        <v>987</v>
      </c>
      <c r="G3187">
        <v>2750</v>
      </c>
      <c r="H3187">
        <f>CONVERT(G3187,"HP","kW")</f>
        <v>2050.6746468512433</v>
      </c>
      <c r="I3187">
        <v>0.87450000000000006</v>
      </c>
      <c r="J3187">
        <v>2.2042000000000002</v>
      </c>
      <c r="K3187">
        <v>0.61739999999999995</v>
      </c>
      <c r="L3187">
        <v>0.52139999999999997</v>
      </c>
      <c r="M3187">
        <v>0.20680000000000001</v>
      </c>
      <c r="N3187">
        <f>CONVERT(O3187,"lbf","N")</f>
        <v>12482.154674582489</v>
      </c>
      <c r="O3187">
        <v>2806.1</v>
      </c>
      <c r="P3187">
        <f t="shared" si="49"/>
        <v>0.3966244725738397</v>
      </c>
    </row>
    <row r="3188" spans="1:16" hidden="1" x14ac:dyDescent="0.25">
      <c r="A3188">
        <v>0</v>
      </c>
      <c r="B3188">
        <v>10000</v>
      </c>
      <c r="C3188">
        <f>1.225 * (1 - 0.00000687559 * B3188) ^ 4.2561</f>
        <v>0.90462252368600637</v>
      </c>
      <c r="D3188">
        <f>E3188*(SQRT($C$2/C3188))</f>
        <v>69.820924711962206</v>
      </c>
      <c r="E3188">
        <v>60</v>
      </c>
      <c r="F3188">
        <v>987</v>
      </c>
      <c r="G3188">
        <v>2750</v>
      </c>
      <c r="H3188">
        <f>CONVERT(G3188,"HP","kW")</f>
        <v>2050.6746468512433</v>
      </c>
      <c r="I3188">
        <v>0.18099999999999999</v>
      </c>
      <c r="J3188">
        <v>0.55110000000000003</v>
      </c>
      <c r="K3188">
        <v>0.4466</v>
      </c>
      <c r="L3188">
        <v>0.52149999999999996</v>
      </c>
      <c r="M3188">
        <v>0.17130000000000001</v>
      </c>
      <c r="N3188">
        <f>CONVERT(O3188,"lbf","N")</f>
        <v>10332.773990088617</v>
      </c>
      <c r="O3188">
        <v>2322.9</v>
      </c>
      <c r="P3188">
        <f t="shared" si="49"/>
        <v>0.3284755512943433</v>
      </c>
    </row>
    <row r="3189" spans="1:16" hidden="1" x14ac:dyDescent="0.25">
      <c r="A3189">
        <v>0</v>
      </c>
      <c r="B3189">
        <v>10000</v>
      </c>
      <c r="C3189">
        <f>1.225 * (1 - 0.00000687559 * B3189) ^ 4.2561</f>
        <v>0.90462252368600637</v>
      </c>
      <c r="D3189">
        <f>E3189*(SQRT($C$2/C3189))</f>
        <v>116.36820785327033</v>
      </c>
      <c r="E3189">
        <v>100</v>
      </c>
      <c r="F3189">
        <v>987</v>
      </c>
      <c r="G3189">
        <v>2750</v>
      </c>
      <c r="H3189">
        <f>CONVERT(G3189,"HP","kW")</f>
        <v>2050.6746468512433</v>
      </c>
      <c r="I3189">
        <v>0.50519999999999998</v>
      </c>
      <c r="J3189">
        <v>0.91839999999999999</v>
      </c>
      <c r="K3189">
        <v>0.46949999999999997</v>
      </c>
      <c r="L3189">
        <v>0.52170000000000005</v>
      </c>
      <c r="M3189">
        <v>0.28699999999999998</v>
      </c>
      <c r="N3189">
        <f>CONVERT(O3189,"lbf","N")</f>
        <v>17307.585482817081</v>
      </c>
      <c r="O3189">
        <v>3890.9</v>
      </c>
      <c r="P3189">
        <f t="shared" si="49"/>
        <v>0.55012459267778402</v>
      </c>
    </row>
    <row r="3190" spans="1:16" hidden="1" x14ac:dyDescent="0.25">
      <c r="A3190">
        <v>0</v>
      </c>
      <c r="B3190">
        <v>10000</v>
      </c>
      <c r="C3190">
        <f>1.225 * (1 - 0.00000687559 * B3190) ^ 4.2561</f>
        <v>0.90462252368600637</v>
      </c>
      <c r="D3190">
        <f>E3190*(SQRT($C$2/C3190))</f>
        <v>186.18913256523254</v>
      </c>
      <c r="E3190">
        <v>160</v>
      </c>
      <c r="F3190">
        <v>987</v>
      </c>
      <c r="G3190">
        <v>2750</v>
      </c>
      <c r="H3190">
        <f>CONVERT(G3190,"HP","kW")</f>
        <v>2050.6746468512433</v>
      </c>
      <c r="I3190">
        <v>0.80989999999999995</v>
      </c>
      <c r="J3190">
        <v>1.4695</v>
      </c>
      <c r="K3190">
        <v>0.52300000000000002</v>
      </c>
      <c r="L3190">
        <v>0.52180000000000004</v>
      </c>
      <c r="M3190">
        <v>0.28760000000000002</v>
      </c>
      <c r="N3190">
        <f>CONVERT(O3190,"lbf","N")</f>
        <v>17339.167856285429</v>
      </c>
      <c r="O3190">
        <v>3898</v>
      </c>
      <c r="P3190">
        <f t="shared" si="49"/>
        <v>0.55116903027980069</v>
      </c>
    </row>
    <row r="3191" spans="1:16" hidden="1" x14ac:dyDescent="0.25">
      <c r="A3191">
        <v>0</v>
      </c>
      <c r="B3191">
        <v>20000</v>
      </c>
      <c r="C3191">
        <f>1.225 * (1 - 0.00000687559 * B3191) ^ 4.2561</f>
        <v>0.65267221054298263</v>
      </c>
      <c r="D3191">
        <f>E3191*(SQRT($C$2/C3191))</f>
        <v>328.7999366599696</v>
      </c>
      <c r="E3191">
        <v>240</v>
      </c>
      <c r="F3191">
        <v>987</v>
      </c>
      <c r="G3191">
        <v>2000</v>
      </c>
      <c r="H3191">
        <f>CONVERT(G3191,"HP","kW")</f>
        <v>1491.3997431645405</v>
      </c>
      <c r="I3191">
        <v>0.87070000000000003</v>
      </c>
      <c r="J3191">
        <v>2.5950000000000002</v>
      </c>
      <c r="K3191">
        <v>0.70109999999999995</v>
      </c>
      <c r="L3191">
        <v>0.52510000000000001</v>
      </c>
      <c r="M3191">
        <v>0.1762</v>
      </c>
      <c r="N3191">
        <f>CONVERT(O3191,"lbf","N")</f>
        <v>7676.740863616571</v>
      </c>
      <c r="O3191">
        <v>1725.8</v>
      </c>
      <c r="P3191">
        <f t="shared" si="49"/>
        <v>0.33555513235574175</v>
      </c>
    </row>
    <row r="3192" spans="1:16" hidden="1" x14ac:dyDescent="0.25">
      <c r="A3192">
        <v>0</v>
      </c>
      <c r="B3192">
        <v>20000</v>
      </c>
      <c r="C3192">
        <f>1.225 * (1 - 0.00000687559 * B3192) ^ 4.2561</f>
        <v>0.65267221054298263</v>
      </c>
      <c r="D3192">
        <f>E3192*(SQRT($C$2/C3192))</f>
        <v>136.99997360832069</v>
      </c>
      <c r="E3192">
        <v>100</v>
      </c>
      <c r="F3192">
        <v>987</v>
      </c>
      <c r="G3192">
        <v>2000</v>
      </c>
      <c r="H3192">
        <f>CONVERT(G3192,"HP","kW")</f>
        <v>1491.3997431645405</v>
      </c>
      <c r="I3192">
        <v>0.66210000000000002</v>
      </c>
      <c r="J3192">
        <v>1.0811999999999999</v>
      </c>
      <c r="K3192">
        <v>0.502</v>
      </c>
      <c r="L3192">
        <v>0.52529999999999999</v>
      </c>
      <c r="M3192">
        <v>0.32169999999999999</v>
      </c>
      <c r="N3192">
        <f>CONVERT(O3192,"lbf","N")</f>
        <v>14011.453265909049</v>
      </c>
      <c r="O3192">
        <v>3149.9</v>
      </c>
      <c r="P3192">
        <f t="shared" si="49"/>
        <v>0.61241195507329149</v>
      </c>
    </row>
    <row r="3193" spans="1:16" hidden="1" x14ac:dyDescent="0.25">
      <c r="A3193">
        <v>0</v>
      </c>
      <c r="B3193">
        <v>20000</v>
      </c>
      <c r="C3193">
        <f>1.225 * (1 - 0.00000687559 * B3193) ^ 4.2561</f>
        <v>0.65267221054298263</v>
      </c>
      <c r="D3193">
        <f>E3193*(SQRT($C$2/C3193))</f>
        <v>82.199984164992401</v>
      </c>
      <c r="E3193">
        <v>60</v>
      </c>
      <c r="F3193">
        <v>987</v>
      </c>
      <c r="G3193">
        <v>2000</v>
      </c>
      <c r="H3193">
        <f>CONVERT(G3193,"HP","kW")</f>
        <v>1491.3997431645405</v>
      </c>
      <c r="I3193">
        <v>0.22439999999999999</v>
      </c>
      <c r="J3193">
        <v>0.64870000000000005</v>
      </c>
      <c r="K3193">
        <v>0.4698</v>
      </c>
      <c r="L3193">
        <v>0.52539999999999998</v>
      </c>
      <c r="M3193">
        <v>0.1817</v>
      </c>
      <c r="N3193">
        <f>CONVERT(O3193,"lbf","N")</f>
        <v>7913.8310757099553</v>
      </c>
      <c r="O3193">
        <v>1779.1</v>
      </c>
      <c r="P3193">
        <f t="shared" si="49"/>
        <v>0.34583174724019794</v>
      </c>
    </row>
    <row r="3194" spans="1:16" hidden="1" x14ac:dyDescent="0.25">
      <c r="A3194">
        <v>0</v>
      </c>
      <c r="B3194">
        <v>20000</v>
      </c>
      <c r="C3194">
        <f>1.225 * (1 - 0.00000687559 * B3194) ^ 4.2561</f>
        <v>0.65267221054298263</v>
      </c>
      <c r="D3194">
        <f>E3194*(SQRT($C$2/C3194))</f>
        <v>109.59997888665654</v>
      </c>
      <c r="E3194">
        <v>80</v>
      </c>
      <c r="F3194">
        <v>987</v>
      </c>
      <c r="G3194">
        <v>2000</v>
      </c>
      <c r="H3194">
        <f>CONVERT(G3194,"HP","kW")</f>
        <v>1491.3997431645405</v>
      </c>
      <c r="I3194">
        <v>0.44940000000000002</v>
      </c>
      <c r="J3194">
        <v>0.86499999999999999</v>
      </c>
      <c r="K3194">
        <v>0.48370000000000002</v>
      </c>
      <c r="L3194">
        <v>0.52539999999999998</v>
      </c>
      <c r="M3194">
        <v>0.27289999999999998</v>
      </c>
      <c r="N3194">
        <f>CONVERT(O3194,"lbf","N")</f>
        <v>11886.537800299107</v>
      </c>
      <c r="O3194">
        <v>2672.2</v>
      </c>
      <c r="P3194">
        <f t="shared" si="49"/>
        <v>0.51941377997716021</v>
      </c>
    </row>
    <row r="3195" spans="1:16" hidden="1" x14ac:dyDescent="0.25">
      <c r="A3195">
        <v>0</v>
      </c>
      <c r="B3195">
        <v>20000</v>
      </c>
      <c r="C3195">
        <f>1.225 * (1 - 0.00000687559 * B3195) ^ 4.2561</f>
        <v>0.65267221054298263</v>
      </c>
      <c r="D3195">
        <f>E3195*(SQRT($C$2/C3195))</f>
        <v>164.3999683299848</v>
      </c>
      <c r="E3195">
        <v>120</v>
      </c>
      <c r="F3195">
        <v>987</v>
      </c>
      <c r="G3195">
        <v>2000</v>
      </c>
      <c r="H3195">
        <f>CONVERT(G3195,"HP","kW")</f>
        <v>1491.3997431645405</v>
      </c>
      <c r="I3195">
        <v>0.7671</v>
      </c>
      <c r="J3195">
        <v>1.2975000000000001</v>
      </c>
      <c r="K3195">
        <v>0.52390000000000003</v>
      </c>
      <c r="L3195">
        <v>0.52549999999999997</v>
      </c>
      <c r="M3195">
        <v>0.31069999999999998</v>
      </c>
      <c r="N3195">
        <f>CONVERT(O3195,"lbf","N")</f>
        <v>13526.597109845656</v>
      </c>
      <c r="O3195">
        <v>3040.9</v>
      </c>
      <c r="P3195">
        <f t="shared" si="49"/>
        <v>0.59124643196955284</v>
      </c>
    </row>
    <row r="3196" spans="1:16" hidden="1" x14ac:dyDescent="0.25">
      <c r="A3196">
        <v>0</v>
      </c>
      <c r="B3196">
        <v>20000</v>
      </c>
      <c r="C3196">
        <f>1.225 * (1 - 0.00000687559 * B3196) ^ 4.2561</f>
        <v>0.65267221054298263</v>
      </c>
      <c r="D3196">
        <f>E3196*(SQRT($C$2/C3196))</f>
        <v>219.19995777331309</v>
      </c>
      <c r="E3196">
        <v>160</v>
      </c>
      <c r="F3196">
        <v>987</v>
      </c>
      <c r="G3196">
        <v>2000</v>
      </c>
      <c r="H3196">
        <f>CONVERT(G3196,"HP","kW")</f>
        <v>1491.3997431645405</v>
      </c>
      <c r="I3196">
        <v>0.84209999999999996</v>
      </c>
      <c r="J3196">
        <v>1.73</v>
      </c>
      <c r="K3196">
        <v>0.57569999999999999</v>
      </c>
      <c r="L3196">
        <v>0.52549999999999997</v>
      </c>
      <c r="M3196">
        <v>0.25580000000000003</v>
      </c>
      <c r="N3196">
        <f>CONVERT(O3196,"lbf","N")</f>
        <v>11137.902102450767</v>
      </c>
      <c r="O3196">
        <v>2503.9</v>
      </c>
      <c r="P3196">
        <f t="shared" si="49"/>
        <v>0.48677450047573745</v>
      </c>
    </row>
    <row r="3197" spans="1:16" hidden="1" x14ac:dyDescent="0.25">
      <c r="A3197">
        <v>0</v>
      </c>
      <c r="B3197">
        <v>20000</v>
      </c>
      <c r="C3197">
        <f>1.225 * (1 - 0.00000687559 * B3197) ^ 4.2561</f>
        <v>0.65267221054298263</v>
      </c>
      <c r="D3197">
        <f>E3197*(SQRT($C$2/C3197))</f>
        <v>246.59995249497723</v>
      </c>
      <c r="E3197">
        <v>180</v>
      </c>
      <c r="F3197">
        <v>987</v>
      </c>
      <c r="G3197">
        <v>2000</v>
      </c>
      <c r="H3197">
        <f>CONVERT(G3197,"HP","kW")</f>
        <v>1491.3997431645405</v>
      </c>
      <c r="I3197">
        <v>0.86029999999999995</v>
      </c>
      <c r="J3197">
        <v>1.9461999999999999</v>
      </c>
      <c r="K3197">
        <v>0.60470000000000002</v>
      </c>
      <c r="L3197">
        <v>0.52549999999999997</v>
      </c>
      <c r="M3197">
        <v>0.23230000000000001</v>
      </c>
      <c r="N3197">
        <f>CONVERT(O3197,"lbf","N")</f>
        <v>10113.921486617799</v>
      </c>
      <c r="O3197">
        <v>2273.6999999999998</v>
      </c>
      <c r="P3197">
        <f t="shared" si="49"/>
        <v>0.44205518553758327</v>
      </c>
    </row>
    <row r="3198" spans="1:16" hidden="1" x14ac:dyDescent="0.25">
      <c r="A3198">
        <v>0</v>
      </c>
      <c r="B3198">
        <v>20000</v>
      </c>
      <c r="C3198">
        <f>1.225 * (1 - 0.00000687559 * B3198) ^ 4.2561</f>
        <v>0.65267221054298263</v>
      </c>
      <c r="D3198">
        <f>E3198*(SQRT($C$2/C3198))</f>
        <v>273.99994721664137</v>
      </c>
      <c r="E3198">
        <v>200</v>
      </c>
      <c r="F3198">
        <v>987</v>
      </c>
      <c r="G3198">
        <v>2000</v>
      </c>
      <c r="H3198">
        <f>CONVERT(G3198,"HP","kW")</f>
        <v>1491.3997431645405</v>
      </c>
      <c r="I3198">
        <v>0.87170000000000003</v>
      </c>
      <c r="J3198">
        <v>2.1625000000000001</v>
      </c>
      <c r="K3198">
        <v>0.63539999999999996</v>
      </c>
      <c r="L3198">
        <v>0.52549999999999997</v>
      </c>
      <c r="M3198">
        <v>0.21179999999999999</v>
      </c>
      <c r="N3198">
        <f>CONVERT(O3198,"lbf","N")</f>
        <v>9223.3875192426458</v>
      </c>
      <c r="O3198">
        <v>2073.5</v>
      </c>
      <c r="P3198">
        <f t="shared" si="49"/>
        <v>0.40304471931493818</v>
      </c>
    </row>
    <row r="3199" spans="1:16" hidden="1" x14ac:dyDescent="0.25">
      <c r="A3199">
        <v>0</v>
      </c>
      <c r="B3199">
        <v>20000</v>
      </c>
      <c r="C3199">
        <f>1.225 * (1 - 0.00000687559 * B3199) ^ 4.2561</f>
        <v>0.65267221054298263</v>
      </c>
      <c r="D3199">
        <f>E3199*(SQRT($C$2/C3199))</f>
        <v>301.39994193830552</v>
      </c>
      <c r="E3199">
        <v>220</v>
      </c>
      <c r="F3199">
        <v>987</v>
      </c>
      <c r="G3199">
        <v>2000</v>
      </c>
      <c r="H3199">
        <f>CONVERT(G3199,"HP","kW")</f>
        <v>1491.3997431645405</v>
      </c>
      <c r="I3199">
        <v>0.87629999999999997</v>
      </c>
      <c r="J3199">
        <v>2.3786999999999998</v>
      </c>
      <c r="K3199">
        <v>0.66759999999999997</v>
      </c>
      <c r="L3199">
        <v>0.52549999999999997</v>
      </c>
      <c r="M3199">
        <v>0.19359999999999999</v>
      </c>
      <c r="N3199">
        <f>CONVERT(O3199,"lbf","N")</f>
        <v>8429.3799609186481</v>
      </c>
      <c r="O3199">
        <v>1895</v>
      </c>
      <c r="P3199">
        <f t="shared" si="49"/>
        <v>0.36841103710751666</v>
      </c>
    </row>
    <row r="3200" spans="1:16" hidden="1" x14ac:dyDescent="0.25">
      <c r="A3200">
        <v>0</v>
      </c>
      <c r="B3200">
        <v>20000</v>
      </c>
      <c r="C3200">
        <f>1.225 * (1 - 0.00000687559 * B3200) ^ 4.2561</f>
        <v>0.65267221054298263</v>
      </c>
      <c r="D3200">
        <f>E3200*(SQRT($C$2/C3200))</f>
        <v>356.19993138163375</v>
      </c>
      <c r="E3200">
        <v>260</v>
      </c>
      <c r="F3200">
        <v>987</v>
      </c>
      <c r="G3200">
        <v>2000</v>
      </c>
      <c r="H3200">
        <f>CONVERT(G3200,"HP","kW")</f>
        <v>1491.3997431645405</v>
      </c>
      <c r="I3200">
        <v>0.84699999999999998</v>
      </c>
      <c r="J3200">
        <v>2.8111999999999999</v>
      </c>
      <c r="K3200">
        <v>0.73580000000000001</v>
      </c>
      <c r="L3200">
        <v>0.52549999999999997</v>
      </c>
      <c r="M3200">
        <v>0.1583</v>
      </c>
      <c r="N3200">
        <f>CONVERT(O3200,"lbf","N")</f>
        <v>6893.4090371691982</v>
      </c>
      <c r="O3200">
        <v>1549.7</v>
      </c>
      <c r="P3200">
        <f t="shared" si="49"/>
        <v>0.30123691722169366</v>
      </c>
    </row>
    <row r="3201" spans="1:16" hidden="1" x14ac:dyDescent="0.25">
      <c r="A3201">
        <v>0</v>
      </c>
      <c r="B3201">
        <v>20000</v>
      </c>
      <c r="C3201">
        <f>1.225 * (1 - 0.00000687559 * B3201) ^ 4.2561</f>
        <v>0.65267221054298263</v>
      </c>
      <c r="D3201">
        <f>E3201*(SQRT($C$2/C3201))</f>
        <v>191.79996305164894</v>
      </c>
      <c r="E3201">
        <v>140</v>
      </c>
      <c r="F3201">
        <v>987</v>
      </c>
      <c r="G3201">
        <v>2000</v>
      </c>
      <c r="H3201">
        <f>CONVERT(G3201,"HP","kW")</f>
        <v>1491.3997431645405</v>
      </c>
      <c r="I3201">
        <v>0.81530000000000002</v>
      </c>
      <c r="J3201">
        <v>1.5137</v>
      </c>
      <c r="K3201">
        <v>0.54869999999999997</v>
      </c>
      <c r="L3201">
        <v>0.52580000000000005</v>
      </c>
      <c r="M3201">
        <v>0.28320000000000001</v>
      </c>
      <c r="N3201">
        <f>CONVERT(O3201,"lbf","N")</f>
        <v>12323.797985079214</v>
      </c>
      <c r="O3201">
        <v>2770.5</v>
      </c>
      <c r="P3201">
        <f t="shared" si="49"/>
        <v>0.53860783567896531</v>
      </c>
    </row>
    <row r="3202" spans="1:16" hidden="1" x14ac:dyDescent="0.25">
      <c r="A3202">
        <v>0</v>
      </c>
      <c r="B3202">
        <v>30000</v>
      </c>
      <c r="C3202">
        <f>1.225 * (1 - 0.00000687559 * B3202) ^ 4.2561</f>
        <v>0.45828836225470948</v>
      </c>
      <c r="D3202">
        <f>E3202*(SQRT($C$2/C3202))</f>
        <v>32.698559864506464</v>
      </c>
      <c r="E3202">
        <v>20</v>
      </c>
      <c r="F3202">
        <v>1150</v>
      </c>
      <c r="G3202">
        <v>2250</v>
      </c>
      <c r="H3202">
        <f>CONVERT(G3202,"HP","kW")</f>
        <v>1677.8247110601083</v>
      </c>
      <c r="I3202">
        <v>7.3400000000000007E-2</v>
      </c>
      <c r="J3202">
        <v>0.2215</v>
      </c>
      <c r="K3202">
        <v>0.54610000000000003</v>
      </c>
      <c r="L3202">
        <v>0.53190000000000004</v>
      </c>
      <c r="M3202">
        <v>0.1762</v>
      </c>
      <c r="N3202">
        <f>CONVERT(O3202,"lbf","N")</f>
        <v>7318.2142014265755</v>
      </c>
      <c r="O3202">
        <v>1645.2</v>
      </c>
      <c r="P3202">
        <f t="shared" si="49"/>
        <v>0.33126527542771195</v>
      </c>
    </row>
    <row r="3203" spans="1:16" hidden="1" x14ac:dyDescent="0.25">
      <c r="A3203">
        <v>0</v>
      </c>
      <c r="B3203">
        <v>30000</v>
      </c>
      <c r="C3203">
        <f>1.225 * (1 - 0.00000687559 * B3203) ^ 4.2561</f>
        <v>0.45828836225470948</v>
      </c>
      <c r="D3203">
        <f>E3203*(SQRT($C$2/C3203))</f>
        <v>0</v>
      </c>
      <c r="E3203">
        <v>0</v>
      </c>
      <c r="F3203">
        <v>1150</v>
      </c>
      <c r="G3203">
        <v>2250</v>
      </c>
      <c r="H3203">
        <f>CONVERT(G3203,"HP","kW")</f>
        <v>1677.8247110601083</v>
      </c>
      <c r="I3203">
        <v>0</v>
      </c>
      <c r="J3203">
        <v>0</v>
      </c>
      <c r="K3203">
        <v>0.5353</v>
      </c>
      <c r="L3203">
        <v>0.53200000000000003</v>
      </c>
      <c r="M3203">
        <v>0.17</v>
      </c>
      <c r="N3203">
        <f>CONVERT(O3203,"lbf","N")</f>
        <v>7057.9932369338358</v>
      </c>
      <c r="O3203">
        <v>1586.7</v>
      </c>
      <c r="P3203">
        <f t="shared" ref="P3203:P3266" si="50">M3203/L3203</f>
        <v>0.31954887218045114</v>
      </c>
    </row>
    <row r="3204" spans="1:16" hidden="1" x14ac:dyDescent="0.25">
      <c r="A3204">
        <v>0</v>
      </c>
      <c r="B3204">
        <v>30000</v>
      </c>
      <c r="C3204">
        <f>1.225 * (1 - 0.00000687559 * B3204) ^ 4.2561</f>
        <v>0.45828836225470948</v>
      </c>
      <c r="D3204">
        <f>E3204*(SQRT($C$2/C3204))</f>
        <v>196.19135918703881</v>
      </c>
      <c r="E3204">
        <v>120</v>
      </c>
      <c r="F3204">
        <v>1150</v>
      </c>
      <c r="G3204">
        <v>2250</v>
      </c>
      <c r="H3204">
        <f>CONVERT(G3204,"HP","kW")</f>
        <v>1677.8247110601083</v>
      </c>
      <c r="I3204">
        <v>0.75939999999999996</v>
      </c>
      <c r="J3204">
        <v>1.3289</v>
      </c>
      <c r="K3204">
        <v>0.64039999999999997</v>
      </c>
      <c r="L3204">
        <v>0.53210000000000002</v>
      </c>
      <c r="M3204">
        <v>0.30409999999999998</v>
      </c>
      <c r="N3204">
        <f>CONVERT(O3204,"lbf","N")</f>
        <v>12623.608121947773</v>
      </c>
      <c r="O3204">
        <v>2837.9</v>
      </c>
      <c r="P3204">
        <f t="shared" si="50"/>
        <v>0.57150911482803979</v>
      </c>
    </row>
    <row r="3205" spans="1:16" hidden="1" x14ac:dyDescent="0.25">
      <c r="A3205">
        <v>0</v>
      </c>
      <c r="B3205">
        <v>30000</v>
      </c>
      <c r="C3205">
        <f>1.225 * (1 - 0.00000687559 * B3205) ^ 4.2561</f>
        <v>0.45828836225470948</v>
      </c>
      <c r="D3205">
        <f>E3205*(SQRT($C$2/C3205))</f>
        <v>98.095679593519407</v>
      </c>
      <c r="E3205">
        <v>60</v>
      </c>
      <c r="F3205">
        <v>1150</v>
      </c>
      <c r="G3205">
        <v>2250</v>
      </c>
      <c r="H3205">
        <f>CONVERT(G3205,"HP","kW")</f>
        <v>1677.8247110601083</v>
      </c>
      <c r="I3205">
        <v>0.27650000000000002</v>
      </c>
      <c r="J3205">
        <v>0.66449999999999998</v>
      </c>
      <c r="K3205">
        <v>0.5706</v>
      </c>
      <c r="L3205">
        <v>0.53220000000000001</v>
      </c>
      <c r="M3205">
        <v>0.22140000000000001</v>
      </c>
      <c r="N3205">
        <f>CONVERT(O3205,"lbf","N")</f>
        <v>9191.8051457742986</v>
      </c>
      <c r="O3205">
        <v>2066.4</v>
      </c>
      <c r="P3205">
        <f t="shared" si="50"/>
        <v>0.41600901916572719</v>
      </c>
    </row>
    <row r="3206" spans="1:16" hidden="1" x14ac:dyDescent="0.25">
      <c r="A3206">
        <v>0</v>
      </c>
      <c r="B3206">
        <v>30000</v>
      </c>
      <c r="C3206">
        <f>1.225 * (1 - 0.00000687559 * B3206) ^ 4.2561</f>
        <v>0.45828836225470948</v>
      </c>
      <c r="D3206">
        <f>E3206*(SQRT($C$2/C3206))</f>
        <v>261.58847891605171</v>
      </c>
      <c r="E3206">
        <v>160</v>
      </c>
      <c r="F3206">
        <v>1150</v>
      </c>
      <c r="G3206">
        <v>2250</v>
      </c>
      <c r="H3206">
        <f>CONVERT(G3206,"HP","kW")</f>
        <v>1677.8247110601083</v>
      </c>
      <c r="I3206">
        <v>0.84040000000000004</v>
      </c>
      <c r="J3206">
        <v>1.7719</v>
      </c>
      <c r="K3206">
        <v>0.70579999999999998</v>
      </c>
      <c r="L3206">
        <v>0.53220000000000001</v>
      </c>
      <c r="M3206">
        <v>0.2525</v>
      </c>
      <c r="N3206">
        <f>CONVERT(O3206,"lbf","N")</f>
        <v>10478.675659069158</v>
      </c>
      <c r="O3206">
        <v>2355.6999999999998</v>
      </c>
      <c r="P3206">
        <f t="shared" si="50"/>
        <v>0.47444569710635098</v>
      </c>
    </row>
    <row r="3207" spans="1:16" hidden="1" x14ac:dyDescent="0.25">
      <c r="A3207">
        <v>0</v>
      </c>
      <c r="B3207">
        <v>30000</v>
      </c>
      <c r="C3207">
        <f>1.225 * (1 - 0.00000687559 * B3207) ^ 4.2561</f>
        <v>0.45828836225470948</v>
      </c>
      <c r="D3207">
        <f>E3207*(SQRT($C$2/C3207))</f>
        <v>65.397119729012928</v>
      </c>
      <c r="E3207">
        <v>40</v>
      </c>
      <c r="F3207">
        <v>1150</v>
      </c>
      <c r="G3207">
        <v>2250</v>
      </c>
      <c r="H3207">
        <f>CONVERT(G3207,"HP","kW")</f>
        <v>1677.8247110601083</v>
      </c>
      <c r="I3207">
        <v>0.1552</v>
      </c>
      <c r="J3207">
        <v>0.443</v>
      </c>
      <c r="K3207">
        <v>0.55659999999999998</v>
      </c>
      <c r="L3207">
        <v>0.5323</v>
      </c>
      <c r="M3207">
        <v>0.1865</v>
      </c>
      <c r="N3207">
        <f>CONVERT(O3207,"lbf","N")</f>
        <v>7742.5745435224262</v>
      </c>
      <c r="O3207">
        <v>1740.6</v>
      </c>
      <c r="P3207">
        <f t="shared" si="50"/>
        <v>0.35036633477362389</v>
      </c>
    </row>
    <row r="3208" spans="1:16" hidden="1" x14ac:dyDescent="0.25">
      <c r="A3208">
        <v>0</v>
      </c>
      <c r="B3208">
        <v>30000</v>
      </c>
      <c r="C3208">
        <f>1.225 * (1 - 0.00000687559 * B3208) ^ 4.2561</f>
        <v>0.45828836225470948</v>
      </c>
      <c r="D3208">
        <f>E3208*(SQRT($C$2/C3208))</f>
        <v>163.49279932253233</v>
      </c>
      <c r="E3208">
        <v>100</v>
      </c>
      <c r="F3208">
        <v>1150</v>
      </c>
      <c r="G3208">
        <v>2250</v>
      </c>
      <c r="H3208">
        <f>CONVERT(G3208,"HP","kW")</f>
        <v>1677.8247110601083</v>
      </c>
      <c r="I3208">
        <v>0.64380000000000004</v>
      </c>
      <c r="J3208">
        <v>1.1073999999999999</v>
      </c>
      <c r="K3208">
        <v>0.61250000000000004</v>
      </c>
      <c r="L3208">
        <v>0.5323</v>
      </c>
      <c r="M3208">
        <v>0.30940000000000001</v>
      </c>
      <c r="N3208">
        <f>CONVERT(O3208,"lbf","N")</f>
        <v>12842.460625418589</v>
      </c>
      <c r="O3208">
        <v>2887.1</v>
      </c>
      <c r="P3208">
        <f t="shared" si="50"/>
        <v>0.58125117414991545</v>
      </c>
    </row>
    <row r="3209" spans="1:16" hidden="1" x14ac:dyDescent="0.25">
      <c r="A3209">
        <v>0</v>
      </c>
      <c r="B3209">
        <v>30000</v>
      </c>
      <c r="C3209">
        <f>1.225 * (1 - 0.00000687559 * B3209) ^ 4.2561</f>
        <v>0.45828836225470948</v>
      </c>
      <c r="D3209">
        <f>E3209*(SQRT($C$2/C3209))</f>
        <v>228.88991905154526</v>
      </c>
      <c r="E3209">
        <v>140</v>
      </c>
      <c r="F3209">
        <v>1150</v>
      </c>
      <c r="G3209">
        <v>2250</v>
      </c>
      <c r="H3209">
        <f>CONVERT(G3209,"HP","kW")</f>
        <v>1677.8247110601083</v>
      </c>
      <c r="I3209">
        <v>0.8125</v>
      </c>
      <c r="J3209">
        <v>1.5504</v>
      </c>
      <c r="K3209">
        <v>0.67169999999999996</v>
      </c>
      <c r="L3209">
        <v>0.5323</v>
      </c>
      <c r="M3209">
        <v>0.27889999999999998</v>
      </c>
      <c r="N3209">
        <f>CONVERT(O3209,"lbf","N")</f>
        <v>11577.831220200031</v>
      </c>
      <c r="O3209">
        <v>2602.8000000000002</v>
      </c>
      <c r="P3209">
        <f t="shared" si="50"/>
        <v>0.5239526582754086</v>
      </c>
    </row>
    <row r="3210" spans="1:16" hidden="1" x14ac:dyDescent="0.25">
      <c r="A3210">
        <v>0</v>
      </c>
      <c r="B3210">
        <v>30000</v>
      </c>
      <c r="C3210">
        <f>1.225 * (1 - 0.00000687559 * B3210) ^ 4.2561</f>
        <v>0.45828836225470948</v>
      </c>
      <c r="D3210">
        <f>E3210*(SQRT($C$2/C3210))</f>
        <v>294.28703878055819</v>
      </c>
      <c r="E3210">
        <v>180</v>
      </c>
      <c r="F3210">
        <v>1150</v>
      </c>
      <c r="G3210">
        <v>2250</v>
      </c>
      <c r="H3210">
        <f>CONVERT(G3210,"HP","kW")</f>
        <v>1677.8247110601083</v>
      </c>
      <c r="I3210">
        <v>0.85350000000000004</v>
      </c>
      <c r="J3210">
        <v>1.9934000000000001</v>
      </c>
      <c r="K3210">
        <v>0.74229999999999996</v>
      </c>
      <c r="L3210">
        <v>0.5323</v>
      </c>
      <c r="M3210">
        <v>0.22789999999999999</v>
      </c>
      <c r="N3210">
        <f>CONVERT(O3210,"lbf","N")</f>
        <v>9459.1432648514528</v>
      </c>
      <c r="O3210">
        <v>2126.5</v>
      </c>
      <c r="P3210">
        <f t="shared" si="50"/>
        <v>0.4281420251737742</v>
      </c>
    </row>
    <row r="3211" spans="1:16" hidden="1" x14ac:dyDescent="0.25">
      <c r="A3211">
        <v>0</v>
      </c>
      <c r="B3211">
        <v>30000</v>
      </c>
      <c r="C3211">
        <f>1.225 * (1 - 0.00000687559 * B3211) ^ 4.2561</f>
        <v>0.45828836225470948</v>
      </c>
      <c r="D3211">
        <f>E3211*(SQRT($C$2/C3211))</f>
        <v>326.98559864506467</v>
      </c>
      <c r="E3211">
        <v>200</v>
      </c>
      <c r="F3211">
        <v>1150</v>
      </c>
      <c r="G3211">
        <v>2250</v>
      </c>
      <c r="H3211">
        <f>CONVERT(G3211,"HP","kW")</f>
        <v>1677.8247110601083</v>
      </c>
      <c r="I3211">
        <v>0.83720000000000006</v>
      </c>
      <c r="J3211">
        <v>2.2149000000000001</v>
      </c>
      <c r="K3211">
        <v>0.78090000000000004</v>
      </c>
      <c r="L3211">
        <v>0.5323</v>
      </c>
      <c r="M3211">
        <v>0.20119999999999999</v>
      </c>
      <c r="N3211">
        <f>CONVERT(O3211,"lbf","N")</f>
        <v>8351.0912604900641</v>
      </c>
      <c r="O3211">
        <v>1877.4</v>
      </c>
      <c r="P3211">
        <f t="shared" si="50"/>
        <v>0.37798234078527143</v>
      </c>
    </row>
    <row r="3212" spans="1:16" hidden="1" x14ac:dyDescent="0.25">
      <c r="A3212">
        <v>0</v>
      </c>
      <c r="B3212">
        <v>30000</v>
      </c>
      <c r="C3212">
        <f>1.225 * (1 - 0.00000687559 * B3212) ^ 4.2561</f>
        <v>0.45828836225470948</v>
      </c>
      <c r="D3212">
        <f>E3212*(SQRT($C$2/C3212))</f>
        <v>359.68415850957115</v>
      </c>
      <c r="E3212">
        <v>220</v>
      </c>
      <c r="F3212">
        <v>1150</v>
      </c>
      <c r="G3212">
        <v>2250</v>
      </c>
      <c r="H3212">
        <f>CONVERT(G3212,"HP","kW")</f>
        <v>1677.8247110601083</v>
      </c>
      <c r="I3212">
        <v>0.79200000000000004</v>
      </c>
      <c r="J3212">
        <v>2.4363999999999999</v>
      </c>
      <c r="K3212">
        <v>0.82140000000000002</v>
      </c>
      <c r="L3212">
        <v>0.5323</v>
      </c>
      <c r="M3212">
        <v>0.17299999999999999</v>
      </c>
      <c r="N3212">
        <f>CONVERT(O3212,"lbf","N")</f>
        <v>7181.6537978380775</v>
      </c>
      <c r="O3212">
        <v>1614.5</v>
      </c>
      <c r="P3212">
        <f t="shared" si="50"/>
        <v>0.3250046965996618</v>
      </c>
    </row>
    <row r="3213" spans="1:16" hidden="1" x14ac:dyDescent="0.25">
      <c r="A3213">
        <v>0</v>
      </c>
      <c r="B3213">
        <v>30000</v>
      </c>
      <c r="C3213">
        <f>1.225 * (1 - 0.00000687559 * B3213) ^ 4.2561</f>
        <v>0.45828836225470948</v>
      </c>
      <c r="D3213">
        <f>E3213*(SQRT($C$2/C3213))</f>
        <v>392.38271837407763</v>
      </c>
      <c r="E3213">
        <v>240</v>
      </c>
      <c r="F3213">
        <v>1150</v>
      </c>
      <c r="G3213">
        <v>2250</v>
      </c>
      <c r="H3213">
        <f>CONVERT(G3213,"HP","kW")</f>
        <v>1677.8247110601083</v>
      </c>
      <c r="I3213">
        <v>0.68100000000000005</v>
      </c>
      <c r="J3213">
        <v>2.6577999999999999</v>
      </c>
      <c r="K3213">
        <v>0.86370000000000002</v>
      </c>
      <c r="L3213">
        <v>0.5323</v>
      </c>
      <c r="M3213">
        <v>0.13639999999999999</v>
      </c>
      <c r="N3213">
        <f>CONVERT(O3213,"lbf","N")</f>
        <v>5660.362005418986</v>
      </c>
      <c r="O3213">
        <v>1272.5</v>
      </c>
      <c r="P3213">
        <f t="shared" si="50"/>
        <v>0.25624647755025359</v>
      </c>
    </row>
    <row r="3214" spans="1:16" hidden="1" x14ac:dyDescent="0.25">
      <c r="A3214">
        <v>0</v>
      </c>
      <c r="B3214">
        <v>30000</v>
      </c>
      <c r="C3214">
        <f>1.225 * (1 - 0.00000687559 * B3214) ^ 4.2561</f>
        <v>0.45828836225470948</v>
      </c>
      <c r="D3214">
        <f>E3214*(SQRT($C$2/C3214))</f>
        <v>425.08127823858405</v>
      </c>
      <c r="E3214">
        <v>260</v>
      </c>
      <c r="F3214">
        <v>1150</v>
      </c>
      <c r="G3214">
        <v>2250</v>
      </c>
      <c r="H3214">
        <f>CONVERT(G3214,"HP","kW")</f>
        <v>1677.8247110601083</v>
      </c>
      <c r="I3214">
        <v>0.48849999999999999</v>
      </c>
      <c r="J3214">
        <v>2.8793000000000002</v>
      </c>
      <c r="K3214">
        <v>0.90720000000000001</v>
      </c>
      <c r="L3214">
        <v>0.5323</v>
      </c>
      <c r="M3214">
        <v>9.0300000000000005E-2</v>
      </c>
      <c r="N3214">
        <f>CONVERT(O3214,"lbf","N")</f>
        <v>3748.0715330184971</v>
      </c>
      <c r="O3214">
        <v>842.6</v>
      </c>
      <c r="P3214">
        <f t="shared" si="50"/>
        <v>0.16964117978583507</v>
      </c>
    </row>
    <row r="3215" spans="1:16" hidden="1" x14ac:dyDescent="0.25">
      <c r="A3215">
        <v>0</v>
      </c>
      <c r="B3215">
        <v>30000</v>
      </c>
      <c r="C3215">
        <f>1.225 * (1 - 0.00000687559 * B3215) ^ 4.2561</f>
        <v>0.45828836225470948</v>
      </c>
      <c r="D3215">
        <f>E3215*(SQRT($C$2/C3215))</f>
        <v>130.79423945802586</v>
      </c>
      <c r="E3215">
        <v>80</v>
      </c>
      <c r="F3215">
        <v>1150</v>
      </c>
      <c r="G3215">
        <v>2250</v>
      </c>
      <c r="H3215">
        <f>CONVERT(G3215,"HP","kW")</f>
        <v>1677.8247110601083</v>
      </c>
      <c r="I3215">
        <v>0.44790000000000002</v>
      </c>
      <c r="J3215">
        <v>0.88590000000000002</v>
      </c>
      <c r="K3215">
        <v>0.58930000000000005</v>
      </c>
      <c r="L3215">
        <v>0.53239999999999998</v>
      </c>
      <c r="M3215">
        <v>0.26910000000000001</v>
      </c>
      <c r="N3215">
        <f>CONVERT(O3215,"lbf","N")</f>
        <v>11169.039653757591</v>
      </c>
      <c r="O3215">
        <v>2510.9</v>
      </c>
      <c r="P3215">
        <f t="shared" si="50"/>
        <v>0.50544703230653643</v>
      </c>
    </row>
    <row r="3216" spans="1:16" hidden="1" x14ac:dyDescent="0.25">
      <c r="A3216">
        <v>0</v>
      </c>
      <c r="B3216">
        <v>25000</v>
      </c>
      <c r="C3216">
        <f>1.225 * (1 - 0.00000687559 * B3216) ^ 4.2561</f>
        <v>0.54892259437885793</v>
      </c>
      <c r="D3216">
        <f>E3216*(SQRT($C$2/C3216))</f>
        <v>29.877378321820672</v>
      </c>
      <c r="E3216">
        <v>20</v>
      </c>
      <c r="F3216">
        <v>1150</v>
      </c>
      <c r="G3216">
        <v>2750</v>
      </c>
      <c r="H3216">
        <f>CONVERT(G3216,"HP","kW")</f>
        <v>2050.6746468512433</v>
      </c>
      <c r="I3216">
        <v>6.2799999999999995E-2</v>
      </c>
      <c r="J3216">
        <v>0.2024</v>
      </c>
      <c r="K3216">
        <v>0.53220000000000001</v>
      </c>
      <c r="L3216">
        <v>0.54249999999999998</v>
      </c>
      <c r="M3216">
        <v>0.16830000000000001</v>
      </c>
      <c r="N3216">
        <f>CONVERT(O3216,"lbf","N")</f>
        <v>8375.1116572124702</v>
      </c>
      <c r="O3216">
        <v>1882.8</v>
      </c>
      <c r="P3216">
        <f t="shared" si="50"/>
        <v>0.31023041474654378</v>
      </c>
    </row>
    <row r="3217" spans="1:16" hidden="1" x14ac:dyDescent="0.25">
      <c r="A3217">
        <v>0</v>
      </c>
      <c r="B3217">
        <v>25000</v>
      </c>
      <c r="C3217">
        <f>1.225 * (1 - 0.00000687559 * B3217) ^ 4.2561</f>
        <v>0.54892259437885793</v>
      </c>
      <c r="D3217">
        <f>E3217*(SQRT($C$2/C3217))</f>
        <v>268.89640489638606</v>
      </c>
      <c r="E3217">
        <v>180</v>
      </c>
      <c r="F3217">
        <v>1150</v>
      </c>
      <c r="G3217">
        <v>2750</v>
      </c>
      <c r="H3217">
        <f>CONVERT(G3217,"HP","kW")</f>
        <v>2050.6746468512433</v>
      </c>
      <c r="I3217">
        <v>0.84419999999999995</v>
      </c>
      <c r="J3217">
        <v>1.8213999999999999</v>
      </c>
      <c r="K3217">
        <v>0.69869999999999999</v>
      </c>
      <c r="L3217">
        <v>0.54279999999999995</v>
      </c>
      <c r="M3217">
        <v>0.25159999999999999</v>
      </c>
      <c r="N3217">
        <f>CONVERT(O3217,"lbf","N")</f>
        <v>12514.626692373891</v>
      </c>
      <c r="O3217">
        <v>2813.4</v>
      </c>
      <c r="P3217">
        <f t="shared" si="50"/>
        <v>0.46352247605011054</v>
      </c>
    </row>
    <row r="3218" spans="1:16" hidden="1" x14ac:dyDescent="0.25">
      <c r="A3218">
        <v>0</v>
      </c>
      <c r="B3218">
        <v>25000</v>
      </c>
      <c r="C3218">
        <f>1.225 * (1 - 0.00000687559 * B3218) ^ 4.2561</f>
        <v>0.54892259437885793</v>
      </c>
      <c r="D3218">
        <f>E3218*(SQRT($C$2/C3218))</f>
        <v>388.40591818366875</v>
      </c>
      <c r="E3218">
        <v>260</v>
      </c>
      <c r="F3218">
        <v>1150</v>
      </c>
      <c r="G3218">
        <v>2750</v>
      </c>
      <c r="H3218">
        <f>CONVERT(G3218,"HP","kW")</f>
        <v>2050.6746468512433</v>
      </c>
      <c r="I3218">
        <v>0.74060000000000004</v>
      </c>
      <c r="J3218">
        <v>2.6309</v>
      </c>
      <c r="K3218">
        <v>0.84040000000000004</v>
      </c>
      <c r="L3218">
        <v>0.54279999999999995</v>
      </c>
      <c r="M3218">
        <v>0.15279999999999999</v>
      </c>
      <c r="N3218">
        <f>CONVERT(O3218,"lbf","N")</f>
        <v>7600.6762739956166</v>
      </c>
      <c r="O3218">
        <v>1708.7</v>
      </c>
      <c r="P3218">
        <f t="shared" si="50"/>
        <v>0.2815033161385409</v>
      </c>
    </row>
    <row r="3219" spans="1:16" hidden="1" x14ac:dyDescent="0.25">
      <c r="A3219">
        <v>0</v>
      </c>
      <c r="B3219">
        <v>25000</v>
      </c>
      <c r="C3219">
        <f>1.225 * (1 - 0.00000687559 * B3219) ^ 4.2561</f>
        <v>0.54892259437885793</v>
      </c>
      <c r="D3219">
        <f>E3219*(SQRT($C$2/C3219))</f>
        <v>298.77378321820675</v>
      </c>
      <c r="E3219">
        <v>200</v>
      </c>
      <c r="F3219">
        <v>1150</v>
      </c>
      <c r="G3219">
        <v>2750</v>
      </c>
      <c r="H3219">
        <f>CONVERT(G3219,"HP","kW")</f>
        <v>2050.6746468512433</v>
      </c>
      <c r="I3219">
        <v>0.85699999999999998</v>
      </c>
      <c r="J3219">
        <v>2.0238</v>
      </c>
      <c r="K3219">
        <v>0.73180000000000001</v>
      </c>
      <c r="L3219">
        <v>0.54290000000000005</v>
      </c>
      <c r="M3219">
        <v>0.22989999999999999</v>
      </c>
      <c r="N3219">
        <f>CONVERT(O3219,"lbf","N")</f>
        <v>11435.043306350166</v>
      </c>
      <c r="O3219">
        <v>2570.6999999999998</v>
      </c>
      <c r="P3219">
        <f t="shared" si="50"/>
        <v>0.4234665684288082</v>
      </c>
    </row>
    <row r="3220" spans="1:16" hidden="1" x14ac:dyDescent="0.25">
      <c r="A3220">
        <v>0</v>
      </c>
      <c r="B3220">
        <v>25000</v>
      </c>
      <c r="C3220">
        <f>1.225 * (1 - 0.00000687559 * B3220) ^ 4.2561</f>
        <v>0.54892259437885793</v>
      </c>
      <c r="D3220">
        <f>E3220*(SQRT($C$2/C3220))</f>
        <v>89.632134965462015</v>
      </c>
      <c r="E3220">
        <v>60</v>
      </c>
      <c r="F3220">
        <v>1150</v>
      </c>
      <c r="G3220">
        <v>2750</v>
      </c>
      <c r="H3220">
        <f>CONVERT(G3220,"HP","kW")</f>
        <v>2050.6746468512433</v>
      </c>
      <c r="I3220">
        <v>0.2205</v>
      </c>
      <c r="J3220">
        <v>0.60709999999999997</v>
      </c>
      <c r="K3220">
        <v>0.55500000000000005</v>
      </c>
      <c r="L3220">
        <v>0.54300000000000004</v>
      </c>
      <c r="M3220">
        <v>0.19719999999999999</v>
      </c>
      <c r="N3220">
        <f>CONVERT(O3220,"lbf","N")</f>
        <v>9807.4390173263509</v>
      </c>
      <c r="O3220">
        <v>2204.8000000000002</v>
      </c>
      <c r="P3220">
        <f t="shared" si="50"/>
        <v>0.36316758747697969</v>
      </c>
    </row>
    <row r="3221" spans="1:16" hidden="1" x14ac:dyDescent="0.25">
      <c r="A3221">
        <v>0</v>
      </c>
      <c r="B3221">
        <v>25000</v>
      </c>
      <c r="C3221">
        <f>1.225 * (1 - 0.00000687559 * B3221) ^ 4.2561</f>
        <v>0.54892259437885793</v>
      </c>
      <c r="D3221">
        <f>E3221*(SQRT($C$2/C3221))</f>
        <v>149.38689160910337</v>
      </c>
      <c r="E3221">
        <v>100</v>
      </c>
      <c r="F3221">
        <v>1150</v>
      </c>
      <c r="G3221">
        <v>2750</v>
      </c>
      <c r="H3221">
        <f>CONVERT(G3221,"HP","kW")</f>
        <v>2050.6746468512433</v>
      </c>
      <c r="I3221">
        <v>0.54200000000000004</v>
      </c>
      <c r="J3221">
        <v>1.0119</v>
      </c>
      <c r="K3221">
        <v>0.58940000000000003</v>
      </c>
      <c r="L3221">
        <v>0.54300000000000004</v>
      </c>
      <c r="M3221">
        <v>0.2908</v>
      </c>
      <c r="N3221">
        <f>CONVERT(O3221,"lbf","N")</f>
        <v>14463.392582019515</v>
      </c>
      <c r="O3221">
        <v>3251.5</v>
      </c>
      <c r="P3221">
        <f t="shared" si="50"/>
        <v>0.53554327808471447</v>
      </c>
    </row>
    <row r="3222" spans="1:16" hidden="1" x14ac:dyDescent="0.25">
      <c r="A3222">
        <v>0</v>
      </c>
      <c r="B3222">
        <v>25000</v>
      </c>
      <c r="C3222">
        <f>1.225 * (1 - 0.00000687559 * B3222) ^ 4.2561</f>
        <v>0.54892259437885793</v>
      </c>
      <c r="D3222">
        <f>E3222*(SQRT($C$2/C3222))</f>
        <v>209.14164825274472</v>
      </c>
      <c r="E3222">
        <v>140</v>
      </c>
      <c r="F3222">
        <v>1150</v>
      </c>
      <c r="G3222">
        <v>2750</v>
      </c>
      <c r="H3222">
        <f>CONVERT(G3222,"HP","kW")</f>
        <v>2050.6746468512433</v>
      </c>
      <c r="I3222">
        <v>0.78049999999999997</v>
      </c>
      <c r="J3222">
        <v>1.4166000000000001</v>
      </c>
      <c r="K3222">
        <v>0.63870000000000005</v>
      </c>
      <c r="L3222">
        <v>0.54300000000000004</v>
      </c>
      <c r="M3222">
        <v>0.29920000000000002</v>
      </c>
      <c r="N3222">
        <f>CONVERT(O3222,"lbf","N")</f>
        <v>14876.632370077217</v>
      </c>
      <c r="O3222">
        <v>3344.4</v>
      </c>
      <c r="P3222">
        <f t="shared" si="50"/>
        <v>0.55101289134438303</v>
      </c>
    </row>
    <row r="3223" spans="1:16" hidden="1" x14ac:dyDescent="0.25">
      <c r="A3223">
        <v>0</v>
      </c>
      <c r="B3223">
        <v>25000</v>
      </c>
      <c r="C3223">
        <f>1.225 * (1 - 0.00000687559 * B3223) ^ 4.2561</f>
        <v>0.54892259437885793</v>
      </c>
      <c r="D3223">
        <f>E3223*(SQRT($C$2/C3223))</f>
        <v>59.754756643641343</v>
      </c>
      <c r="E3223">
        <v>40</v>
      </c>
      <c r="F3223">
        <v>1150</v>
      </c>
      <c r="G3223">
        <v>2750</v>
      </c>
      <c r="H3223">
        <f>CONVERT(G3223,"HP","kW")</f>
        <v>2050.6746468512433</v>
      </c>
      <c r="I3223">
        <v>0.13159999999999999</v>
      </c>
      <c r="J3223">
        <v>0.40479999999999999</v>
      </c>
      <c r="K3223">
        <v>0.54310000000000003</v>
      </c>
      <c r="L3223">
        <v>0.54310000000000003</v>
      </c>
      <c r="M3223">
        <v>0.17649999999999999</v>
      </c>
      <c r="N3223">
        <f>CONVERT(O3223,"lbf","N")</f>
        <v>8777.2308912320186</v>
      </c>
      <c r="O3223">
        <v>1973.2</v>
      </c>
      <c r="P3223">
        <f t="shared" si="50"/>
        <v>0.32498619038851034</v>
      </c>
    </row>
    <row r="3224" spans="1:16" hidden="1" x14ac:dyDescent="0.25">
      <c r="A3224">
        <v>0</v>
      </c>
      <c r="B3224">
        <v>25000</v>
      </c>
      <c r="C3224">
        <f>1.225 * (1 - 0.00000687559 * B3224) ^ 4.2561</f>
        <v>0.54892259437885793</v>
      </c>
      <c r="D3224">
        <f>E3224*(SQRT($C$2/C3224))</f>
        <v>119.50951328728269</v>
      </c>
      <c r="E3224">
        <v>80</v>
      </c>
      <c r="F3224">
        <v>1150</v>
      </c>
      <c r="G3224">
        <v>2750</v>
      </c>
      <c r="H3224">
        <f>CONVERT(G3224,"HP","kW")</f>
        <v>2050.6746468512433</v>
      </c>
      <c r="I3224">
        <v>0.36959999999999998</v>
      </c>
      <c r="J3224">
        <v>0.8095</v>
      </c>
      <c r="K3224">
        <v>0.57020000000000004</v>
      </c>
      <c r="L3224">
        <v>0.54310000000000003</v>
      </c>
      <c r="M3224">
        <v>0.248</v>
      </c>
      <c r="N3224">
        <f>CONVERT(O3224,"lbf","N")</f>
        <v>12328.691028856001</v>
      </c>
      <c r="O3224">
        <v>2771.6</v>
      </c>
      <c r="P3224">
        <f t="shared" si="50"/>
        <v>0.45663781992266617</v>
      </c>
    </row>
    <row r="3225" spans="1:16" hidden="1" x14ac:dyDescent="0.25">
      <c r="A3225">
        <v>0</v>
      </c>
      <c r="B3225">
        <v>25000</v>
      </c>
      <c r="C3225">
        <f>1.225 * (1 - 0.00000687559 * B3225) ^ 4.2561</f>
        <v>0.54892259437885793</v>
      </c>
      <c r="D3225">
        <f>E3225*(SQRT($C$2/C3225))</f>
        <v>179.26426993092403</v>
      </c>
      <c r="E3225">
        <v>120</v>
      </c>
      <c r="F3225">
        <v>1150</v>
      </c>
      <c r="G3225">
        <v>2750</v>
      </c>
      <c r="H3225">
        <f>CONVERT(G3225,"HP","kW")</f>
        <v>2050.6746468512433</v>
      </c>
      <c r="I3225">
        <v>0.71020000000000005</v>
      </c>
      <c r="J3225">
        <v>1.2142999999999999</v>
      </c>
      <c r="K3225">
        <v>0.61229999999999996</v>
      </c>
      <c r="L3225">
        <v>0.54310000000000003</v>
      </c>
      <c r="M3225">
        <v>0.31769999999999998</v>
      </c>
      <c r="N3225">
        <f>CONVERT(O3225,"lbf","N")</f>
        <v>15793.410844982405</v>
      </c>
      <c r="O3225">
        <v>3550.5</v>
      </c>
      <c r="P3225">
        <f t="shared" si="50"/>
        <v>0.58497514269931872</v>
      </c>
    </row>
    <row r="3226" spans="1:16" hidden="1" x14ac:dyDescent="0.25">
      <c r="A3226">
        <v>0</v>
      </c>
      <c r="B3226">
        <v>25000</v>
      </c>
      <c r="C3226">
        <f>1.225 * (1 - 0.00000687559 * B3226) ^ 4.2561</f>
        <v>0.54892259437885793</v>
      </c>
      <c r="D3226">
        <f>E3226*(SQRT($C$2/C3226))</f>
        <v>239.01902657456537</v>
      </c>
      <c r="E3226">
        <v>160</v>
      </c>
      <c r="F3226">
        <v>1150</v>
      </c>
      <c r="G3226">
        <v>2750</v>
      </c>
      <c r="H3226">
        <f>CONVERT(G3226,"HP","kW")</f>
        <v>2050.6746468512433</v>
      </c>
      <c r="I3226">
        <v>0.82079999999999997</v>
      </c>
      <c r="J3226">
        <v>1.619</v>
      </c>
      <c r="K3226">
        <v>0.66759999999999997</v>
      </c>
      <c r="L3226">
        <v>0.54310000000000003</v>
      </c>
      <c r="M3226">
        <v>0.27539999999999998</v>
      </c>
      <c r="N3226">
        <f>CONVERT(O3226,"lbf","N")</f>
        <v>13689.402020964189</v>
      </c>
      <c r="O3226">
        <v>3077.5</v>
      </c>
      <c r="P3226">
        <f t="shared" si="50"/>
        <v>0.50708893389799292</v>
      </c>
    </row>
    <row r="3227" spans="1:16" hidden="1" x14ac:dyDescent="0.25">
      <c r="A3227">
        <v>0</v>
      </c>
      <c r="B3227">
        <v>25000</v>
      </c>
      <c r="C3227">
        <f>1.225 * (1 - 0.00000687559 * B3227) ^ 4.2561</f>
        <v>0.54892259437885793</v>
      </c>
      <c r="D3227">
        <f>E3227*(SQRT($C$2/C3227))</f>
        <v>328.65116154002743</v>
      </c>
      <c r="E3227">
        <v>220</v>
      </c>
      <c r="F3227">
        <v>1150</v>
      </c>
      <c r="G3227">
        <v>2750</v>
      </c>
      <c r="H3227">
        <f>CONVERT(G3227,"HP","kW")</f>
        <v>2050.6746468512433</v>
      </c>
      <c r="I3227">
        <v>0.84789999999999999</v>
      </c>
      <c r="J3227">
        <v>2.2262</v>
      </c>
      <c r="K3227">
        <v>0.76649999999999996</v>
      </c>
      <c r="L3227">
        <v>0.54310000000000003</v>
      </c>
      <c r="M3227">
        <v>0.20680000000000001</v>
      </c>
      <c r="N3227">
        <f>CONVERT(O3227,"lbf","N")</f>
        <v>10284.288374482276</v>
      </c>
      <c r="O3227">
        <v>2312</v>
      </c>
      <c r="P3227">
        <f t="shared" si="50"/>
        <v>0.38077702080648129</v>
      </c>
    </row>
    <row r="3228" spans="1:16" hidden="1" x14ac:dyDescent="0.25">
      <c r="A3228">
        <v>0</v>
      </c>
      <c r="B3228">
        <v>25000</v>
      </c>
      <c r="C3228">
        <f>1.225 * (1 - 0.00000687559 * B3228) ^ 4.2561</f>
        <v>0.54892259437885793</v>
      </c>
      <c r="D3228">
        <f>E3228*(SQRT($C$2/C3228))</f>
        <v>358.52853986184806</v>
      </c>
      <c r="E3228">
        <v>240</v>
      </c>
      <c r="F3228">
        <v>1150</v>
      </c>
      <c r="G3228">
        <v>2750</v>
      </c>
      <c r="H3228">
        <f>CONVERT(G3228,"HP","kW")</f>
        <v>2050.6746468512433</v>
      </c>
      <c r="I3228">
        <v>0.81269999999999998</v>
      </c>
      <c r="J3228">
        <v>2.4285000000000001</v>
      </c>
      <c r="K3228">
        <v>0.80279999999999996</v>
      </c>
      <c r="L3228">
        <v>0.54310000000000003</v>
      </c>
      <c r="M3228">
        <v>0.18179999999999999</v>
      </c>
      <c r="N3228">
        <f>CONVERT(O3228,"lbf","N")</f>
        <v>9036.562211401706</v>
      </c>
      <c r="O3228">
        <v>2031.5</v>
      </c>
      <c r="P3228">
        <f t="shared" si="50"/>
        <v>0.33474498250782542</v>
      </c>
    </row>
    <row r="3229" spans="1:16" hidden="1" x14ac:dyDescent="0.25">
      <c r="A3229">
        <v>0</v>
      </c>
      <c r="B3229">
        <v>25000</v>
      </c>
      <c r="C3229">
        <f>1.225 * (1 - 0.00000687559 * B3229) ^ 4.2561</f>
        <v>0.54892259437885793</v>
      </c>
      <c r="D3229">
        <f>E3229*(SQRT($C$2/C3229))</f>
        <v>328.65116154002743</v>
      </c>
      <c r="E3229">
        <v>220</v>
      </c>
      <c r="F3229">
        <v>987</v>
      </c>
      <c r="G3229">
        <v>1750</v>
      </c>
      <c r="H3229">
        <f>CONVERT(G3229,"HP","kW")</f>
        <v>1304.974775268973</v>
      </c>
      <c r="I3229">
        <v>0.86670000000000003</v>
      </c>
      <c r="J3229">
        <v>2.5937999999999999</v>
      </c>
      <c r="K3229">
        <v>0.71530000000000005</v>
      </c>
      <c r="L3229">
        <v>0.54610000000000003</v>
      </c>
      <c r="M3229">
        <v>0.1825</v>
      </c>
      <c r="N3229">
        <f>CONVERT(O3229,"lbf","N")</f>
        <v>6689.2356650287402</v>
      </c>
      <c r="O3229">
        <v>1503.8</v>
      </c>
      <c r="P3229">
        <f t="shared" si="50"/>
        <v>0.33418787767808089</v>
      </c>
    </row>
    <row r="3230" spans="1:16" hidden="1" x14ac:dyDescent="0.25">
      <c r="A3230">
        <v>0</v>
      </c>
      <c r="B3230">
        <v>25000</v>
      </c>
      <c r="C3230">
        <f>1.225 * (1 - 0.00000687559 * B3230) ^ 4.2561</f>
        <v>0.54892259437885793</v>
      </c>
      <c r="D3230">
        <f>E3230*(SQRT($C$2/C3230))</f>
        <v>89.632134965462015</v>
      </c>
      <c r="E3230">
        <v>60</v>
      </c>
      <c r="F3230">
        <v>987</v>
      </c>
      <c r="G3230">
        <v>1750</v>
      </c>
      <c r="H3230">
        <f>CONVERT(G3230,"HP","kW")</f>
        <v>1304.974775268973</v>
      </c>
      <c r="I3230">
        <v>0.23089999999999999</v>
      </c>
      <c r="J3230">
        <v>0.70740000000000003</v>
      </c>
      <c r="K3230">
        <v>0.48330000000000001</v>
      </c>
      <c r="L3230">
        <v>0.54630000000000001</v>
      </c>
      <c r="M3230">
        <v>0.17829999999999999</v>
      </c>
      <c r="N3230">
        <f>CONVERT(O3230,"lbf","N")</f>
        <v>6534.4375528176752</v>
      </c>
      <c r="O3230">
        <v>1469</v>
      </c>
      <c r="P3230">
        <f t="shared" si="50"/>
        <v>0.32637744828848614</v>
      </c>
    </row>
    <row r="3231" spans="1:16" hidden="1" x14ac:dyDescent="0.25">
      <c r="A3231">
        <v>0</v>
      </c>
      <c r="B3231">
        <v>25000</v>
      </c>
      <c r="C3231">
        <f>1.225 * (1 - 0.00000687559 * B3231) ^ 4.2561</f>
        <v>0.54892259437885793</v>
      </c>
      <c r="D3231">
        <f>E3231*(SQRT($C$2/C3231))</f>
        <v>209.14164825274472</v>
      </c>
      <c r="E3231">
        <v>140</v>
      </c>
      <c r="F3231">
        <v>987</v>
      </c>
      <c r="G3231">
        <v>1750</v>
      </c>
      <c r="H3231">
        <f>CONVERT(G3231,"HP","kW")</f>
        <v>1304.974775268973</v>
      </c>
      <c r="I3231">
        <v>0.82869999999999999</v>
      </c>
      <c r="J3231">
        <v>1.6506000000000001</v>
      </c>
      <c r="K3231">
        <v>0.57709999999999995</v>
      </c>
      <c r="L3231">
        <v>0.54630000000000001</v>
      </c>
      <c r="M3231">
        <v>0.27429999999999999</v>
      </c>
      <c r="N3231">
        <f>CONVERT(O3231,"lbf","N")</f>
        <v>10052.091206165678</v>
      </c>
      <c r="O3231">
        <v>2259.8000000000002</v>
      </c>
      <c r="P3231">
        <f t="shared" si="50"/>
        <v>0.50210507047409847</v>
      </c>
    </row>
    <row r="3232" spans="1:16" hidden="1" x14ac:dyDescent="0.25">
      <c r="A3232">
        <v>0</v>
      </c>
      <c r="B3232">
        <v>25000</v>
      </c>
      <c r="C3232">
        <f>1.225 * (1 - 0.00000687559 * B3232) ^ 4.2561</f>
        <v>0.54892259437885793</v>
      </c>
      <c r="D3232">
        <f>E3232*(SQRT($C$2/C3232))</f>
        <v>149.38689160910337</v>
      </c>
      <c r="E3232">
        <v>100</v>
      </c>
      <c r="F3232">
        <v>987</v>
      </c>
      <c r="G3232">
        <v>1750</v>
      </c>
      <c r="H3232">
        <f>CONVERT(G3232,"HP","kW")</f>
        <v>1304.974775268973</v>
      </c>
      <c r="I3232">
        <v>0.70489999999999997</v>
      </c>
      <c r="J3232">
        <v>1.179</v>
      </c>
      <c r="K3232">
        <v>0.52180000000000004</v>
      </c>
      <c r="L3232">
        <v>0.54659999999999997</v>
      </c>
      <c r="M3232">
        <v>0.32679999999999998</v>
      </c>
      <c r="N3232">
        <f>CONVERT(O3232,"lbf","N")</f>
        <v>11969.71954450448</v>
      </c>
      <c r="O3232">
        <v>2690.9</v>
      </c>
      <c r="P3232">
        <f t="shared" si="50"/>
        <v>0.59787778997438712</v>
      </c>
    </row>
    <row r="3233" spans="1:16" hidden="1" x14ac:dyDescent="0.25">
      <c r="A3233">
        <v>0</v>
      </c>
      <c r="B3233">
        <v>25000</v>
      </c>
      <c r="C3233">
        <f>1.225 * (1 - 0.00000687559 * B3233) ^ 4.2561</f>
        <v>0.54892259437885793</v>
      </c>
      <c r="D3233">
        <f>E3233*(SQRT($C$2/C3233))</f>
        <v>179.26426993092403</v>
      </c>
      <c r="E3233">
        <v>120</v>
      </c>
      <c r="F3233">
        <v>987</v>
      </c>
      <c r="G3233">
        <v>1750</v>
      </c>
      <c r="H3233">
        <f>CONVERT(G3233,"HP","kW")</f>
        <v>1304.974775268973</v>
      </c>
      <c r="I3233">
        <v>0.78869999999999996</v>
      </c>
      <c r="J3233">
        <v>1.4148000000000001</v>
      </c>
      <c r="K3233">
        <v>0.54800000000000004</v>
      </c>
      <c r="L3233">
        <v>0.54659999999999997</v>
      </c>
      <c r="M3233">
        <v>0.30470000000000003</v>
      </c>
      <c r="N3233">
        <f>CONVERT(O3233,"lbf","N")</f>
        <v>11161.477677011648</v>
      </c>
      <c r="O3233">
        <v>2509.1999999999998</v>
      </c>
      <c r="P3233">
        <f t="shared" si="50"/>
        <v>0.55744603000365911</v>
      </c>
    </row>
    <row r="3234" spans="1:16" hidden="1" x14ac:dyDescent="0.25">
      <c r="A3234">
        <v>0</v>
      </c>
      <c r="B3234">
        <v>25000</v>
      </c>
      <c r="C3234">
        <f>1.225 * (1 - 0.00000687559 * B3234) ^ 4.2561</f>
        <v>0.54892259437885793</v>
      </c>
      <c r="D3234">
        <f>E3234*(SQRT($C$2/C3234))</f>
        <v>0</v>
      </c>
      <c r="E3234">
        <v>0</v>
      </c>
      <c r="F3234">
        <v>987</v>
      </c>
      <c r="G3234">
        <v>1750</v>
      </c>
      <c r="H3234">
        <f>CONVERT(G3234,"HP","kW")</f>
        <v>1304.974775268973</v>
      </c>
      <c r="I3234">
        <v>0</v>
      </c>
      <c r="J3234">
        <v>0</v>
      </c>
      <c r="K3234">
        <v>0.45200000000000001</v>
      </c>
      <c r="L3234">
        <v>0.54669999999999996</v>
      </c>
      <c r="M3234">
        <v>-0.219</v>
      </c>
      <c r="N3234">
        <f>CONVERT(O3234,"lbf","N")</f>
        <v>-8019.25392799163</v>
      </c>
      <c r="O3234">
        <v>-1802.8</v>
      </c>
      <c r="P3234">
        <f t="shared" si="50"/>
        <v>-0.40058533016279496</v>
      </c>
    </row>
    <row r="3235" spans="1:16" hidden="1" x14ac:dyDescent="0.25">
      <c r="A3235">
        <v>0</v>
      </c>
      <c r="B3235">
        <v>25000</v>
      </c>
      <c r="C3235">
        <f>1.225 * (1 - 0.00000687559 * B3235) ^ 4.2561</f>
        <v>0.54892259437885793</v>
      </c>
      <c r="D3235">
        <f>E3235*(SQRT($C$2/C3235))</f>
        <v>239.01902657456537</v>
      </c>
      <c r="E3235">
        <v>160</v>
      </c>
      <c r="F3235">
        <v>987</v>
      </c>
      <c r="G3235">
        <v>1750</v>
      </c>
      <c r="H3235">
        <f>CONVERT(G3235,"HP","kW")</f>
        <v>1304.974775268973</v>
      </c>
      <c r="I3235">
        <v>0.85189999999999999</v>
      </c>
      <c r="J3235">
        <v>1.8864000000000001</v>
      </c>
      <c r="K3235">
        <v>0.60870000000000002</v>
      </c>
      <c r="L3235">
        <v>0.54669999999999996</v>
      </c>
      <c r="M3235">
        <v>0.24690000000000001</v>
      </c>
      <c r="N3235">
        <f>CONVERT(O3235,"lbf","N")</f>
        <v>9041.010433016967</v>
      </c>
      <c r="O3235">
        <v>2032.5</v>
      </c>
      <c r="P3235">
        <f t="shared" si="50"/>
        <v>0.45161880373147983</v>
      </c>
    </row>
    <row r="3236" spans="1:16" hidden="1" x14ac:dyDescent="0.25">
      <c r="A3236">
        <v>0</v>
      </c>
      <c r="B3236">
        <v>25000</v>
      </c>
      <c r="C3236">
        <f>1.225 * (1 - 0.00000687559 * B3236) ^ 4.2561</f>
        <v>0.54892259437885793</v>
      </c>
      <c r="D3236">
        <f>E3236*(SQRT($C$2/C3236))</f>
        <v>268.89640489638606</v>
      </c>
      <c r="E3236">
        <v>180</v>
      </c>
      <c r="F3236">
        <v>987</v>
      </c>
      <c r="G3236">
        <v>1750</v>
      </c>
      <c r="H3236">
        <f>CONVERT(G3236,"HP","kW")</f>
        <v>1304.974775268973</v>
      </c>
      <c r="I3236">
        <v>0.86650000000000005</v>
      </c>
      <c r="J3236">
        <v>2.1221999999999999</v>
      </c>
      <c r="K3236">
        <v>0.64239999999999997</v>
      </c>
      <c r="L3236">
        <v>0.54669999999999996</v>
      </c>
      <c r="M3236">
        <v>0.22320000000000001</v>
      </c>
      <c r="N3236">
        <f>CONVERT(O3236,"lbf","N")</f>
        <v>8174.4968623642217</v>
      </c>
      <c r="O3236">
        <v>1837.7</v>
      </c>
      <c r="P3236">
        <f t="shared" si="50"/>
        <v>0.40826778854947876</v>
      </c>
    </row>
    <row r="3237" spans="1:16" hidden="1" x14ac:dyDescent="0.25">
      <c r="A3237">
        <v>0</v>
      </c>
      <c r="B3237">
        <v>25000</v>
      </c>
      <c r="C3237">
        <f>1.225 * (1 - 0.00000687559 * B3237) ^ 4.2561</f>
        <v>0.54892259437885793</v>
      </c>
      <c r="D3237">
        <f>E3237*(SQRT($C$2/C3237))</f>
        <v>298.77378321820675</v>
      </c>
      <c r="E3237">
        <v>200</v>
      </c>
      <c r="F3237">
        <v>987</v>
      </c>
      <c r="G3237">
        <v>1750</v>
      </c>
      <c r="H3237">
        <f>CONVERT(G3237,"HP","kW")</f>
        <v>1304.974775268973</v>
      </c>
      <c r="I3237">
        <v>0.87270000000000003</v>
      </c>
      <c r="J3237">
        <v>2.3580000000000001</v>
      </c>
      <c r="K3237">
        <v>0.67810000000000004</v>
      </c>
      <c r="L3237">
        <v>0.54669999999999996</v>
      </c>
      <c r="M3237">
        <v>0.2024</v>
      </c>
      <c r="N3237">
        <f>CONVERT(O3237,"lbf","N")</f>
        <v>7409.8475667009416</v>
      </c>
      <c r="O3237">
        <v>1665.8</v>
      </c>
      <c r="P3237">
        <f t="shared" si="50"/>
        <v>0.37022132796780688</v>
      </c>
    </row>
    <row r="3238" spans="1:16" hidden="1" x14ac:dyDescent="0.25">
      <c r="A3238">
        <v>0</v>
      </c>
      <c r="B3238">
        <v>25000</v>
      </c>
      <c r="C3238">
        <f>1.225 * (1 - 0.00000687559 * B3238) ^ 4.2561</f>
        <v>0.54892259437885793</v>
      </c>
      <c r="D3238">
        <f>E3238*(SQRT($C$2/C3238))</f>
        <v>388.40591818366875</v>
      </c>
      <c r="E3238">
        <v>260</v>
      </c>
      <c r="F3238">
        <v>987</v>
      </c>
      <c r="G3238">
        <v>1750</v>
      </c>
      <c r="H3238">
        <f>CONVERT(G3238,"HP","kW")</f>
        <v>1304.974775268973</v>
      </c>
      <c r="I3238">
        <v>0.75249999999999995</v>
      </c>
      <c r="J3238">
        <v>3.0653999999999999</v>
      </c>
      <c r="K3238">
        <v>0.79390000000000005</v>
      </c>
      <c r="L3238">
        <v>0.54669999999999996</v>
      </c>
      <c r="M3238">
        <v>0.13420000000000001</v>
      </c>
      <c r="N3238">
        <f>CONVERT(O3238,"lbf","N")</f>
        <v>4914.3952405398004</v>
      </c>
      <c r="O3238">
        <v>1104.8</v>
      </c>
      <c r="P3238">
        <f t="shared" si="50"/>
        <v>0.24547283702213285</v>
      </c>
    </row>
    <row r="3239" spans="1:16" hidden="1" x14ac:dyDescent="0.25">
      <c r="A3239">
        <v>0</v>
      </c>
      <c r="B3239">
        <v>25000</v>
      </c>
      <c r="C3239">
        <f>1.225 * (1 - 0.00000687559 * B3239) ^ 4.2561</f>
        <v>0.54892259437885793</v>
      </c>
      <c r="D3239">
        <f>E3239*(SQRT($C$2/C3239))</f>
        <v>119.50951328728269</v>
      </c>
      <c r="E3239">
        <v>80</v>
      </c>
      <c r="F3239">
        <v>987</v>
      </c>
      <c r="G3239">
        <v>1750</v>
      </c>
      <c r="H3239">
        <f>CONVERT(G3239,"HP","kW")</f>
        <v>1304.974775268973</v>
      </c>
      <c r="I3239">
        <v>0.48530000000000001</v>
      </c>
      <c r="J3239">
        <v>0.94320000000000004</v>
      </c>
      <c r="K3239">
        <v>0.5</v>
      </c>
      <c r="L3239">
        <v>0.54710000000000003</v>
      </c>
      <c r="M3239">
        <v>0.28149999999999997</v>
      </c>
      <c r="N3239">
        <f>CONVERT(O3239,"lbf","N")</f>
        <v>10301.636438781794</v>
      </c>
      <c r="O3239">
        <v>2315.9</v>
      </c>
      <c r="P3239">
        <f t="shared" si="50"/>
        <v>0.51453116432096502</v>
      </c>
    </row>
    <row r="3240" spans="1:16" hidden="1" x14ac:dyDescent="0.25">
      <c r="A3240">
        <v>0</v>
      </c>
      <c r="B3240">
        <v>25000</v>
      </c>
      <c r="C3240">
        <f>1.225 * (1 - 0.00000687559 * B3240) ^ 4.2561</f>
        <v>0.54892259437885793</v>
      </c>
      <c r="D3240">
        <f>E3240*(SQRT($C$2/C3240))</f>
        <v>358.52853986184806</v>
      </c>
      <c r="E3240">
        <v>240</v>
      </c>
      <c r="F3240">
        <v>987</v>
      </c>
      <c r="G3240">
        <v>1750</v>
      </c>
      <c r="H3240">
        <f>CONVERT(G3240,"HP","kW")</f>
        <v>1304.974775268973</v>
      </c>
      <c r="I3240">
        <v>0.83360000000000001</v>
      </c>
      <c r="J3240">
        <v>2.8296000000000001</v>
      </c>
      <c r="K3240">
        <v>0.754</v>
      </c>
      <c r="L3240">
        <v>0.54710000000000003</v>
      </c>
      <c r="M3240">
        <v>0.16120000000000001</v>
      </c>
      <c r="N3240">
        <f>CONVERT(O3240,"lbf","N")</f>
        <v>5897.8970396738969</v>
      </c>
      <c r="O3240">
        <v>1325.9</v>
      </c>
      <c r="P3240">
        <f t="shared" si="50"/>
        <v>0.2946444891244745</v>
      </c>
    </row>
    <row r="3241" spans="1:16" hidden="1" x14ac:dyDescent="0.25">
      <c r="A3241">
        <v>0</v>
      </c>
      <c r="B3241">
        <v>30000</v>
      </c>
      <c r="C3241">
        <f>1.225 * (1 - 0.00000687559 * B3241) ^ 4.2561</f>
        <v>0.45828836225470948</v>
      </c>
      <c r="D3241">
        <f>E3241*(SQRT($C$2/C3241))</f>
        <v>32.698559864506464</v>
      </c>
      <c r="E3241">
        <v>20</v>
      </c>
      <c r="F3241">
        <v>1215</v>
      </c>
      <c r="G3241">
        <v>2750</v>
      </c>
      <c r="H3241">
        <f>CONVERT(G3241,"HP","kW")</f>
        <v>2050.6746468512433</v>
      </c>
      <c r="I3241">
        <v>6.8000000000000005E-2</v>
      </c>
      <c r="J3241">
        <v>0.20960000000000001</v>
      </c>
      <c r="K3241">
        <v>0.57630000000000003</v>
      </c>
      <c r="L3241">
        <v>0.55130000000000001</v>
      </c>
      <c r="M3241">
        <v>0.17879999999999999</v>
      </c>
      <c r="N3241">
        <f>CONVERT(O3241,"lbf","N")</f>
        <v>8286.592047068787</v>
      </c>
      <c r="O3241">
        <v>1862.9</v>
      </c>
      <c r="P3241">
        <f t="shared" si="50"/>
        <v>0.32432432432432429</v>
      </c>
    </row>
    <row r="3242" spans="1:16" hidden="1" x14ac:dyDescent="0.25">
      <c r="A3242">
        <v>0</v>
      </c>
      <c r="B3242">
        <v>30000</v>
      </c>
      <c r="C3242">
        <f>1.225 * (1 - 0.00000687559 * B3242) ^ 4.2561</f>
        <v>0.45828836225470948</v>
      </c>
      <c r="D3242">
        <f>E3242*(SQRT($C$2/C3242))</f>
        <v>0</v>
      </c>
      <c r="E3242">
        <v>0</v>
      </c>
      <c r="F3242">
        <v>1215</v>
      </c>
      <c r="G3242">
        <v>2750</v>
      </c>
      <c r="H3242">
        <f>CONVERT(G3242,"HP","kW")</f>
        <v>2050.6746468512433</v>
      </c>
      <c r="I3242">
        <v>0</v>
      </c>
      <c r="J3242">
        <v>0</v>
      </c>
      <c r="K3242">
        <v>0.56920000000000004</v>
      </c>
      <c r="L3242">
        <v>0.55149999999999999</v>
      </c>
      <c r="M3242">
        <v>0.17530000000000001</v>
      </c>
      <c r="N3242">
        <f>CONVERT(O3242,"lbf","N")</f>
        <v>8125.5664245963562</v>
      </c>
      <c r="O3242">
        <v>1826.7</v>
      </c>
      <c r="P3242">
        <f t="shared" si="50"/>
        <v>0.31786038077969175</v>
      </c>
    </row>
    <row r="3243" spans="1:16" hidden="1" x14ac:dyDescent="0.25">
      <c r="A3243">
        <v>0</v>
      </c>
      <c r="B3243">
        <v>30000</v>
      </c>
      <c r="C3243">
        <f>1.225 * (1 - 0.00000687559 * B3243) ^ 4.2561</f>
        <v>0.45828836225470948</v>
      </c>
      <c r="D3243">
        <f>E3243*(SQRT($C$2/C3243))</f>
        <v>163.49279932253233</v>
      </c>
      <c r="E3243">
        <v>100</v>
      </c>
      <c r="F3243">
        <v>1215</v>
      </c>
      <c r="G3243">
        <v>2750</v>
      </c>
      <c r="H3243">
        <f>CONVERT(G3243,"HP","kW")</f>
        <v>2050.6746468512433</v>
      </c>
      <c r="I3243">
        <v>0.54359999999999997</v>
      </c>
      <c r="J3243">
        <v>1.0482</v>
      </c>
      <c r="K3243">
        <v>0.6401</v>
      </c>
      <c r="L3243">
        <v>0.55149999999999999</v>
      </c>
      <c r="M3243">
        <v>0.28599999999999998</v>
      </c>
      <c r="N3243">
        <f>CONVERT(O3243,"lbf","N")</f>
        <v>13255.255591314764</v>
      </c>
      <c r="O3243">
        <v>2979.9</v>
      </c>
      <c r="P3243">
        <f t="shared" si="50"/>
        <v>0.51858567543064371</v>
      </c>
    </row>
    <row r="3244" spans="1:16" hidden="1" x14ac:dyDescent="0.25">
      <c r="A3244">
        <v>0</v>
      </c>
      <c r="B3244">
        <v>30000</v>
      </c>
      <c r="C3244">
        <f>1.225 * (1 - 0.00000687559 * B3244) ^ 4.2561</f>
        <v>0.45828836225470948</v>
      </c>
      <c r="D3244">
        <f>E3244*(SQRT($C$2/C3244))</f>
        <v>98.095679593519407</v>
      </c>
      <c r="E3244">
        <v>60</v>
      </c>
      <c r="F3244">
        <v>1215</v>
      </c>
      <c r="G3244">
        <v>2750</v>
      </c>
      <c r="H3244">
        <f>CONVERT(G3244,"HP","kW")</f>
        <v>2050.6746468512433</v>
      </c>
      <c r="I3244">
        <v>0.2387</v>
      </c>
      <c r="J3244">
        <v>0.62890000000000001</v>
      </c>
      <c r="K3244">
        <v>0.60009999999999997</v>
      </c>
      <c r="L3244">
        <v>0.55159999999999998</v>
      </c>
      <c r="M3244">
        <v>0.2094</v>
      </c>
      <c r="N3244">
        <f>CONVERT(O3244,"lbf","N")</f>
        <v>9699.3472320755209</v>
      </c>
      <c r="O3244">
        <v>2180.5</v>
      </c>
      <c r="P3244">
        <f t="shared" si="50"/>
        <v>0.37962291515591012</v>
      </c>
    </row>
    <row r="3245" spans="1:16" hidden="1" x14ac:dyDescent="0.25">
      <c r="A3245">
        <v>0</v>
      </c>
      <c r="B3245">
        <v>30000</v>
      </c>
      <c r="C3245">
        <f>1.225 * (1 - 0.00000687559 * B3245) ^ 4.2561</f>
        <v>0.45828836225470948</v>
      </c>
      <c r="D3245">
        <f>E3245*(SQRT($C$2/C3245))</f>
        <v>196.19135918703881</v>
      </c>
      <c r="E3245">
        <v>120</v>
      </c>
      <c r="F3245">
        <v>1215</v>
      </c>
      <c r="G3245">
        <v>2750</v>
      </c>
      <c r="H3245">
        <f>CONVERT(G3245,"HP","kW")</f>
        <v>2050.6746468512433</v>
      </c>
      <c r="I3245">
        <v>0.71260000000000001</v>
      </c>
      <c r="J3245">
        <v>1.2578</v>
      </c>
      <c r="K3245">
        <v>0.66639999999999999</v>
      </c>
      <c r="L3245">
        <v>0.55159999999999998</v>
      </c>
      <c r="M3245">
        <v>0.3125</v>
      </c>
      <c r="N3245">
        <f>CONVERT(O3245,"lbf","N")</f>
        <v>14478.071713349877</v>
      </c>
      <c r="O3245">
        <v>3254.8</v>
      </c>
      <c r="P3245">
        <f t="shared" si="50"/>
        <v>0.56653372008701963</v>
      </c>
    </row>
    <row r="3246" spans="1:16" hidden="1" x14ac:dyDescent="0.25">
      <c r="A3246">
        <v>0</v>
      </c>
      <c r="B3246">
        <v>30000</v>
      </c>
      <c r="C3246">
        <f>1.225 * (1 - 0.00000687559 * B3246) ^ 4.2561</f>
        <v>0.45828836225470948</v>
      </c>
      <c r="D3246">
        <f>E3246*(SQRT($C$2/C3246))</f>
        <v>261.58847891605171</v>
      </c>
      <c r="E3246">
        <v>160</v>
      </c>
      <c r="F3246">
        <v>1215</v>
      </c>
      <c r="G3246">
        <v>2750</v>
      </c>
      <c r="H3246">
        <f>CONVERT(G3246,"HP","kW")</f>
        <v>2050.6746468512433</v>
      </c>
      <c r="I3246">
        <v>0.81599999999999995</v>
      </c>
      <c r="J3246">
        <v>1.6771</v>
      </c>
      <c r="K3246">
        <v>0.72960000000000003</v>
      </c>
      <c r="L3246">
        <v>0.55159999999999998</v>
      </c>
      <c r="M3246">
        <v>0.26840000000000003</v>
      </c>
      <c r="N3246">
        <f>CONVERT(O3246,"lbf","N")</f>
        <v>12435.448347622254</v>
      </c>
      <c r="O3246">
        <v>2795.6</v>
      </c>
      <c r="P3246">
        <f t="shared" si="50"/>
        <v>0.48658448150833944</v>
      </c>
    </row>
    <row r="3247" spans="1:16" hidden="1" x14ac:dyDescent="0.25">
      <c r="A3247">
        <v>0</v>
      </c>
      <c r="B3247">
        <v>30000</v>
      </c>
      <c r="C3247">
        <f>1.225 * (1 - 0.00000687559 * B3247) ^ 4.2561</f>
        <v>0.45828836225470948</v>
      </c>
      <c r="D3247">
        <f>E3247*(SQRT($C$2/C3247))</f>
        <v>359.68415850957115</v>
      </c>
      <c r="E3247">
        <v>220</v>
      </c>
      <c r="F3247">
        <v>1215</v>
      </c>
      <c r="G3247">
        <v>2750</v>
      </c>
      <c r="H3247">
        <f>CONVERT(G3247,"HP","kW")</f>
        <v>2050.6746468512433</v>
      </c>
      <c r="I3247">
        <v>0.76070000000000004</v>
      </c>
      <c r="J3247">
        <v>2.306</v>
      </c>
      <c r="K3247">
        <v>0.84250000000000003</v>
      </c>
      <c r="L3247">
        <v>0.55159999999999998</v>
      </c>
      <c r="M3247">
        <v>0.182</v>
      </c>
      <c r="N3247">
        <f>CONVERT(O3247,"lbf","N")</f>
        <v>8430.2696052416995</v>
      </c>
      <c r="O3247">
        <v>1895.2</v>
      </c>
      <c r="P3247">
        <f t="shared" si="50"/>
        <v>0.32994923857868019</v>
      </c>
    </row>
    <row r="3248" spans="1:16" hidden="1" x14ac:dyDescent="0.25">
      <c r="A3248">
        <v>0</v>
      </c>
      <c r="B3248">
        <v>30000</v>
      </c>
      <c r="C3248">
        <f>1.225 * (1 - 0.00000687559 * B3248) ^ 4.2561</f>
        <v>0.45828836225470948</v>
      </c>
      <c r="D3248">
        <f>E3248*(SQRT($C$2/C3248))</f>
        <v>425.08127823858405</v>
      </c>
      <c r="E3248">
        <v>260</v>
      </c>
      <c r="F3248">
        <v>1215</v>
      </c>
      <c r="G3248">
        <v>2750</v>
      </c>
      <c r="H3248">
        <f>CONVERT(G3248,"HP","kW")</f>
        <v>2050.6746468512433</v>
      </c>
      <c r="I3248">
        <v>0.50600000000000001</v>
      </c>
      <c r="J3248">
        <v>2.7252999999999998</v>
      </c>
      <c r="K3248">
        <v>0.9264</v>
      </c>
      <c r="L3248">
        <v>0.55159999999999998</v>
      </c>
      <c r="M3248">
        <v>0.1024</v>
      </c>
      <c r="N3248">
        <f>CONVERT(O3248,"lbf","N")</f>
        <v>4745.8076413214276</v>
      </c>
      <c r="O3248">
        <v>1066.9000000000001</v>
      </c>
      <c r="P3248">
        <f t="shared" si="50"/>
        <v>0.18564176939811458</v>
      </c>
    </row>
    <row r="3249" spans="1:16" hidden="1" x14ac:dyDescent="0.25">
      <c r="A3249">
        <v>0</v>
      </c>
      <c r="B3249">
        <v>30000</v>
      </c>
      <c r="C3249">
        <f>1.225 * (1 - 0.00000687559 * B3249) ^ 4.2561</f>
        <v>0.45828836225470948</v>
      </c>
      <c r="D3249">
        <f>E3249*(SQRT($C$2/C3249))</f>
        <v>65.397119729012928</v>
      </c>
      <c r="E3249">
        <v>40</v>
      </c>
      <c r="F3249">
        <v>1215</v>
      </c>
      <c r="G3249">
        <v>2750</v>
      </c>
      <c r="H3249">
        <f>CONVERT(G3249,"HP","kW")</f>
        <v>2050.6746468512433</v>
      </c>
      <c r="I3249">
        <v>0.14199999999999999</v>
      </c>
      <c r="J3249">
        <v>0.41930000000000001</v>
      </c>
      <c r="K3249">
        <v>0.58640000000000003</v>
      </c>
      <c r="L3249">
        <v>0.55169999999999997</v>
      </c>
      <c r="M3249">
        <v>0.18690000000000001</v>
      </c>
      <c r="N3249">
        <f>CONVERT(O3249,"lbf","N")</f>
        <v>8656.2392632969331</v>
      </c>
      <c r="O3249">
        <v>1946</v>
      </c>
      <c r="P3249">
        <f t="shared" si="50"/>
        <v>0.33877107123436656</v>
      </c>
    </row>
    <row r="3250" spans="1:16" hidden="1" x14ac:dyDescent="0.25">
      <c r="A3250">
        <v>0</v>
      </c>
      <c r="B3250">
        <v>30000</v>
      </c>
      <c r="C3250">
        <f>1.225 * (1 - 0.00000687559 * B3250) ^ 4.2561</f>
        <v>0.45828836225470948</v>
      </c>
      <c r="D3250">
        <f>E3250*(SQRT($C$2/C3250))</f>
        <v>294.28703878055819</v>
      </c>
      <c r="E3250">
        <v>180</v>
      </c>
      <c r="F3250">
        <v>1215</v>
      </c>
      <c r="G3250">
        <v>2750</v>
      </c>
      <c r="H3250">
        <f>CONVERT(G3250,"HP","kW")</f>
        <v>2050.6746468512433</v>
      </c>
      <c r="I3250">
        <v>0.82189999999999996</v>
      </c>
      <c r="J3250">
        <v>1.8867</v>
      </c>
      <c r="K3250">
        <v>0.7651</v>
      </c>
      <c r="L3250">
        <v>0.55169999999999997</v>
      </c>
      <c r="M3250">
        <v>0.24030000000000001</v>
      </c>
      <c r="N3250">
        <f>CONVERT(O3250,"lbf","N")</f>
        <v>11133.89870299703</v>
      </c>
      <c r="O3250">
        <v>2503</v>
      </c>
      <c r="P3250">
        <f t="shared" si="50"/>
        <v>0.43556280587275698</v>
      </c>
    </row>
    <row r="3251" spans="1:16" hidden="1" x14ac:dyDescent="0.25">
      <c r="A3251">
        <v>0</v>
      </c>
      <c r="B3251">
        <v>30000</v>
      </c>
      <c r="C3251">
        <f>1.225 * (1 - 0.00000687559 * B3251) ^ 4.2561</f>
        <v>0.45828836225470948</v>
      </c>
      <c r="D3251">
        <f>E3251*(SQRT($C$2/C3251))</f>
        <v>326.98559864506467</v>
      </c>
      <c r="E3251">
        <v>200</v>
      </c>
      <c r="F3251">
        <v>1215</v>
      </c>
      <c r="G3251">
        <v>2750</v>
      </c>
      <c r="H3251">
        <f>CONVERT(G3251,"HP","kW")</f>
        <v>2050.6746468512433</v>
      </c>
      <c r="I3251">
        <v>0.80469999999999997</v>
      </c>
      <c r="J3251">
        <v>2.0964</v>
      </c>
      <c r="K3251">
        <v>0.80269999999999997</v>
      </c>
      <c r="L3251">
        <v>0.55169999999999997</v>
      </c>
      <c r="M3251">
        <v>0.21179999999999999</v>
      </c>
      <c r="N3251">
        <f>CONVERT(O3251,"lbf","N")</f>
        <v>9810.5527724570329</v>
      </c>
      <c r="O3251">
        <v>2205.5</v>
      </c>
      <c r="P3251">
        <f t="shared" si="50"/>
        <v>0.38390429581294183</v>
      </c>
    </row>
    <row r="3252" spans="1:16" hidden="1" x14ac:dyDescent="0.25">
      <c r="A3252">
        <v>0</v>
      </c>
      <c r="B3252">
        <v>30000</v>
      </c>
      <c r="C3252">
        <f>1.225 * (1 - 0.00000687559 * B3252) ^ 4.2561</f>
        <v>0.45828836225470948</v>
      </c>
      <c r="D3252">
        <f>E3252*(SQRT($C$2/C3252))</f>
        <v>392.38271837407763</v>
      </c>
      <c r="E3252">
        <v>240</v>
      </c>
      <c r="F3252">
        <v>1215</v>
      </c>
      <c r="G3252">
        <v>2750</v>
      </c>
      <c r="H3252">
        <f>CONVERT(G3252,"HP","kW")</f>
        <v>2050.6746468512433</v>
      </c>
      <c r="I3252">
        <v>0.66080000000000005</v>
      </c>
      <c r="J3252">
        <v>2.5156999999999998</v>
      </c>
      <c r="K3252">
        <v>0.88370000000000004</v>
      </c>
      <c r="L3252">
        <v>0.55179999999999996</v>
      </c>
      <c r="M3252">
        <v>0.14499999999999999</v>
      </c>
      <c r="N3252">
        <f>CONVERT(O3252,"lbf","N")</f>
        <v>6713.2560617511472</v>
      </c>
      <c r="O3252">
        <v>1509.2</v>
      </c>
      <c r="P3252">
        <f t="shared" si="50"/>
        <v>0.26277636824936573</v>
      </c>
    </row>
    <row r="3253" spans="1:16" hidden="1" x14ac:dyDescent="0.25">
      <c r="A3253">
        <v>0</v>
      </c>
      <c r="B3253">
        <v>30000</v>
      </c>
      <c r="C3253">
        <f>1.225 * (1 - 0.00000687559 * B3253) ^ 4.2561</f>
        <v>0.45828836225470948</v>
      </c>
      <c r="D3253">
        <f>E3253*(SQRT($C$2/C3253))</f>
        <v>228.88991905154526</v>
      </c>
      <c r="E3253">
        <v>140</v>
      </c>
      <c r="F3253">
        <v>1215</v>
      </c>
      <c r="G3253">
        <v>2750</v>
      </c>
      <c r="H3253">
        <f>CONVERT(G3253,"HP","kW")</f>
        <v>2050.6746468512433</v>
      </c>
      <c r="I3253">
        <v>0.7823</v>
      </c>
      <c r="J3253">
        <v>1.4675</v>
      </c>
      <c r="K3253">
        <v>0.6966</v>
      </c>
      <c r="L3253">
        <v>0.55210000000000004</v>
      </c>
      <c r="M3253">
        <v>0.2944</v>
      </c>
      <c r="N3253">
        <f>CONVERT(O3253,"lbf","N")</f>
        <v>13624.902807542912</v>
      </c>
      <c r="O3253">
        <v>3063</v>
      </c>
      <c r="P3253">
        <f t="shared" si="50"/>
        <v>0.53323673247600067</v>
      </c>
    </row>
    <row r="3254" spans="1:16" hidden="1" x14ac:dyDescent="0.25">
      <c r="A3254">
        <v>0</v>
      </c>
      <c r="B3254">
        <v>30000</v>
      </c>
      <c r="C3254">
        <f>1.225 * (1 - 0.00000687559 * B3254) ^ 4.2561</f>
        <v>0.45828836225470948</v>
      </c>
      <c r="D3254">
        <f>E3254*(SQRT($C$2/C3254))</f>
        <v>130.79423945802586</v>
      </c>
      <c r="E3254">
        <v>80</v>
      </c>
      <c r="F3254">
        <v>1215</v>
      </c>
      <c r="G3254">
        <v>2750</v>
      </c>
      <c r="H3254">
        <f>CONVERT(G3254,"HP","kW")</f>
        <v>2050.6746468512433</v>
      </c>
      <c r="I3254">
        <v>0.37430000000000002</v>
      </c>
      <c r="J3254">
        <v>0.83860000000000001</v>
      </c>
      <c r="K3254">
        <v>0.6179</v>
      </c>
      <c r="L3254">
        <v>0.55220000000000002</v>
      </c>
      <c r="M3254">
        <v>0.2465</v>
      </c>
      <c r="N3254">
        <f>CONVERT(O3254,"lbf","N")</f>
        <v>11409.243620981657</v>
      </c>
      <c r="O3254">
        <v>2564.9</v>
      </c>
      <c r="P3254">
        <f t="shared" si="50"/>
        <v>0.44639623324882288</v>
      </c>
    </row>
    <row r="3255" spans="1:16" hidden="1" x14ac:dyDescent="0.25">
      <c r="A3255">
        <v>0</v>
      </c>
      <c r="B3255">
        <v>15000</v>
      </c>
      <c r="C3255">
        <f>1.225 * (1 - 0.00000687559 * B3255) ^ 4.2561</f>
        <v>0.77079726910167001</v>
      </c>
      <c r="D3255">
        <f>E3255*(SQRT($C$2/C3255))</f>
        <v>327.77159060792974</v>
      </c>
      <c r="E3255">
        <v>260</v>
      </c>
      <c r="F3255">
        <v>987</v>
      </c>
      <c r="G3255">
        <v>2500</v>
      </c>
      <c r="H3255">
        <f>CONVERT(G3255,"HP","kW")</f>
        <v>1864.2496789556756</v>
      </c>
      <c r="I3255">
        <v>0.86899999999999999</v>
      </c>
      <c r="J3255">
        <v>2.5869</v>
      </c>
      <c r="K3255">
        <v>0.68630000000000002</v>
      </c>
      <c r="L3255">
        <v>0.55559999999999998</v>
      </c>
      <c r="M3255">
        <v>0.18659999999999999</v>
      </c>
      <c r="N3255">
        <f>CONVERT(O3255,"lbf","N")</f>
        <v>9607.26904463963</v>
      </c>
      <c r="O3255">
        <v>2159.8000000000002</v>
      </c>
      <c r="P3255">
        <f t="shared" si="50"/>
        <v>0.33585313174946002</v>
      </c>
    </row>
    <row r="3256" spans="1:16" hidden="1" x14ac:dyDescent="0.25">
      <c r="A3256">
        <v>0</v>
      </c>
      <c r="B3256">
        <v>15000</v>
      </c>
      <c r="C3256">
        <f>1.225 * (1 - 0.00000687559 * B3256) ^ 4.2561</f>
        <v>0.77079726910167001</v>
      </c>
      <c r="D3256">
        <f>E3256*(SQRT($C$2/C3256))</f>
        <v>226.91879349779754</v>
      </c>
      <c r="E3256">
        <v>180</v>
      </c>
      <c r="F3256">
        <v>987</v>
      </c>
      <c r="G3256">
        <v>2500</v>
      </c>
      <c r="H3256">
        <f>CONVERT(G3256,"HP","kW")</f>
        <v>1864.2496789556756</v>
      </c>
      <c r="I3256">
        <v>0.84240000000000004</v>
      </c>
      <c r="J3256">
        <v>1.7908999999999999</v>
      </c>
      <c r="K3256">
        <v>0.57230000000000003</v>
      </c>
      <c r="L3256">
        <v>0.55569999999999997</v>
      </c>
      <c r="M3256">
        <v>0.26140000000000002</v>
      </c>
      <c r="N3256">
        <f>CONVERT(O3256,"lbf","N")</f>
        <v>13453.201453193858</v>
      </c>
      <c r="O3256">
        <v>3024.4</v>
      </c>
      <c r="P3256">
        <f t="shared" si="50"/>
        <v>0.47039769659888436</v>
      </c>
    </row>
    <row r="3257" spans="1:16" hidden="1" x14ac:dyDescent="0.25">
      <c r="A3257">
        <v>0</v>
      </c>
      <c r="B3257">
        <v>15000</v>
      </c>
      <c r="C3257">
        <f>1.225 * (1 - 0.00000687559 * B3257) ^ 4.2561</f>
        <v>0.77079726910167001</v>
      </c>
      <c r="D3257">
        <f>E3257*(SQRT($C$2/C3257))</f>
        <v>176.49239494273141</v>
      </c>
      <c r="E3257">
        <v>140</v>
      </c>
      <c r="F3257">
        <v>987</v>
      </c>
      <c r="G3257">
        <v>2500</v>
      </c>
      <c r="H3257">
        <f>CONVERT(G3257,"HP","kW")</f>
        <v>1864.2496789556756</v>
      </c>
      <c r="I3257">
        <v>0.78059999999999996</v>
      </c>
      <c r="J3257">
        <v>1.3929</v>
      </c>
      <c r="K3257">
        <v>0.52400000000000002</v>
      </c>
      <c r="L3257">
        <v>0.55579999999999996</v>
      </c>
      <c r="M3257">
        <v>0.31140000000000001</v>
      </c>
      <c r="N3257">
        <f>CONVERT(O3257,"lbf","N")</f>
        <v>16027.832124106633</v>
      </c>
      <c r="O3257">
        <v>3603.2</v>
      </c>
      <c r="P3257">
        <f t="shared" si="50"/>
        <v>0.5602734796689457</v>
      </c>
    </row>
    <row r="3258" spans="1:16" hidden="1" x14ac:dyDescent="0.25">
      <c r="A3258">
        <v>0</v>
      </c>
      <c r="B3258">
        <v>15000</v>
      </c>
      <c r="C3258">
        <f>1.225 * (1 - 0.00000687559 * B3258) ^ 4.2561</f>
        <v>0.77079726910167001</v>
      </c>
      <c r="D3258">
        <f>E3258*(SQRT($C$2/C3258))</f>
        <v>100.85279711013223</v>
      </c>
      <c r="E3258">
        <v>80</v>
      </c>
      <c r="F3258">
        <v>987</v>
      </c>
      <c r="G3258">
        <v>2500</v>
      </c>
      <c r="H3258">
        <f>CONVERT(G3258,"HP","kW")</f>
        <v>1864.2496789556756</v>
      </c>
      <c r="I3258">
        <v>0.2873</v>
      </c>
      <c r="J3258">
        <v>0.79600000000000004</v>
      </c>
      <c r="K3258">
        <v>0.47010000000000002</v>
      </c>
      <c r="L3258">
        <v>0.55589999999999995</v>
      </c>
      <c r="M3258">
        <v>0.2006</v>
      </c>
      <c r="N3258">
        <f>CONVERT(O3258,"lbf","N")</f>
        <v>10322.543080373516</v>
      </c>
      <c r="O3258">
        <v>2320.6</v>
      </c>
      <c r="P3258">
        <f t="shared" si="50"/>
        <v>0.36085626911314989</v>
      </c>
    </row>
    <row r="3259" spans="1:16" hidden="1" x14ac:dyDescent="0.25">
      <c r="A3259">
        <v>0</v>
      </c>
      <c r="B3259">
        <v>15000</v>
      </c>
      <c r="C3259">
        <f>1.225 * (1 - 0.00000687559 * B3259) ^ 4.2561</f>
        <v>0.77079726910167001</v>
      </c>
      <c r="D3259">
        <f>E3259*(SQRT($C$2/C3259))</f>
        <v>151.27919566519836</v>
      </c>
      <c r="E3259">
        <v>120</v>
      </c>
      <c r="F3259">
        <v>987</v>
      </c>
      <c r="G3259">
        <v>2500</v>
      </c>
      <c r="H3259">
        <f>CONVERT(G3259,"HP","kW")</f>
        <v>1864.2496789556756</v>
      </c>
      <c r="I3259">
        <v>0.7056</v>
      </c>
      <c r="J3259">
        <v>1.1939</v>
      </c>
      <c r="K3259">
        <v>0.50290000000000001</v>
      </c>
      <c r="L3259">
        <v>0.55600000000000005</v>
      </c>
      <c r="M3259">
        <v>0.3286</v>
      </c>
      <c r="N3259">
        <f>CONVERT(O3259,"lbf","N")</f>
        <v>16903.242137989899</v>
      </c>
      <c r="O3259">
        <v>3800</v>
      </c>
      <c r="P3259">
        <f t="shared" si="50"/>
        <v>0.59100719424460424</v>
      </c>
    </row>
    <row r="3260" spans="1:16" hidden="1" x14ac:dyDescent="0.25">
      <c r="A3260" s="4">
        <v>0</v>
      </c>
      <c r="B3260" s="4">
        <v>15000</v>
      </c>
      <c r="C3260" s="4">
        <f>1.225 * (1 - 0.00000687559 * B3260) ^ 4.2561</f>
        <v>0.77079726910167001</v>
      </c>
      <c r="D3260" s="4">
        <f>E3260*(SQRT($C$2/C3260))</f>
        <v>252.13199277533059</v>
      </c>
      <c r="E3260" s="4">
        <v>200</v>
      </c>
      <c r="F3260" s="4">
        <v>987</v>
      </c>
      <c r="G3260" s="4">
        <v>2500</v>
      </c>
      <c r="H3260" s="4">
        <f>CONVERT(G3260,"HP","kW")</f>
        <v>1864.2496789556756</v>
      </c>
      <c r="I3260" s="4">
        <v>0.85829999999999995</v>
      </c>
      <c r="J3260" s="4">
        <v>1.9899</v>
      </c>
      <c r="K3260" s="4">
        <v>0.5988</v>
      </c>
      <c r="L3260" s="4">
        <v>0.55620000000000003</v>
      </c>
      <c r="M3260" s="4">
        <v>0.2399</v>
      </c>
      <c r="N3260" s="4">
        <f>CONVERT(O3260,"lbf","N")</f>
        <v>12335.808183440418</v>
      </c>
      <c r="O3260" s="4">
        <v>2773.2</v>
      </c>
      <c r="P3260">
        <f t="shared" si="50"/>
        <v>0.43131966918374681</v>
      </c>
    </row>
    <row r="3261" spans="1:16" hidden="1" x14ac:dyDescent="0.25">
      <c r="A3261">
        <v>0</v>
      </c>
      <c r="B3261">
        <v>15000</v>
      </c>
      <c r="C3261">
        <f>1.225 * (1 - 0.00000687559 * B3261) ^ 4.2561</f>
        <v>0.77079726910167001</v>
      </c>
      <c r="D3261">
        <f>E3261*(SQRT($C$2/C3261))</f>
        <v>277.34519205286364</v>
      </c>
      <c r="E3261">
        <v>220</v>
      </c>
      <c r="F3261">
        <v>987</v>
      </c>
      <c r="G3261">
        <v>2500</v>
      </c>
      <c r="H3261">
        <f>CONVERT(G3261,"HP","kW")</f>
        <v>1864.2496789556756</v>
      </c>
      <c r="I3261">
        <v>0.86870000000000003</v>
      </c>
      <c r="J3261">
        <v>2.1888999999999998</v>
      </c>
      <c r="K3261">
        <v>0.62680000000000002</v>
      </c>
      <c r="L3261">
        <v>0.55620000000000003</v>
      </c>
      <c r="M3261">
        <v>0.2208</v>
      </c>
      <c r="N3261">
        <f>CONVERT(O3261,"lbf","N")</f>
        <v>11350.971917821746</v>
      </c>
      <c r="O3261">
        <v>2551.8000000000002</v>
      </c>
      <c r="P3261">
        <f t="shared" si="50"/>
        <v>0.39697950377562025</v>
      </c>
    </row>
    <row r="3262" spans="1:16" hidden="1" x14ac:dyDescent="0.25">
      <c r="A3262">
        <v>0</v>
      </c>
      <c r="B3262">
        <v>15000</v>
      </c>
      <c r="C3262">
        <f>1.225 * (1 - 0.00000687559 * B3262) ^ 4.2561</f>
        <v>0.77079726910167001</v>
      </c>
      <c r="D3262">
        <f>E3262*(SQRT($C$2/C3262))</f>
        <v>302.55839133039672</v>
      </c>
      <c r="E3262">
        <v>240</v>
      </c>
      <c r="F3262">
        <v>987</v>
      </c>
      <c r="G3262">
        <v>2500</v>
      </c>
      <c r="H3262">
        <f>CONVERT(G3262,"HP","kW")</f>
        <v>1864.2496789556756</v>
      </c>
      <c r="I3262">
        <v>0.87329999999999997</v>
      </c>
      <c r="J3262">
        <v>2.3879000000000001</v>
      </c>
      <c r="K3262">
        <v>0.65600000000000003</v>
      </c>
      <c r="L3262">
        <v>0.55620000000000003</v>
      </c>
      <c r="M3262">
        <v>0.2034</v>
      </c>
      <c r="N3262">
        <f>CONVERT(O3262,"lbf","N")</f>
        <v>10460.437950446591</v>
      </c>
      <c r="O3262">
        <v>2351.6</v>
      </c>
      <c r="P3262">
        <f t="shared" si="50"/>
        <v>0.36569579288025889</v>
      </c>
    </row>
    <row r="3263" spans="1:16" hidden="1" x14ac:dyDescent="0.25">
      <c r="A3263">
        <v>0</v>
      </c>
      <c r="B3263">
        <v>15000</v>
      </c>
      <c r="C3263">
        <f>1.225 * (1 - 0.00000687559 * B3263) ^ 4.2561</f>
        <v>0.77079726910167001</v>
      </c>
      <c r="D3263">
        <f>E3263*(SQRT($C$2/C3263))</f>
        <v>75.639597832599179</v>
      </c>
      <c r="E3263">
        <v>60</v>
      </c>
      <c r="F3263">
        <v>987</v>
      </c>
      <c r="G3263">
        <v>2500</v>
      </c>
      <c r="H3263">
        <f>CONVERT(G3263,"HP","kW")</f>
        <v>1864.2496789556756</v>
      </c>
      <c r="I3263">
        <v>0.15570000000000001</v>
      </c>
      <c r="J3263">
        <v>0.59699999999999998</v>
      </c>
      <c r="K3263">
        <v>0.45100000000000001</v>
      </c>
      <c r="L3263">
        <v>0.55649999999999999</v>
      </c>
      <c r="M3263">
        <v>0.14510000000000001</v>
      </c>
      <c r="N3263">
        <f>CONVERT(O3263,"lbf","N")</f>
        <v>7458.3331823072804</v>
      </c>
      <c r="O3263">
        <v>1676.7</v>
      </c>
      <c r="P3263">
        <f t="shared" si="50"/>
        <v>0.2607367475292004</v>
      </c>
    </row>
    <row r="3264" spans="1:16" hidden="1" x14ac:dyDescent="0.25">
      <c r="A3264">
        <v>0</v>
      </c>
      <c r="B3264">
        <v>15000</v>
      </c>
      <c r="C3264">
        <f>1.225 * (1 - 0.00000687559 * B3264) ^ 4.2561</f>
        <v>0.77079726910167001</v>
      </c>
      <c r="D3264">
        <f>E3264*(SQRT($C$2/C3264))</f>
        <v>126.06599638766529</v>
      </c>
      <c r="E3264">
        <v>100</v>
      </c>
      <c r="F3264">
        <v>987</v>
      </c>
      <c r="G3264">
        <v>2500</v>
      </c>
      <c r="H3264">
        <f>CONVERT(G3264,"HP","kW")</f>
        <v>1864.2496789556756</v>
      </c>
      <c r="I3264">
        <v>0.51690000000000003</v>
      </c>
      <c r="J3264">
        <v>0.995</v>
      </c>
      <c r="K3264">
        <v>0.48480000000000001</v>
      </c>
      <c r="L3264">
        <v>0.55649999999999999</v>
      </c>
      <c r="M3264">
        <v>0.28910000000000002</v>
      </c>
      <c r="N3264">
        <f>CONVERT(O3264,"lbf","N")</f>
        <v>14859.284305777699</v>
      </c>
      <c r="O3264">
        <v>3340.5</v>
      </c>
      <c r="P3264">
        <f t="shared" si="50"/>
        <v>0.51949685534591195</v>
      </c>
    </row>
    <row r="3265" spans="1:16" hidden="1" x14ac:dyDescent="0.25">
      <c r="A3265">
        <v>0</v>
      </c>
      <c r="B3265">
        <v>15000</v>
      </c>
      <c r="C3265">
        <f>1.225 * (1 - 0.00000687559 * B3265) ^ 4.2561</f>
        <v>0.77079726910167001</v>
      </c>
      <c r="D3265">
        <f>E3265*(SQRT($C$2/C3265))</f>
        <v>201.70559422026446</v>
      </c>
      <c r="E3265">
        <v>160</v>
      </c>
      <c r="F3265">
        <v>987</v>
      </c>
      <c r="G3265">
        <v>2500</v>
      </c>
      <c r="H3265">
        <f>CONVERT(G3265,"HP","kW")</f>
        <v>1864.2496789556756</v>
      </c>
      <c r="I3265">
        <v>0.81950000000000001</v>
      </c>
      <c r="J3265">
        <v>1.5919000000000001</v>
      </c>
      <c r="K3265">
        <v>0.54730000000000001</v>
      </c>
      <c r="L3265">
        <v>0.55649999999999999</v>
      </c>
      <c r="M3265">
        <v>0.28639999999999999</v>
      </c>
      <c r="N3265">
        <f>CONVERT(O3265,"lbf","N")</f>
        <v>14722.723902189206</v>
      </c>
      <c r="O3265">
        <v>3309.8</v>
      </c>
      <c r="P3265">
        <f t="shared" si="50"/>
        <v>0.51464510332434854</v>
      </c>
    </row>
    <row r="3266" spans="1:16" hidden="1" x14ac:dyDescent="0.25">
      <c r="A3266">
        <v>0</v>
      </c>
      <c r="B3266">
        <v>30000</v>
      </c>
      <c r="C3266">
        <f>1.225 * (1 - 0.00000687559 * B3266) ^ 4.2561</f>
        <v>0.45828836225470948</v>
      </c>
      <c r="D3266">
        <f>E3266*(SQRT($C$2/C3266))</f>
        <v>392.38271837407763</v>
      </c>
      <c r="E3266">
        <v>240</v>
      </c>
      <c r="F3266">
        <v>987</v>
      </c>
      <c r="G3266">
        <v>1500</v>
      </c>
      <c r="H3266">
        <f>CONVERT(G3266,"HP","kW")</f>
        <v>1118.5498073734054</v>
      </c>
      <c r="I3266">
        <v>0.69650000000000001</v>
      </c>
      <c r="J3266">
        <v>3.0968</v>
      </c>
      <c r="K3266">
        <v>0.81630000000000003</v>
      </c>
      <c r="L3266">
        <v>0.56069999999999998</v>
      </c>
      <c r="M3266">
        <v>0.12609999999999999</v>
      </c>
      <c r="N3266">
        <f>CONVERT(O3266,"lbf","N")</f>
        <v>3859.7218955615358</v>
      </c>
      <c r="O3266">
        <v>867.7</v>
      </c>
      <c r="P3266">
        <f t="shared" si="50"/>
        <v>0.22489744961655073</v>
      </c>
    </row>
    <row r="3267" spans="1:16" hidden="1" x14ac:dyDescent="0.25">
      <c r="A3267">
        <v>0</v>
      </c>
      <c r="B3267">
        <v>30000</v>
      </c>
      <c r="C3267">
        <f>1.225 * (1 - 0.00000687559 * B3267) ^ 4.2561</f>
        <v>0.45828836225470948</v>
      </c>
      <c r="D3267">
        <f>E3267*(SQRT($C$2/C3267))</f>
        <v>359.68415850957115</v>
      </c>
      <c r="E3267">
        <v>220</v>
      </c>
      <c r="F3267">
        <v>987</v>
      </c>
      <c r="G3267">
        <v>1500</v>
      </c>
      <c r="H3267">
        <f>CONVERT(G3267,"HP","kW")</f>
        <v>1118.5498073734054</v>
      </c>
      <c r="I3267">
        <v>0.81869999999999998</v>
      </c>
      <c r="J3267">
        <v>2.8386999999999998</v>
      </c>
      <c r="K3267">
        <v>0.77170000000000005</v>
      </c>
      <c r="L3267">
        <v>0.56089999999999995</v>
      </c>
      <c r="M3267">
        <v>0.1618</v>
      </c>
      <c r="N3267">
        <f>CONVERT(O3267,"lbf","N")</f>
        <v>4949.0913691388323</v>
      </c>
      <c r="O3267">
        <v>1112.5999999999999</v>
      </c>
      <c r="P3267">
        <f t="shared" ref="P3267:P3330" si="51">M3267/L3267</f>
        <v>0.28846496701729368</v>
      </c>
    </row>
    <row r="3268" spans="1:16" hidden="1" x14ac:dyDescent="0.25">
      <c r="A3268">
        <v>0</v>
      </c>
      <c r="B3268">
        <v>30000</v>
      </c>
      <c r="C3268">
        <f>1.225 * (1 - 0.00000687559 * B3268) ^ 4.2561</f>
        <v>0.45828836225470948</v>
      </c>
      <c r="D3268">
        <f>E3268*(SQRT($C$2/C3268))</f>
        <v>163.49279932253233</v>
      </c>
      <c r="E3268">
        <v>100</v>
      </c>
      <c r="F3268">
        <v>987</v>
      </c>
      <c r="G3268">
        <v>1500</v>
      </c>
      <c r="H3268">
        <f>CONVERT(G3268,"HP","kW")</f>
        <v>1118.5498073734054</v>
      </c>
      <c r="I3268">
        <v>0.74150000000000005</v>
      </c>
      <c r="J3268">
        <v>1.2903</v>
      </c>
      <c r="K3268">
        <v>0.54510000000000003</v>
      </c>
      <c r="L3268">
        <v>0.56100000000000005</v>
      </c>
      <c r="M3268">
        <v>0.32240000000000002</v>
      </c>
      <c r="N3268">
        <f>CONVERT(O3268,"lbf","N")</f>
        <v>9861.7073210325289</v>
      </c>
      <c r="O3268">
        <v>2217</v>
      </c>
      <c r="P3268">
        <f t="shared" si="51"/>
        <v>0.57468805704099823</v>
      </c>
    </row>
    <row r="3269" spans="1:16" hidden="1" x14ac:dyDescent="0.25">
      <c r="A3269">
        <v>0</v>
      </c>
      <c r="B3269">
        <v>30000</v>
      </c>
      <c r="C3269">
        <f>1.225 * (1 - 0.00000687559 * B3269) ^ 4.2561</f>
        <v>0.45828836225470948</v>
      </c>
      <c r="D3269">
        <f>E3269*(SQRT($C$2/C3269))</f>
        <v>0</v>
      </c>
      <c r="E3269">
        <v>0</v>
      </c>
      <c r="F3269">
        <v>987</v>
      </c>
      <c r="G3269">
        <v>1500</v>
      </c>
      <c r="H3269">
        <f>CONVERT(G3269,"HP","kW")</f>
        <v>1118.5498073734054</v>
      </c>
      <c r="I3269">
        <v>0</v>
      </c>
      <c r="J3269">
        <v>0</v>
      </c>
      <c r="K3269">
        <v>0.46160000000000001</v>
      </c>
      <c r="L3269">
        <v>0.56110000000000004</v>
      </c>
      <c r="M3269">
        <v>-0.21970000000000001</v>
      </c>
      <c r="N3269">
        <f>CONVERT(O3269,"lbf","N")</f>
        <v>-6718.5939276894596</v>
      </c>
      <c r="O3269">
        <v>-1510.4</v>
      </c>
      <c r="P3269">
        <f t="shared" si="51"/>
        <v>-0.39155230796649437</v>
      </c>
    </row>
    <row r="3270" spans="1:16" hidden="1" x14ac:dyDescent="0.25">
      <c r="A3270">
        <v>0</v>
      </c>
      <c r="B3270">
        <v>30000</v>
      </c>
      <c r="C3270">
        <f>1.225 * (1 - 0.00000687559 * B3270) ^ 4.2561</f>
        <v>0.45828836225470948</v>
      </c>
      <c r="D3270">
        <f>E3270*(SQRT($C$2/C3270))</f>
        <v>32.698559864506464</v>
      </c>
      <c r="E3270">
        <v>20</v>
      </c>
      <c r="F3270">
        <v>987</v>
      </c>
      <c r="G3270">
        <v>1500</v>
      </c>
      <c r="H3270">
        <f>CONVERT(G3270,"HP","kW")</f>
        <v>1118.5498073734054</v>
      </c>
      <c r="I3270">
        <v>-5.4399999999999997E-2</v>
      </c>
      <c r="J3270">
        <v>0.2581</v>
      </c>
      <c r="K3270">
        <v>0.3367</v>
      </c>
      <c r="L3270">
        <v>0.56120000000000003</v>
      </c>
      <c r="M3270">
        <v>-0.1183</v>
      </c>
      <c r="N3270">
        <f>CONVERT(O3270,"lbf","N")</f>
        <v>-3618.183461852891</v>
      </c>
      <c r="O3270">
        <v>-813.4</v>
      </c>
      <c r="P3270">
        <f t="shared" si="51"/>
        <v>-0.21079828937990019</v>
      </c>
    </row>
    <row r="3271" spans="1:16" hidden="1" x14ac:dyDescent="0.25">
      <c r="A3271">
        <v>0</v>
      </c>
      <c r="B3271">
        <v>30000</v>
      </c>
      <c r="C3271">
        <f>1.225 * (1 - 0.00000687559 * B3271) ^ 4.2561</f>
        <v>0.45828836225470948</v>
      </c>
      <c r="D3271">
        <f>E3271*(SQRT($C$2/C3271))</f>
        <v>326.98559864506467</v>
      </c>
      <c r="E3271">
        <v>200</v>
      </c>
      <c r="F3271">
        <v>987</v>
      </c>
      <c r="G3271">
        <v>1500</v>
      </c>
      <c r="H3271">
        <f>CONVERT(G3271,"HP","kW")</f>
        <v>1118.5498073734054</v>
      </c>
      <c r="I3271">
        <v>0.86219999999999997</v>
      </c>
      <c r="J3271">
        <v>2.5807000000000002</v>
      </c>
      <c r="K3271">
        <v>0.72850000000000004</v>
      </c>
      <c r="L3271">
        <v>0.56120000000000003</v>
      </c>
      <c r="M3271">
        <v>0.1875</v>
      </c>
      <c r="N3271">
        <f>CONVERT(O3271,"lbf","N")</f>
        <v>5733.3128399092593</v>
      </c>
      <c r="O3271">
        <v>1288.9000000000001</v>
      </c>
      <c r="P3271">
        <f t="shared" si="51"/>
        <v>0.33410548823948677</v>
      </c>
    </row>
    <row r="3272" spans="1:16" hidden="1" x14ac:dyDescent="0.25">
      <c r="A3272">
        <v>0</v>
      </c>
      <c r="B3272">
        <v>30000</v>
      </c>
      <c r="C3272">
        <f>1.225 * (1 - 0.00000687559 * B3272) ^ 4.2561</f>
        <v>0.45828836225470948</v>
      </c>
      <c r="D3272">
        <f>E3272*(SQRT($C$2/C3272))</f>
        <v>130.79423945802586</v>
      </c>
      <c r="E3272">
        <v>80</v>
      </c>
      <c r="F3272">
        <v>987</v>
      </c>
      <c r="G3272">
        <v>1500</v>
      </c>
      <c r="H3272">
        <f>CONVERT(G3272,"HP","kW")</f>
        <v>1118.5498073734054</v>
      </c>
      <c r="I3272">
        <v>0.54600000000000004</v>
      </c>
      <c r="J3272">
        <v>1.0323</v>
      </c>
      <c r="K3272">
        <v>0.51870000000000005</v>
      </c>
      <c r="L3272">
        <v>0.56130000000000002</v>
      </c>
      <c r="M3272">
        <v>0.2969</v>
      </c>
      <c r="N3272">
        <f>CONVERT(O3272,"lbf","N")</f>
        <v>9077.041028100577</v>
      </c>
      <c r="O3272">
        <v>2040.6</v>
      </c>
      <c r="P3272">
        <f t="shared" si="51"/>
        <v>0.52895065027614463</v>
      </c>
    </row>
    <row r="3273" spans="1:16" hidden="1" x14ac:dyDescent="0.25">
      <c r="A3273">
        <v>0</v>
      </c>
      <c r="B3273">
        <v>30000</v>
      </c>
      <c r="C3273">
        <f>1.225 * (1 - 0.00000687559 * B3273) ^ 4.2561</f>
        <v>0.45828836225470948</v>
      </c>
      <c r="D3273">
        <f>E3273*(SQRT($C$2/C3273))</f>
        <v>196.19135918703881</v>
      </c>
      <c r="E3273">
        <v>120</v>
      </c>
      <c r="F3273">
        <v>987</v>
      </c>
      <c r="G3273">
        <v>1500</v>
      </c>
      <c r="H3273">
        <f>CONVERT(G3273,"HP","kW")</f>
        <v>1118.5498073734054</v>
      </c>
      <c r="I3273">
        <v>0.81020000000000003</v>
      </c>
      <c r="J3273">
        <v>1.5484</v>
      </c>
      <c r="K3273">
        <v>0.57609999999999995</v>
      </c>
      <c r="L3273">
        <v>0.56130000000000002</v>
      </c>
      <c r="M3273">
        <v>0.29370000000000002</v>
      </c>
      <c r="N3273">
        <f>CONVERT(O3273,"lbf","N")</f>
        <v>8979.1801525648443</v>
      </c>
      <c r="O3273">
        <v>2018.6</v>
      </c>
      <c r="P3273">
        <f t="shared" si="51"/>
        <v>0.52324959914484237</v>
      </c>
    </row>
    <row r="3274" spans="1:16" hidden="1" x14ac:dyDescent="0.25">
      <c r="A3274">
        <v>0</v>
      </c>
      <c r="B3274">
        <v>30000</v>
      </c>
      <c r="C3274">
        <f>1.225 * (1 - 0.00000687559 * B3274) ^ 4.2561</f>
        <v>0.45828836225470948</v>
      </c>
      <c r="D3274">
        <f>E3274*(SQRT($C$2/C3274))</f>
        <v>228.88991905154526</v>
      </c>
      <c r="E3274">
        <v>140</v>
      </c>
      <c r="F3274">
        <v>987</v>
      </c>
      <c r="G3274">
        <v>1500</v>
      </c>
      <c r="H3274">
        <f>CONVERT(G3274,"HP","kW")</f>
        <v>1118.5498073734054</v>
      </c>
      <c r="I3274">
        <v>0.84189999999999998</v>
      </c>
      <c r="J3274">
        <v>1.8065</v>
      </c>
      <c r="K3274">
        <v>0.61040000000000005</v>
      </c>
      <c r="L3274">
        <v>0.56130000000000002</v>
      </c>
      <c r="M3274">
        <v>0.2616</v>
      </c>
      <c r="N3274">
        <f>CONVERT(O3274,"lbf","N")</f>
        <v>7997.4576420768535</v>
      </c>
      <c r="O3274">
        <v>1797.9</v>
      </c>
      <c r="P3274">
        <f t="shared" si="51"/>
        <v>0.46606092998396575</v>
      </c>
    </row>
    <row r="3275" spans="1:16" hidden="1" x14ac:dyDescent="0.25">
      <c r="A3275">
        <v>0</v>
      </c>
      <c r="B3275">
        <v>30000</v>
      </c>
      <c r="C3275">
        <f>1.225 * (1 - 0.00000687559 * B3275) ^ 4.2561</f>
        <v>0.45828836225470948</v>
      </c>
      <c r="D3275">
        <f>E3275*(SQRT($C$2/C3275))</f>
        <v>261.58847891605171</v>
      </c>
      <c r="E3275">
        <v>160</v>
      </c>
      <c r="F3275">
        <v>987</v>
      </c>
      <c r="G3275">
        <v>1500</v>
      </c>
      <c r="H3275">
        <f>CONVERT(G3275,"HP","kW")</f>
        <v>1118.5498073734054</v>
      </c>
      <c r="I3275">
        <v>0.8609</v>
      </c>
      <c r="J3275">
        <v>2.0644999999999998</v>
      </c>
      <c r="K3275">
        <v>0.64749999999999996</v>
      </c>
      <c r="L3275">
        <v>0.56130000000000002</v>
      </c>
      <c r="M3275">
        <v>0.2341</v>
      </c>
      <c r="N3275">
        <f>CONVERT(O3275,"lbf","N")</f>
        <v>7156.2989346310924</v>
      </c>
      <c r="O3275">
        <v>1608.8</v>
      </c>
      <c r="P3275">
        <f t="shared" si="51"/>
        <v>0.41706752182433637</v>
      </c>
    </row>
    <row r="3276" spans="1:16" hidden="1" x14ac:dyDescent="0.25">
      <c r="A3276">
        <v>0</v>
      </c>
      <c r="B3276">
        <v>30000</v>
      </c>
      <c r="C3276">
        <f>1.225 * (1 - 0.00000687559 * B3276) ^ 4.2561</f>
        <v>0.45828836225470948</v>
      </c>
      <c r="D3276">
        <f>E3276*(SQRT($C$2/C3276))</f>
        <v>294.28703878055819</v>
      </c>
      <c r="E3276">
        <v>180</v>
      </c>
      <c r="F3276">
        <v>987</v>
      </c>
      <c r="G3276">
        <v>1500</v>
      </c>
      <c r="H3276">
        <f>CONVERT(G3276,"HP","kW")</f>
        <v>1118.5498073734054</v>
      </c>
      <c r="I3276">
        <v>0.86939999999999995</v>
      </c>
      <c r="J3276">
        <v>2.3226</v>
      </c>
      <c r="K3276">
        <v>0.68700000000000006</v>
      </c>
      <c r="L3276">
        <v>0.56130000000000002</v>
      </c>
      <c r="M3276">
        <v>0.21010000000000001</v>
      </c>
      <c r="N3276">
        <f>CONVERT(O3276,"lbf","N")</f>
        <v>6423.676834597688</v>
      </c>
      <c r="O3276">
        <v>1444.1</v>
      </c>
      <c r="P3276">
        <f t="shared" si="51"/>
        <v>0.37430963833956887</v>
      </c>
    </row>
    <row r="3277" spans="1:16" hidden="1" x14ac:dyDescent="0.25">
      <c r="A3277">
        <v>0</v>
      </c>
      <c r="B3277">
        <v>30000</v>
      </c>
      <c r="C3277">
        <f>1.225 * (1 - 0.00000687559 * B3277) ^ 4.2561</f>
        <v>0.45828836225470948</v>
      </c>
      <c r="D3277">
        <f>E3277*(SQRT($C$2/C3277))</f>
        <v>425.08127823858405</v>
      </c>
      <c r="E3277">
        <v>260</v>
      </c>
      <c r="F3277">
        <v>987</v>
      </c>
      <c r="G3277">
        <v>1500</v>
      </c>
      <c r="H3277">
        <f>CONVERT(G3277,"HP","kW")</f>
        <v>1118.5498073734054</v>
      </c>
      <c r="I3277">
        <v>0.43530000000000002</v>
      </c>
      <c r="J3277">
        <v>3.3548</v>
      </c>
      <c r="K3277">
        <v>0.86219999999999997</v>
      </c>
      <c r="L3277">
        <v>0.56130000000000002</v>
      </c>
      <c r="M3277">
        <v>7.2800000000000004E-2</v>
      </c>
      <c r="N3277">
        <f>CONVERT(O3277,"lbf","N")</f>
        <v>2226.7797405994065</v>
      </c>
      <c r="O3277">
        <v>500.6</v>
      </c>
      <c r="P3277">
        <f t="shared" si="51"/>
        <v>0.12969891323712809</v>
      </c>
    </row>
    <row r="3278" spans="1:16" hidden="1" x14ac:dyDescent="0.25">
      <c r="A3278">
        <v>0</v>
      </c>
      <c r="B3278">
        <v>30000</v>
      </c>
      <c r="C3278">
        <f>1.225 * (1 - 0.00000687559 * B3278) ^ 4.2561</f>
        <v>0.45828836225470948</v>
      </c>
      <c r="D3278">
        <f>E3278*(SQRT($C$2/C3278))</f>
        <v>98.095679593519407</v>
      </c>
      <c r="E3278">
        <v>60</v>
      </c>
      <c r="F3278">
        <v>987</v>
      </c>
      <c r="G3278">
        <v>1500</v>
      </c>
      <c r="H3278">
        <f>CONVERT(G3278,"HP","kW")</f>
        <v>1118.5498073734054</v>
      </c>
      <c r="I3278">
        <v>0.25600000000000001</v>
      </c>
      <c r="J3278">
        <v>0.7742</v>
      </c>
      <c r="K3278">
        <v>0.49830000000000002</v>
      </c>
      <c r="L3278">
        <v>0.5615</v>
      </c>
      <c r="M3278">
        <v>0.1857</v>
      </c>
      <c r="N3278">
        <f>CONVERT(O3278,"lbf","N")</f>
        <v>5674.5963145878204</v>
      </c>
      <c r="O3278">
        <v>1275.7</v>
      </c>
      <c r="P3278">
        <f t="shared" si="51"/>
        <v>0.33072128227960818</v>
      </c>
    </row>
    <row r="3279" spans="1:16" hidden="1" x14ac:dyDescent="0.25">
      <c r="A3279">
        <v>0</v>
      </c>
      <c r="B3279">
        <v>20000</v>
      </c>
      <c r="C3279">
        <f>1.225 * (1 - 0.00000687559 * B3279) ^ 4.2561</f>
        <v>0.65267221054298263</v>
      </c>
      <c r="D3279">
        <f>E3279*(SQRT($C$2/C3279))</f>
        <v>109.59997888665654</v>
      </c>
      <c r="E3279">
        <v>80</v>
      </c>
      <c r="F3279">
        <v>987</v>
      </c>
      <c r="G3279">
        <v>2250</v>
      </c>
      <c r="H3279">
        <f>CONVERT(G3279,"HP","kW")</f>
        <v>1677.8247110601083</v>
      </c>
      <c r="I3279">
        <v>0.25829999999999997</v>
      </c>
      <c r="J3279">
        <v>0.86499999999999999</v>
      </c>
      <c r="K3279">
        <v>0.4849</v>
      </c>
      <c r="L3279">
        <v>0.59050000000000002</v>
      </c>
      <c r="M3279">
        <v>0.17630000000000001</v>
      </c>
      <c r="N3279">
        <f>CONVERT(O3279,"lbf","N")</f>
        <v>7686.5269511701445</v>
      </c>
      <c r="O3279">
        <v>1728</v>
      </c>
      <c r="P3279">
        <f t="shared" si="51"/>
        <v>0.29856054191363252</v>
      </c>
    </row>
    <row r="3280" spans="1:16" hidden="1" x14ac:dyDescent="0.25">
      <c r="A3280">
        <v>0</v>
      </c>
      <c r="B3280">
        <v>20000</v>
      </c>
      <c r="C3280">
        <f>1.225 * (1 - 0.00000687559 * B3280) ^ 4.2561</f>
        <v>0.65267221054298263</v>
      </c>
      <c r="D3280">
        <f>E3280*(SQRT($C$2/C3280))</f>
        <v>191.79996305164894</v>
      </c>
      <c r="E3280">
        <v>140</v>
      </c>
      <c r="F3280">
        <v>987</v>
      </c>
      <c r="G3280">
        <v>2250</v>
      </c>
      <c r="H3280">
        <f>CONVERT(G3280,"HP","kW")</f>
        <v>1677.8247110601083</v>
      </c>
      <c r="I3280">
        <v>0.79490000000000005</v>
      </c>
      <c r="J3280">
        <v>1.5137</v>
      </c>
      <c r="K3280">
        <v>0.54830000000000001</v>
      </c>
      <c r="L3280">
        <v>0.5907</v>
      </c>
      <c r="M3280">
        <v>0.31019999999999998</v>
      </c>
      <c r="N3280">
        <f>CONVERT(O3280,"lbf","N")</f>
        <v>13516.81102229208</v>
      </c>
      <c r="O3280">
        <v>3038.7</v>
      </c>
      <c r="P3280">
        <f t="shared" si="51"/>
        <v>0.52513966480446927</v>
      </c>
    </row>
    <row r="3281" spans="1:16" hidden="1" x14ac:dyDescent="0.25">
      <c r="A3281">
        <v>0</v>
      </c>
      <c r="B3281">
        <v>20000</v>
      </c>
      <c r="C3281">
        <f>1.225 * (1 - 0.00000687559 * B3281) ^ 4.2561</f>
        <v>0.65267221054298263</v>
      </c>
      <c r="D3281">
        <f>E3281*(SQRT($C$2/C3281))</f>
        <v>356.19993138163375</v>
      </c>
      <c r="E3281">
        <v>260</v>
      </c>
      <c r="F3281">
        <v>987</v>
      </c>
      <c r="G3281">
        <v>2250</v>
      </c>
      <c r="H3281">
        <f>CONVERT(G3281,"HP","kW")</f>
        <v>1677.8247110601083</v>
      </c>
      <c r="I3281">
        <v>0.84130000000000005</v>
      </c>
      <c r="J3281">
        <v>2.8111999999999999</v>
      </c>
      <c r="K3281">
        <v>0.73570000000000002</v>
      </c>
      <c r="L3281">
        <v>0.5907</v>
      </c>
      <c r="M3281">
        <v>0.17680000000000001</v>
      </c>
      <c r="N3281">
        <f>CONVERT(O3281,"lbf","N")</f>
        <v>7703.4301933081342</v>
      </c>
      <c r="O3281">
        <v>1731.8</v>
      </c>
      <c r="P3281">
        <f t="shared" si="51"/>
        <v>0.29930590824445574</v>
      </c>
    </row>
    <row r="3282" spans="1:16" hidden="1" x14ac:dyDescent="0.25">
      <c r="A3282">
        <v>0</v>
      </c>
      <c r="B3282">
        <v>20000</v>
      </c>
      <c r="C3282">
        <f>1.225 * (1 - 0.00000687559 * B3282) ^ 4.2561</f>
        <v>0.65267221054298263</v>
      </c>
      <c r="D3282">
        <f>E3282*(SQRT($C$2/C3282))</f>
        <v>27.399994721664136</v>
      </c>
      <c r="E3282">
        <v>20</v>
      </c>
      <c r="F3282">
        <v>987</v>
      </c>
      <c r="G3282">
        <v>2250</v>
      </c>
      <c r="H3282">
        <f>CONVERT(G3282,"HP","kW")</f>
        <v>1677.8247110601083</v>
      </c>
      <c r="I3282">
        <v>-9.2299999999999993E-2</v>
      </c>
      <c r="J3282">
        <v>0.2162</v>
      </c>
      <c r="K3282">
        <v>0.43859999999999999</v>
      </c>
      <c r="L3282">
        <v>0.59079999999999999</v>
      </c>
      <c r="M3282">
        <v>-0.25209999999999999</v>
      </c>
      <c r="N3282">
        <f>CONVERT(O3282,"lbf","N")</f>
        <v>-10984.43845672428</v>
      </c>
      <c r="O3282">
        <v>-2469.4</v>
      </c>
      <c r="P3282">
        <f t="shared" si="51"/>
        <v>-0.42670954637779279</v>
      </c>
    </row>
    <row r="3283" spans="1:16" hidden="1" x14ac:dyDescent="0.25">
      <c r="A3283">
        <v>0</v>
      </c>
      <c r="B3283">
        <v>20000</v>
      </c>
      <c r="C3283">
        <f>1.225 * (1 - 0.00000687559 * B3283) ^ 4.2561</f>
        <v>0.65267221054298263</v>
      </c>
      <c r="D3283">
        <f>E3283*(SQRT($C$2/C3283))</f>
        <v>219.19995777331309</v>
      </c>
      <c r="E3283">
        <v>160</v>
      </c>
      <c r="F3283">
        <v>987</v>
      </c>
      <c r="G3283">
        <v>2250</v>
      </c>
      <c r="H3283">
        <f>CONVERT(G3283,"HP","kW")</f>
        <v>1677.8247110601083</v>
      </c>
      <c r="I3283">
        <v>0.82879999999999998</v>
      </c>
      <c r="J3283">
        <v>1.73</v>
      </c>
      <c r="K3283">
        <v>0.57540000000000002</v>
      </c>
      <c r="L3283">
        <v>0.59089999999999998</v>
      </c>
      <c r="M3283">
        <v>0.28310000000000002</v>
      </c>
      <c r="N3283">
        <f>CONVERT(O3283,"lbf","N")</f>
        <v>12332.249606148212</v>
      </c>
      <c r="O3283">
        <v>2772.4</v>
      </c>
      <c r="P3283">
        <f t="shared" si="51"/>
        <v>0.47909967845659168</v>
      </c>
    </row>
    <row r="3284" spans="1:16" hidden="1" x14ac:dyDescent="0.25">
      <c r="A3284">
        <v>0</v>
      </c>
      <c r="B3284">
        <v>20000</v>
      </c>
      <c r="C3284">
        <f>1.225 * (1 - 0.00000687559 * B3284) ^ 4.2561</f>
        <v>0.65267221054298263</v>
      </c>
      <c r="D3284">
        <f>E3284*(SQRT($C$2/C3284))</f>
        <v>164.3999683299848</v>
      </c>
      <c r="E3284">
        <v>120</v>
      </c>
      <c r="F3284">
        <v>987</v>
      </c>
      <c r="G3284">
        <v>2250</v>
      </c>
      <c r="H3284">
        <f>CONVERT(G3284,"HP","kW")</f>
        <v>1677.8247110601083</v>
      </c>
      <c r="I3284">
        <v>0.72660000000000002</v>
      </c>
      <c r="J3284">
        <v>1.2975000000000001</v>
      </c>
      <c r="K3284">
        <v>0.52349999999999997</v>
      </c>
      <c r="L3284">
        <v>0.59109999999999996</v>
      </c>
      <c r="M3284">
        <v>0.33100000000000002</v>
      </c>
      <c r="N3284">
        <f>CONVERT(O3284,"lbf","N")</f>
        <v>14414.462144251651</v>
      </c>
      <c r="O3284">
        <v>3240.5</v>
      </c>
      <c r="P3284">
        <f t="shared" si="51"/>
        <v>0.55997293182202679</v>
      </c>
    </row>
    <row r="3285" spans="1:16" hidden="1" x14ac:dyDescent="0.25">
      <c r="A3285">
        <v>0</v>
      </c>
      <c r="B3285">
        <v>20000</v>
      </c>
      <c r="C3285">
        <f>1.225 * (1 - 0.00000687559 * B3285) ^ 4.2561</f>
        <v>0.65267221054298263</v>
      </c>
      <c r="D3285">
        <f>E3285*(SQRT($C$2/C3285))</f>
        <v>0</v>
      </c>
      <c r="E3285">
        <v>0</v>
      </c>
      <c r="F3285">
        <v>987</v>
      </c>
      <c r="G3285">
        <v>2250</v>
      </c>
      <c r="H3285">
        <f>CONVERT(G3285,"HP","kW")</f>
        <v>1677.8247110601083</v>
      </c>
      <c r="I3285">
        <v>0</v>
      </c>
      <c r="J3285">
        <v>0</v>
      </c>
      <c r="K3285">
        <v>0.44209999999999999</v>
      </c>
      <c r="L3285">
        <v>0.59119999999999995</v>
      </c>
      <c r="M3285">
        <v>-0.23039999999999999</v>
      </c>
      <c r="N3285">
        <f>CONVERT(O3285,"lbf","N")</f>
        <v>-10033.408675381585</v>
      </c>
      <c r="O3285">
        <v>-2255.6</v>
      </c>
      <c r="P3285">
        <f t="shared" si="51"/>
        <v>-0.3897158322056834</v>
      </c>
    </row>
    <row r="3286" spans="1:16" hidden="1" x14ac:dyDescent="0.25">
      <c r="A3286">
        <v>0</v>
      </c>
      <c r="B3286">
        <v>20000</v>
      </c>
      <c r="C3286">
        <f>1.225 * (1 - 0.00000687559 * B3286) ^ 4.2561</f>
        <v>0.65267221054298263</v>
      </c>
      <c r="D3286">
        <f>E3286*(SQRT($C$2/C3286))</f>
        <v>246.59995249497723</v>
      </c>
      <c r="E3286">
        <v>180</v>
      </c>
      <c r="F3286">
        <v>987</v>
      </c>
      <c r="G3286">
        <v>2250</v>
      </c>
      <c r="H3286">
        <f>CONVERT(G3286,"HP","kW")</f>
        <v>1677.8247110601083</v>
      </c>
      <c r="I3286">
        <v>0.84899999999999998</v>
      </c>
      <c r="J3286">
        <v>1.9461999999999999</v>
      </c>
      <c r="K3286">
        <v>0.60450000000000004</v>
      </c>
      <c r="L3286">
        <v>0.59119999999999995</v>
      </c>
      <c r="M3286">
        <v>0.25790000000000002</v>
      </c>
      <c r="N3286">
        <f>CONVERT(O3286,"lbf","N")</f>
        <v>11228.201001240554</v>
      </c>
      <c r="O3286">
        <v>2524.1999999999998</v>
      </c>
      <c r="P3286">
        <f t="shared" si="51"/>
        <v>0.43623139377537218</v>
      </c>
    </row>
    <row r="3287" spans="1:16" hidden="1" x14ac:dyDescent="0.25">
      <c r="A3287">
        <v>0</v>
      </c>
      <c r="B3287">
        <v>20000</v>
      </c>
      <c r="C3287">
        <f>1.225 * (1 - 0.00000687559 * B3287) ^ 4.2561</f>
        <v>0.65267221054298263</v>
      </c>
      <c r="D3287">
        <f>E3287*(SQRT($C$2/C3287))</f>
        <v>273.99994721664137</v>
      </c>
      <c r="E3287">
        <v>200</v>
      </c>
      <c r="F3287">
        <v>987</v>
      </c>
      <c r="G3287">
        <v>2250</v>
      </c>
      <c r="H3287">
        <f>CONVERT(G3287,"HP","kW")</f>
        <v>1677.8247110601083</v>
      </c>
      <c r="I3287">
        <v>0.86199999999999999</v>
      </c>
      <c r="J3287">
        <v>2.1625000000000001</v>
      </c>
      <c r="K3287">
        <v>0.63519999999999999</v>
      </c>
      <c r="L3287">
        <v>0.59119999999999995</v>
      </c>
      <c r="M3287">
        <v>0.23569999999999999</v>
      </c>
      <c r="N3287">
        <f>CONVERT(O3287,"lbf","N")</f>
        <v>10260.26797775987</v>
      </c>
      <c r="O3287">
        <v>2306.6</v>
      </c>
      <c r="P3287">
        <f t="shared" si="51"/>
        <v>0.39868064952638704</v>
      </c>
    </row>
    <row r="3288" spans="1:16" hidden="1" x14ac:dyDescent="0.25">
      <c r="A3288">
        <v>0</v>
      </c>
      <c r="B3288">
        <v>20000</v>
      </c>
      <c r="C3288">
        <f>1.225 * (1 - 0.00000687559 * B3288) ^ 4.2561</f>
        <v>0.65267221054298263</v>
      </c>
      <c r="D3288">
        <f>E3288*(SQRT($C$2/C3288))</f>
        <v>301.39994193830552</v>
      </c>
      <c r="E3288">
        <v>220</v>
      </c>
      <c r="F3288">
        <v>987</v>
      </c>
      <c r="G3288">
        <v>2250</v>
      </c>
      <c r="H3288">
        <f>CONVERT(G3288,"HP","kW")</f>
        <v>1677.8247110601083</v>
      </c>
      <c r="I3288">
        <v>0.86780000000000002</v>
      </c>
      <c r="J3288">
        <v>2.3786999999999998</v>
      </c>
      <c r="K3288">
        <v>0.66749999999999998</v>
      </c>
      <c r="L3288">
        <v>0.59119999999999995</v>
      </c>
      <c r="M3288">
        <v>0.2157</v>
      </c>
      <c r="N3288">
        <f>CONVERT(O3288,"lbf","N")</f>
        <v>9390.6406519764405</v>
      </c>
      <c r="O3288">
        <v>2111.1</v>
      </c>
      <c r="P3288">
        <f t="shared" si="51"/>
        <v>0.36485115020297704</v>
      </c>
    </row>
    <row r="3289" spans="1:16" hidden="1" x14ac:dyDescent="0.25">
      <c r="A3289">
        <v>0</v>
      </c>
      <c r="B3289">
        <v>20000</v>
      </c>
      <c r="C3289">
        <f>1.225 * (1 - 0.00000687559 * B3289) ^ 4.2561</f>
        <v>0.65267221054298263</v>
      </c>
      <c r="D3289">
        <f>E3289*(SQRT($C$2/C3289))</f>
        <v>328.7999366599696</v>
      </c>
      <c r="E3289">
        <v>240</v>
      </c>
      <c r="F3289">
        <v>987</v>
      </c>
      <c r="G3289">
        <v>2250</v>
      </c>
      <c r="H3289">
        <f>CONVERT(G3289,"HP","kW")</f>
        <v>1677.8247110601083</v>
      </c>
      <c r="I3289">
        <v>0.86319999999999997</v>
      </c>
      <c r="J3289">
        <v>2.5950000000000002</v>
      </c>
      <c r="K3289">
        <v>0.70099999999999996</v>
      </c>
      <c r="L3289">
        <v>0.59119999999999995</v>
      </c>
      <c r="M3289">
        <v>0.1966</v>
      </c>
      <c r="N3289">
        <f>CONVERT(O3289,"lbf","N")</f>
        <v>8561.9369650534099</v>
      </c>
      <c r="O3289">
        <v>1924.8</v>
      </c>
      <c r="P3289">
        <f t="shared" si="51"/>
        <v>0.33254397834912047</v>
      </c>
    </row>
    <row r="3290" spans="1:16" hidden="1" x14ac:dyDescent="0.25">
      <c r="A3290">
        <v>0</v>
      </c>
      <c r="B3290">
        <v>20000</v>
      </c>
      <c r="C3290">
        <f>1.225 * (1 - 0.00000687559 * B3290) ^ 4.2561</f>
        <v>0.65267221054298263</v>
      </c>
      <c r="D3290">
        <f>E3290*(SQRT($C$2/C3290))</f>
        <v>136.99997360832069</v>
      </c>
      <c r="E3290">
        <v>100</v>
      </c>
      <c r="F3290">
        <v>987</v>
      </c>
      <c r="G3290">
        <v>2250</v>
      </c>
      <c r="H3290">
        <f>CONVERT(G3290,"HP","kW")</f>
        <v>1677.8247110601083</v>
      </c>
      <c r="I3290">
        <v>0.53849999999999998</v>
      </c>
      <c r="J3290">
        <v>1.0811999999999999</v>
      </c>
      <c r="K3290">
        <v>0.50209999999999999</v>
      </c>
      <c r="L3290">
        <v>0.59130000000000005</v>
      </c>
      <c r="M3290">
        <v>0.29449999999999998</v>
      </c>
      <c r="N3290">
        <f>CONVERT(O3290,"lbf","N")</f>
        <v>12819.774695180762</v>
      </c>
      <c r="O3290">
        <v>2882</v>
      </c>
      <c r="P3290">
        <f t="shared" si="51"/>
        <v>0.49805513275832902</v>
      </c>
    </row>
    <row r="3291" spans="1:16" hidden="1" x14ac:dyDescent="0.25">
      <c r="A3291">
        <v>0</v>
      </c>
      <c r="B3291">
        <v>30000</v>
      </c>
      <c r="C3291">
        <f>1.225 * (1 - 0.00000687559 * B3291) ^ 4.2561</f>
        <v>0.45828836225470948</v>
      </c>
      <c r="D3291">
        <f>E3291*(SQRT($C$2/C3291))</f>
        <v>130.79423945802586</v>
      </c>
      <c r="E3291">
        <v>80</v>
      </c>
      <c r="F3291">
        <v>1150</v>
      </c>
      <c r="G3291">
        <v>2500</v>
      </c>
      <c r="H3291">
        <f>CONVERT(G3291,"HP","kW")</f>
        <v>1864.2496789556756</v>
      </c>
      <c r="I3291">
        <v>0.35399999999999998</v>
      </c>
      <c r="J3291">
        <v>0.88590000000000002</v>
      </c>
      <c r="K3291">
        <v>0.5897</v>
      </c>
      <c r="L3291">
        <v>0.59130000000000005</v>
      </c>
      <c r="M3291">
        <v>0.23630000000000001</v>
      </c>
      <c r="N3291">
        <f>CONVERT(O3291,"lbf","N")</f>
        <v>9806.9941951648234</v>
      </c>
      <c r="O3291">
        <v>2204.6999999999998</v>
      </c>
      <c r="P3291">
        <f t="shared" si="51"/>
        <v>0.39962793844072381</v>
      </c>
    </row>
    <row r="3292" spans="1:16" hidden="1" x14ac:dyDescent="0.25">
      <c r="A3292">
        <v>0</v>
      </c>
      <c r="B3292">
        <v>30000</v>
      </c>
      <c r="C3292">
        <f>1.225 * (1 - 0.00000687559 * B3292) ^ 4.2561</f>
        <v>0.45828836225470948</v>
      </c>
      <c r="D3292">
        <f>E3292*(SQRT($C$2/C3292))</f>
        <v>163.49279932253233</v>
      </c>
      <c r="E3292">
        <v>100</v>
      </c>
      <c r="F3292">
        <v>1150</v>
      </c>
      <c r="G3292">
        <v>2500</v>
      </c>
      <c r="H3292">
        <f>CONVERT(G3292,"HP","kW")</f>
        <v>1864.2496789556756</v>
      </c>
      <c r="I3292">
        <v>0.53720000000000001</v>
      </c>
      <c r="J3292">
        <v>1.1073999999999999</v>
      </c>
      <c r="K3292">
        <v>0.61260000000000003</v>
      </c>
      <c r="L3292">
        <v>0.59130000000000005</v>
      </c>
      <c r="M3292">
        <v>0.28689999999999999</v>
      </c>
      <c r="N3292">
        <f>CONVERT(O3292,"lbf","N")</f>
        <v>11907.889264052357</v>
      </c>
      <c r="O3292">
        <v>2677</v>
      </c>
      <c r="P3292">
        <f t="shared" si="51"/>
        <v>0.48520209707424311</v>
      </c>
    </row>
    <row r="3293" spans="1:16" hidden="1" x14ac:dyDescent="0.25">
      <c r="A3293">
        <v>0</v>
      </c>
      <c r="B3293">
        <v>30000</v>
      </c>
      <c r="C3293">
        <f>1.225 * (1 - 0.00000687559 * B3293) ^ 4.2561</f>
        <v>0.45828836225470948</v>
      </c>
      <c r="D3293">
        <f>E3293*(SQRT($C$2/C3293))</f>
        <v>32.698559864506464</v>
      </c>
      <c r="E3293">
        <v>20</v>
      </c>
      <c r="F3293">
        <v>1150</v>
      </c>
      <c r="G3293">
        <v>2500</v>
      </c>
      <c r="H3293">
        <f>CONVERT(G3293,"HP","kW")</f>
        <v>1864.2496789556756</v>
      </c>
      <c r="I3293">
        <v>6.0199999999999997E-2</v>
      </c>
      <c r="J3293">
        <v>0.2215</v>
      </c>
      <c r="K3293">
        <v>0.54200000000000004</v>
      </c>
      <c r="L3293">
        <v>0.59140000000000004</v>
      </c>
      <c r="M3293">
        <v>0.16059999999999999</v>
      </c>
      <c r="N3293">
        <f>CONVERT(O3293,"lbf","N")</f>
        <v>6667.8842012754894</v>
      </c>
      <c r="O3293">
        <v>1499</v>
      </c>
      <c r="P3293">
        <f t="shared" si="51"/>
        <v>0.27155901251268172</v>
      </c>
    </row>
    <row r="3294" spans="1:16" hidden="1" x14ac:dyDescent="0.25">
      <c r="A3294">
        <v>0</v>
      </c>
      <c r="B3294">
        <v>30000</v>
      </c>
      <c r="C3294">
        <f>1.225 * (1 - 0.00000687559 * B3294) ^ 4.2561</f>
        <v>0.45828836225470948</v>
      </c>
      <c r="D3294">
        <f>E3294*(SQRT($C$2/C3294))</f>
        <v>65.397119729012928</v>
      </c>
      <c r="E3294">
        <v>40</v>
      </c>
      <c r="F3294">
        <v>1150</v>
      </c>
      <c r="G3294">
        <v>2500</v>
      </c>
      <c r="H3294">
        <f>CONVERT(G3294,"HP","kW")</f>
        <v>1864.2496789556756</v>
      </c>
      <c r="I3294">
        <v>0.12609999999999999</v>
      </c>
      <c r="J3294">
        <v>0.443</v>
      </c>
      <c r="K3294">
        <v>0.55689999999999995</v>
      </c>
      <c r="L3294">
        <v>0.59140000000000004</v>
      </c>
      <c r="M3294">
        <v>0.16830000000000001</v>
      </c>
      <c r="N3294">
        <f>CONVERT(O3294,"lbf","N")</f>
        <v>6985.9320467666148</v>
      </c>
      <c r="O3294">
        <v>1570.5</v>
      </c>
      <c r="P3294">
        <f t="shared" si="51"/>
        <v>0.28457896516739939</v>
      </c>
    </row>
    <row r="3295" spans="1:16" hidden="1" x14ac:dyDescent="0.25">
      <c r="A3295">
        <v>0</v>
      </c>
      <c r="B3295">
        <v>30000</v>
      </c>
      <c r="C3295">
        <f>1.225 * (1 - 0.00000687559 * B3295) ^ 4.2561</f>
        <v>0.45828836225470948</v>
      </c>
      <c r="D3295">
        <f>E3295*(SQRT($C$2/C3295))</f>
        <v>196.19135918703881</v>
      </c>
      <c r="E3295">
        <v>120</v>
      </c>
      <c r="F3295">
        <v>1150</v>
      </c>
      <c r="G3295">
        <v>2500</v>
      </c>
      <c r="H3295">
        <f>CONVERT(G3295,"HP","kW")</f>
        <v>1864.2496789556756</v>
      </c>
      <c r="I3295">
        <v>0.71589999999999998</v>
      </c>
      <c r="J3295">
        <v>1.3289</v>
      </c>
      <c r="K3295">
        <v>0.63990000000000002</v>
      </c>
      <c r="L3295">
        <v>0.59140000000000004</v>
      </c>
      <c r="M3295">
        <v>0.31859999999999999</v>
      </c>
      <c r="N3295">
        <f>CONVERT(O3295,"lbf","N")</f>
        <v>13223.228395684888</v>
      </c>
      <c r="O3295">
        <v>2972.7</v>
      </c>
      <c r="P3295">
        <f t="shared" si="51"/>
        <v>0.53872167737571863</v>
      </c>
    </row>
    <row r="3296" spans="1:16" hidden="1" x14ac:dyDescent="0.25">
      <c r="A3296">
        <v>0</v>
      </c>
      <c r="B3296">
        <v>30000</v>
      </c>
      <c r="C3296">
        <f>1.225 * (1 - 0.00000687559 * B3296) ^ 4.2561</f>
        <v>0.45828836225470948</v>
      </c>
      <c r="D3296">
        <f>E3296*(SQRT($C$2/C3296))</f>
        <v>228.88991905154526</v>
      </c>
      <c r="E3296">
        <v>140</v>
      </c>
      <c r="F3296">
        <v>1150</v>
      </c>
      <c r="G3296">
        <v>2500</v>
      </c>
      <c r="H3296">
        <f>CONVERT(G3296,"HP","kW")</f>
        <v>1864.2496789556756</v>
      </c>
      <c r="I3296">
        <v>0.79100000000000004</v>
      </c>
      <c r="J3296">
        <v>1.5504</v>
      </c>
      <c r="K3296">
        <v>0.67120000000000002</v>
      </c>
      <c r="L3296">
        <v>0.59140000000000004</v>
      </c>
      <c r="M3296">
        <v>0.30170000000000002</v>
      </c>
      <c r="N3296">
        <f>CONVERT(O3296,"lbf","N")</f>
        <v>12523.078313442886</v>
      </c>
      <c r="O3296">
        <v>2815.3</v>
      </c>
      <c r="P3296">
        <f t="shared" si="51"/>
        <v>0.51014541765302668</v>
      </c>
    </row>
    <row r="3297" spans="1:16" hidden="1" x14ac:dyDescent="0.25">
      <c r="A3297">
        <v>0</v>
      </c>
      <c r="B3297">
        <v>30000</v>
      </c>
      <c r="C3297">
        <f>1.225 * (1 - 0.00000687559 * B3297) ^ 4.2561</f>
        <v>0.45828836225470948</v>
      </c>
      <c r="D3297">
        <f>E3297*(SQRT($C$2/C3297))</f>
        <v>261.58847891605171</v>
      </c>
      <c r="E3297">
        <v>160</v>
      </c>
      <c r="F3297">
        <v>1150</v>
      </c>
      <c r="G3297">
        <v>2500</v>
      </c>
      <c r="H3297">
        <f>CONVERT(G3297,"HP","kW")</f>
        <v>1864.2496789556756</v>
      </c>
      <c r="I3297">
        <v>0.82589999999999997</v>
      </c>
      <c r="J3297">
        <v>1.7719</v>
      </c>
      <c r="K3297">
        <v>0.70540000000000003</v>
      </c>
      <c r="L3297">
        <v>0.59140000000000004</v>
      </c>
      <c r="M3297">
        <v>0.2757</v>
      </c>
      <c r="N3297">
        <f>CONVERT(O3297,"lbf","N")</f>
        <v>11441.715638773057</v>
      </c>
      <c r="O3297">
        <v>2572.1999999999998</v>
      </c>
      <c r="P3297">
        <f t="shared" si="51"/>
        <v>0.46618194115657757</v>
      </c>
    </row>
    <row r="3298" spans="1:16" hidden="1" x14ac:dyDescent="0.25">
      <c r="A3298">
        <v>0</v>
      </c>
      <c r="B3298">
        <v>30000</v>
      </c>
      <c r="C3298">
        <f>1.225 * (1 - 0.00000687559 * B3298) ^ 4.2561</f>
        <v>0.45828836225470948</v>
      </c>
      <c r="D3298">
        <f>E3298*(SQRT($C$2/C3298))</f>
        <v>294.28703878055819</v>
      </c>
      <c r="E3298">
        <v>180</v>
      </c>
      <c r="F3298">
        <v>1150</v>
      </c>
      <c r="G3298">
        <v>2500</v>
      </c>
      <c r="H3298">
        <f>CONVERT(G3298,"HP","kW")</f>
        <v>1864.2496789556756</v>
      </c>
      <c r="I3298">
        <v>0.84199999999999997</v>
      </c>
      <c r="J3298">
        <v>1.9934000000000001</v>
      </c>
      <c r="K3298">
        <v>0.74199999999999999</v>
      </c>
      <c r="L3298">
        <v>0.59140000000000004</v>
      </c>
      <c r="M3298">
        <v>0.24979999999999999</v>
      </c>
      <c r="N3298">
        <f>CONVERT(O3298,"lbf","N")</f>
        <v>10368.3597630107</v>
      </c>
      <c r="O3298">
        <v>2330.9</v>
      </c>
      <c r="P3298">
        <f t="shared" si="51"/>
        <v>0.4223875549543456</v>
      </c>
    </row>
    <row r="3299" spans="1:16" hidden="1" x14ac:dyDescent="0.25">
      <c r="A3299">
        <v>0</v>
      </c>
      <c r="B3299">
        <v>30000</v>
      </c>
      <c r="C3299">
        <f>1.225 * (1 - 0.00000687559 * B3299) ^ 4.2561</f>
        <v>0.45828836225470948</v>
      </c>
      <c r="D3299">
        <f>E3299*(SQRT($C$2/C3299))</f>
        <v>326.98559864506467</v>
      </c>
      <c r="E3299">
        <v>200</v>
      </c>
      <c r="F3299">
        <v>1150</v>
      </c>
      <c r="G3299">
        <v>2500</v>
      </c>
      <c r="H3299">
        <f>CONVERT(G3299,"HP","kW")</f>
        <v>1864.2496789556756</v>
      </c>
      <c r="I3299">
        <v>0.82640000000000002</v>
      </c>
      <c r="J3299">
        <v>2.2149000000000001</v>
      </c>
      <c r="K3299">
        <v>0.78059999999999996</v>
      </c>
      <c r="L3299">
        <v>0.59140000000000004</v>
      </c>
      <c r="M3299">
        <v>0.22070000000000001</v>
      </c>
      <c r="N3299">
        <f>CONVERT(O3299,"lbf","N")</f>
        <v>9158.4434836598448</v>
      </c>
      <c r="O3299">
        <v>2058.9</v>
      </c>
      <c r="P3299">
        <f t="shared" si="51"/>
        <v>0.37318227933716602</v>
      </c>
    </row>
    <row r="3300" spans="1:16" hidden="1" x14ac:dyDescent="0.25">
      <c r="A3300">
        <v>0</v>
      </c>
      <c r="B3300">
        <v>30000</v>
      </c>
      <c r="C3300">
        <f>1.225 * (1 - 0.00000687559 * B3300) ^ 4.2561</f>
        <v>0.45828836225470948</v>
      </c>
      <c r="D3300">
        <f>E3300*(SQRT($C$2/C3300))</f>
        <v>359.68415850957115</v>
      </c>
      <c r="E3300">
        <v>220</v>
      </c>
      <c r="F3300">
        <v>1150</v>
      </c>
      <c r="G3300">
        <v>2500</v>
      </c>
      <c r="H3300">
        <f>CONVERT(G3300,"HP","kW")</f>
        <v>1864.2496789556756</v>
      </c>
      <c r="I3300">
        <v>0.78539999999999999</v>
      </c>
      <c r="J3300">
        <v>2.4363999999999999</v>
      </c>
      <c r="K3300">
        <v>0.82120000000000004</v>
      </c>
      <c r="L3300">
        <v>0.59140000000000004</v>
      </c>
      <c r="M3300">
        <v>0.19059999999999999</v>
      </c>
      <c r="N3300">
        <f>CONVERT(O3300,"lbf","N")</f>
        <v>7912.9414313869038</v>
      </c>
      <c r="O3300">
        <v>1778.9</v>
      </c>
      <c r="P3300">
        <f t="shared" si="51"/>
        <v>0.32228610077781533</v>
      </c>
    </row>
    <row r="3301" spans="1:16" hidden="1" x14ac:dyDescent="0.25">
      <c r="A3301">
        <v>0</v>
      </c>
      <c r="B3301">
        <v>30000</v>
      </c>
      <c r="C3301">
        <f>1.225 * (1 - 0.00000687559 * B3301) ^ 4.2561</f>
        <v>0.45828836225470948</v>
      </c>
      <c r="D3301">
        <f>E3301*(SQRT($C$2/C3301))</f>
        <v>392.38271837407763</v>
      </c>
      <c r="E3301">
        <v>240</v>
      </c>
      <c r="F3301">
        <v>1150</v>
      </c>
      <c r="G3301">
        <v>2500</v>
      </c>
      <c r="H3301">
        <f>CONVERT(G3301,"HP","kW")</f>
        <v>1864.2496789556756</v>
      </c>
      <c r="I3301">
        <v>0.67730000000000001</v>
      </c>
      <c r="J3301">
        <v>2.6577999999999999</v>
      </c>
      <c r="K3301">
        <v>0.86360000000000003</v>
      </c>
      <c r="L3301">
        <v>0.59140000000000004</v>
      </c>
      <c r="M3301">
        <v>0.1507</v>
      </c>
      <c r="N3301">
        <f>CONVERT(O3301,"lbf","N")</f>
        <v>6255.5340575408409</v>
      </c>
      <c r="O3301">
        <v>1406.3</v>
      </c>
      <c r="P3301">
        <f t="shared" si="51"/>
        <v>0.25481907338518767</v>
      </c>
    </row>
    <row r="3302" spans="1:16" hidden="1" x14ac:dyDescent="0.25">
      <c r="A3302">
        <v>0</v>
      </c>
      <c r="B3302">
        <v>30000</v>
      </c>
      <c r="C3302">
        <f>1.225 * (1 - 0.00000687559 * B3302) ^ 4.2561</f>
        <v>0.45828836225470948</v>
      </c>
      <c r="D3302">
        <f>E3302*(SQRT($C$2/C3302))</f>
        <v>425.08127823858405</v>
      </c>
      <c r="E3302">
        <v>260</v>
      </c>
      <c r="F3302">
        <v>1150</v>
      </c>
      <c r="G3302">
        <v>2500</v>
      </c>
      <c r="H3302">
        <f>CONVERT(G3302,"HP","kW")</f>
        <v>1864.2496789556756</v>
      </c>
      <c r="I3302">
        <v>0.50060000000000004</v>
      </c>
      <c r="J3302">
        <v>2.8793000000000002</v>
      </c>
      <c r="K3302">
        <v>0.90710000000000002</v>
      </c>
      <c r="L3302">
        <v>0.59140000000000004</v>
      </c>
      <c r="M3302">
        <v>0.1028</v>
      </c>
      <c r="N3302">
        <f>CONVERT(O3302,"lbf","N")</f>
        <v>4267.6238176809238</v>
      </c>
      <c r="O3302">
        <v>959.4</v>
      </c>
      <c r="P3302">
        <f t="shared" si="51"/>
        <v>0.17382482245519107</v>
      </c>
    </row>
    <row r="3303" spans="1:16" hidden="1" x14ac:dyDescent="0.25">
      <c r="A3303">
        <v>0</v>
      </c>
      <c r="B3303">
        <v>30000</v>
      </c>
      <c r="C3303">
        <f>1.225 * (1 - 0.00000687559 * B3303) ^ 4.2561</f>
        <v>0.45828836225470948</v>
      </c>
      <c r="D3303">
        <f>E3303*(SQRT($C$2/C3303))</f>
        <v>98.095679593519407</v>
      </c>
      <c r="E3303">
        <v>60</v>
      </c>
      <c r="F3303">
        <v>1150</v>
      </c>
      <c r="G3303">
        <v>2500</v>
      </c>
      <c r="H3303">
        <f>CONVERT(G3303,"HP","kW")</f>
        <v>1864.2496789556756</v>
      </c>
      <c r="I3303">
        <v>0.20480000000000001</v>
      </c>
      <c r="J3303">
        <v>0.66449999999999998</v>
      </c>
      <c r="K3303">
        <v>0.57140000000000002</v>
      </c>
      <c r="L3303">
        <v>0.59209999999999996</v>
      </c>
      <c r="M3303">
        <v>0.1825</v>
      </c>
      <c r="N3303">
        <f>CONVERT(O3303,"lbf","N")</f>
        <v>7566.4249675581113</v>
      </c>
      <c r="O3303">
        <v>1701</v>
      </c>
      <c r="P3303">
        <f t="shared" si="51"/>
        <v>0.30822496199966221</v>
      </c>
    </row>
    <row r="3304" spans="1:16" hidden="1" x14ac:dyDescent="0.25">
      <c r="A3304">
        <v>0</v>
      </c>
      <c r="B3304">
        <v>15000</v>
      </c>
      <c r="C3304">
        <f>1.225 * (1 - 0.00000687559 * B3304) ^ 4.2561</f>
        <v>0.77079726910167001</v>
      </c>
      <c r="D3304">
        <f>E3304*(SQRT($C$2/C3304))</f>
        <v>126.06599638766529</v>
      </c>
      <c r="E3304">
        <v>100</v>
      </c>
      <c r="F3304">
        <v>987</v>
      </c>
      <c r="G3304">
        <v>2750</v>
      </c>
      <c r="H3304">
        <f>CONVERT(G3304,"HP","kW")</f>
        <v>2050.6746468512433</v>
      </c>
      <c r="I3304">
        <v>0.40039999999999998</v>
      </c>
      <c r="J3304">
        <v>0.995</v>
      </c>
      <c r="K3304">
        <v>0.48520000000000002</v>
      </c>
      <c r="L3304">
        <v>0.61109999999999998</v>
      </c>
      <c r="M3304">
        <v>0.24590000000000001</v>
      </c>
      <c r="N3304">
        <f>CONVERT(O3304,"lbf","N")</f>
        <v>12660.973183515962</v>
      </c>
      <c r="O3304">
        <v>2846.3</v>
      </c>
      <c r="P3304">
        <f t="shared" si="51"/>
        <v>0.40238913434789725</v>
      </c>
    </row>
    <row r="3305" spans="1:16" hidden="1" x14ac:dyDescent="0.25">
      <c r="A3305">
        <v>0</v>
      </c>
      <c r="B3305">
        <v>15000</v>
      </c>
      <c r="C3305">
        <f>1.225 * (1 - 0.00000687559 * B3305) ^ 4.2561</f>
        <v>0.77079726910167001</v>
      </c>
      <c r="D3305">
        <f>E3305*(SQRT($C$2/C3305))</f>
        <v>176.49239494273141</v>
      </c>
      <c r="E3305">
        <v>140</v>
      </c>
      <c r="F3305">
        <v>987</v>
      </c>
      <c r="G3305">
        <v>2750</v>
      </c>
      <c r="H3305">
        <f>CONVERT(G3305,"HP","kW")</f>
        <v>2050.6746468512433</v>
      </c>
      <c r="I3305">
        <v>0.75170000000000003</v>
      </c>
      <c r="J3305">
        <v>1.3929</v>
      </c>
      <c r="K3305">
        <v>0.52370000000000005</v>
      </c>
      <c r="L3305">
        <v>0.61129999999999995</v>
      </c>
      <c r="M3305">
        <v>0.32990000000000003</v>
      </c>
      <c r="N3305">
        <f>CONVERT(O3305,"lbf","N")</f>
        <v>16977.082616803225</v>
      </c>
      <c r="O3305">
        <v>3816.6</v>
      </c>
      <c r="P3305">
        <f t="shared" si="51"/>
        <v>0.53966955668248007</v>
      </c>
    </row>
    <row r="3306" spans="1:16" hidden="1" x14ac:dyDescent="0.25">
      <c r="A3306">
        <v>0</v>
      </c>
      <c r="B3306">
        <v>15000</v>
      </c>
      <c r="C3306">
        <f>1.225 * (1 - 0.00000687559 * B3306) ^ 4.2561</f>
        <v>0.77079726910167001</v>
      </c>
      <c r="D3306">
        <f>E3306*(SQRT($C$2/C3306))</f>
        <v>226.91879349779754</v>
      </c>
      <c r="E3306">
        <v>180</v>
      </c>
      <c r="F3306">
        <v>987</v>
      </c>
      <c r="G3306">
        <v>2750</v>
      </c>
      <c r="H3306">
        <f>CONVERT(G3306,"HP","kW")</f>
        <v>2050.6746468512433</v>
      </c>
      <c r="I3306">
        <v>0.83160000000000001</v>
      </c>
      <c r="J3306">
        <v>1.7908999999999999</v>
      </c>
      <c r="K3306">
        <v>0.57199999999999995</v>
      </c>
      <c r="L3306">
        <v>0.61140000000000005</v>
      </c>
      <c r="M3306">
        <v>0.28389999999999999</v>
      </c>
      <c r="N3306">
        <f>CONVERT(O3306,"lbf","N")</f>
        <v>14608.404606677008</v>
      </c>
      <c r="O3306">
        <v>3284.1</v>
      </c>
      <c r="P3306">
        <f t="shared" si="51"/>
        <v>0.46434412823029109</v>
      </c>
    </row>
    <row r="3307" spans="1:16" hidden="1" x14ac:dyDescent="0.25">
      <c r="A3307">
        <v>0</v>
      </c>
      <c r="B3307">
        <v>15000</v>
      </c>
      <c r="C3307">
        <f>1.225 * (1 - 0.00000687559 * B3307) ^ 4.2561</f>
        <v>0.77079726910167001</v>
      </c>
      <c r="D3307">
        <f>E3307*(SQRT($C$2/C3307))</f>
        <v>100.85279711013223</v>
      </c>
      <c r="E3307">
        <v>80</v>
      </c>
      <c r="F3307">
        <v>987</v>
      </c>
      <c r="G3307">
        <v>2750</v>
      </c>
      <c r="H3307">
        <f>CONVERT(G3307,"HP","kW")</f>
        <v>2050.6746468512433</v>
      </c>
      <c r="I3307">
        <v>0.1215</v>
      </c>
      <c r="J3307">
        <v>0.79600000000000004</v>
      </c>
      <c r="K3307">
        <v>0.44979999999999998</v>
      </c>
      <c r="L3307">
        <v>0.61160000000000003</v>
      </c>
      <c r="M3307">
        <v>9.3299999999999994E-2</v>
      </c>
      <c r="N3307">
        <f>CONVERT(O3307,"lbf","N")</f>
        <v>4801.4104115121845</v>
      </c>
      <c r="O3307">
        <v>1079.4000000000001</v>
      </c>
      <c r="P3307">
        <f t="shared" si="51"/>
        <v>0.15255068672334857</v>
      </c>
    </row>
    <row r="3308" spans="1:16" hidden="1" x14ac:dyDescent="0.25">
      <c r="A3308">
        <v>0</v>
      </c>
      <c r="B3308">
        <v>15000</v>
      </c>
      <c r="C3308">
        <f>1.225 * (1 - 0.00000687559 * B3308) ^ 4.2561</f>
        <v>0.77079726910167001</v>
      </c>
      <c r="D3308">
        <f>E3308*(SQRT($C$2/C3308))</f>
        <v>201.70559422026446</v>
      </c>
      <c r="E3308">
        <v>160</v>
      </c>
      <c r="F3308">
        <v>987</v>
      </c>
      <c r="G3308">
        <v>2750</v>
      </c>
      <c r="H3308">
        <f>CONVERT(G3308,"HP","kW")</f>
        <v>2050.6746468512433</v>
      </c>
      <c r="I3308">
        <v>0.80420000000000003</v>
      </c>
      <c r="J3308">
        <v>1.5919000000000001</v>
      </c>
      <c r="K3308">
        <v>0.54700000000000004</v>
      </c>
      <c r="L3308">
        <v>0.61180000000000001</v>
      </c>
      <c r="M3308">
        <v>0.30909999999999999</v>
      </c>
      <c r="N3308">
        <f>CONVERT(O3308,"lbf","N")</f>
        <v>15893.495831325767</v>
      </c>
      <c r="O3308">
        <v>3573</v>
      </c>
      <c r="P3308">
        <f t="shared" si="51"/>
        <v>0.50523046747303035</v>
      </c>
    </row>
    <row r="3309" spans="1:16" hidden="1" x14ac:dyDescent="0.25">
      <c r="A3309">
        <v>0</v>
      </c>
      <c r="B3309">
        <v>15000</v>
      </c>
      <c r="C3309">
        <f>1.225 * (1 - 0.00000687559 * B3309) ^ 4.2561</f>
        <v>0.77079726910167001</v>
      </c>
      <c r="D3309">
        <f>E3309*(SQRT($C$2/C3309))</f>
        <v>277.34519205286364</v>
      </c>
      <c r="E3309">
        <v>220</v>
      </c>
      <c r="F3309">
        <v>987</v>
      </c>
      <c r="G3309">
        <v>2750</v>
      </c>
      <c r="H3309">
        <f>CONVERT(G3309,"HP","kW")</f>
        <v>2050.6746468512433</v>
      </c>
      <c r="I3309">
        <v>0.86050000000000004</v>
      </c>
      <c r="J3309">
        <v>2.1888999999999998</v>
      </c>
      <c r="K3309">
        <v>0.62660000000000005</v>
      </c>
      <c r="L3309">
        <v>0.61180000000000001</v>
      </c>
      <c r="M3309">
        <v>0.24049999999999999</v>
      </c>
      <c r="N3309">
        <f>CONVERT(O3309,"lbf","N")</f>
        <v>12368.280201231821</v>
      </c>
      <c r="O3309">
        <v>2780.5</v>
      </c>
      <c r="P3309">
        <f t="shared" si="51"/>
        <v>0.39310232101994114</v>
      </c>
    </row>
    <row r="3310" spans="1:16" hidden="1" x14ac:dyDescent="0.25">
      <c r="A3310">
        <v>0</v>
      </c>
      <c r="B3310">
        <v>15000</v>
      </c>
      <c r="C3310">
        <f>1.225 * (1 - 0.00000687559 * B3310) ^ 4.2561</f>
        <v>0.77079726910167001</v>
      </c>
      <c r="D3310">
        <f>E3310*(SQRT($C$2/C3310))</f>
        <v>302.55839133039672</v>
      </c>
      <c r="E3310">
        <v>240</v>
      </c>
      <c r="F3310">
        <v>987</v>
      </c>
      <c r="G3310">
        <v>2750</v>
      </c>
      <c r="H3310">
        <f>CONVERT(G3310,"HP","kW")</f>
        <v>2050.6746468512433</v>
      </c>
      <c r="I3310">
        <v>0.86609999999999998</v>
      </c>
      <c r="J3310">
        <v>2.3879000000000001</v>
      </c>
      <c r="K3310">
        <v>0.65590000000000004</v>
      </c>
      <c r="L3310">
        <v>0.61180000000000001</v>
      </c>
      <c r="M3310">
        <v>0.22189999999999999</v>
      </c>
      <c r="N3310">
        <f>CONVERT(O3310,"lbf","N")</f>
        <v>11410.578087466236</v>
      </c>
      <c r="O3310">
        <v>2565.1999999999998</v>
      </c>
      <c r="P3310">
        <f t="shared" si="51"/>
        <v>0.36270022883295194</v>
      </c>
    </row>
    <row r="3311" spans="1:16" hidden="1" x14ac:dyDescent="0.25">
      <c r="A3311">
        <v>0</v>
      </c>
      <c r="B3311">
        <v>15000</v>
      </c>
      <c r="C3311">
        <f>1.225 * (1 - 0.00000687559 * B3311) ^ 4.2561</f>
        <v>0.77079726910167001</v>
      </c>
      <c r="D3311">
        <f>E3311*(SQRT($C$2/C3311))</f>
        <v>327.77159060792974</v>
      </c>
      <c r="E3311">
        <v>260</v>
      </c>
      <c r="F3311">
        <v>987</v>
      </c>
      <c r="G3311">
        <v>2750</v>
      </c>
      <c r="H3311">
        <f>CONVERT(G3311,"HP","kW")</f>
        <v>2050.6746468512433</v>
      </c>
      <c r="I3311">
        <v>0.86229999999999996</v>
      </c>
      <c r="J3311">
        <v>2.5869</v>
      </c>
      <c r="K3311">
        <v>0.68620000000000003</v>
      </c>
      <c r="L3311">
        <v>0.61180000000000001</v>
      </c>
      <c r="M3311">
        <v>0.2039</v>
      </c>
      <c r="N3311">
        <f>CONVERT(O3311,"lbf","N")</f>
        <v>10486.237635815103</v>
      </c>
      <c r="O3311">
        <v>2357.4</v>
      </c>
      <c r="P3311">
        <f t="shared" si="51"/>
        <v>0.3332788492971559</v>
      </c>
    </row>
    <row r="3312" spans="1:16" hidden="1" x14ac:dyDescent="0.25">
      <c r="A3312" s="4">
        <v>0</v>
      </c>
      <c r="B3312" s="4">
        <v>15000</v>
      </c>
      <c r="C3312" s="4">
        <f>1.225 * (1 - 0.00000687559 * B3312) ^ 4.2561</f>
        <v>0.77079726910167001</v>
      </c>
      <c r="D3312" s="4">
        <f>E3312*(SQRT($C$2/C3312))</f>
        <v>252.13199277533059</v>
      </c>
      <c r="E3312" s="4">
        <v>200</v>
      </c>
      <c r="F3312" s="4">
        <v>987</v>
      </c>
      <c r="G3312" s="4">
        <v>2750</v>
      </c>
      <c r="H3312" s="4">
        <f>CONVERT(G3312,"HP","kW")</f>
        <v>2050.6746468512433</v>
      </c>
      <c r="I3312" s="4">
        <v>0.84899999999999998</v>
      </c>
      <c r="J3312" s="4">
        <v>1.9899</v>
      </c>
      <c r="K3312" s="4">
        <v>0.59860000000000002</v>
      </c>
      <c r="L3312" s="4">
        <v>0.6119</v>
      </c>
      <c r="M3312" s="4">
        <v>0.26100000000000001</v>
      </c>
      <c r="N3312" s="4">
        <f>CONVERT(O3312,"lbf","N")</f>
        <v>13422.063901887033</v>
      </c>
      <c r="O3312" s="4">
        <v>3017.4</v>
      </c>
      <c r="P3312">
        <f t="shared" si="51"/>
        <v>0.42654028436018959</v>
      </c>
    </row>
    <row r="3313" spans="1:16" hidden="1" x14ac:dyDescent="0.25">
      <c r="A3313">
        <v>0</v>
      </c>
      <c r="B3313">
        <v>15000</v>
      </c>
      <c r="C3313">
        <f>1.225 * (1 - 0.00000687559 * B3313) ^ 4.2561</f>
        <v>0.77079726910167001</v>
      </c>
      <c r="D3313">
        <f>E3313*(SQRT($C$2/C3313))</f>
        <v>25.213199277533057</v>
      </c>
      <c r="E3313">
        <v>20</v>
      </c>
      <c r="F3313">
        <v>987</v>
      </c>
      <c r="G3313">
        <v>2750</v>
      </c>
      <c r="H3313">
        <f>CONVERT(G3313,"HP","kW")</f>
        <v>2050.6746468512433</v>
      </c>
      <c r="I3313">
        <v>-8.3599999999999994E-2</v>
      </c>
      <c r="J3313">
        <v>0.19900000000000001</v>
      </c>
      <c r="K3313">
        <v>0.42959999999999998</v>
      </c>
      <c r="L3313">
        <v>0.61199999999999999</v>
      </c>
      <c r="M3313">
        <v>-0.25700000000000001</v>
      </c>
      <c r="N3313">
        <f>CONVERT(O3313,"lbf","N")</f>
        <v>-13213.442308131316</v>
      </c>
      <c r="O3313">
        <v>-2970.5</v>
      </c>
      <c r="P3313">
        <f t="shared" si="51"/>
        <v>-0.41993464052287582</v>
      </c>
    </row>
    <row r="3314" spans="1:16" hidden="1" x14ac:dyDescent="0.25">
      <c r="A3314">
        <v>0</v>
      </c>
      <c r="B3314">
        <v>15000</v>
      </c>
      <c r="C3314">
        <f>1.225 * (1 - 0.00000687559 * B3314) ^ 4.2561</f>
        <v>0.77079726910167001</v>
      </c>
      <c r="D3314">
        <f>E3314*(SQRT($C$2/C3314))</f>
        <v>151.27919566519836</v>
      </c>
      <c r="E3314">
        <v>120</v>
      </c>
      <c r="F3314">
        <v>987</v>
      </c>
      <c r="G3314">
        <v>2750</v>
      </c>
      <c r="H3314">
        <f>CONVERT(G3314,"HP","kW")</f>
        <v>2050.6746468512433</v>
      </c>
      <c r="I3314">
        <v>0.61250000000000004</v>
      </c>
      <c r="J3314">
        <v>1.1939</v>
      </c>
      <c r="K3314">
        <v>0.50290000000000001</v>
      </c>
      <c r="L3314">
        <v>0.61240000000000006</v>
      </c>
      <c r="M3314">
        <v>0.31419999999999998</v>
      </c>
      <c r="N3314">
        <f>CONVERT(O3314,"lbf","N")</f>
        <v>16139.037664488147</v>
      </c>
      <c r="O3314">
        <v>3628.2</v>
      </c>
      <c r="P3314">
        <f t="shared" si="51"/>
        <v>0.5130633572828216</v>
      </c>
    </row>
    <row r="3315" spans="1:16" hidden="1" x14ac:dyDescent="0.25">
      <c r="A3315">
        <v>0</v>
      </c>
      <c r="B3315">
        <v>25000</v>
      </c>
      <c r="C3315">
        <f>1.225 * (1 - 0.00000687559 * B3315) ^ 4.2561</f>
        <v>0.54892259437885793</v>
      </c>
      <c r="D3315">
        <f>E3315*(SQRT($C$2/C3315))</f>
        <v>179.26426993092403</v>
      </c>
      <c r="E3315">
        <v>120</v>
      </c>
      <c r="F3315">
        <v>987</v>
      </c>
      <c r="G3315">
        <v>2000</v>
      </c>
      <c r="H3315">
        <f>CONVERT(G3315,"HP","kW")</f>
        <v>1491.3997431645405</v>
      </c>
      <c r="I3315">
        <v>0.74919999999999998</v>
      </c>
      <c r="J3315">
        <v>1.4148000000000001</v>
      </c>
      <c r="K3315">
        <v>0.54749999999999999</v>
      </c>
      <c r="L3315">
        <v>0.62429999999999997</v>
      </c>
      <c r="M3315">
        <v>0.3306</v>
      </c>
      <c r="N3315">
        <f>CONVERT(O3315,"lbf","N")</f>
        <v>12116.066035646551</v>
      </c>
      <c r="O3315">
        <v>2723.8</v>
      </c>
      <c r="P3315">
        <f t="shared" si="51"/>
        <v>0.52955309947140805</v>
      </c>
    </row>
    <row r="3316" spans="1:16" hidden="1" x14ac:dyDescent="0.25">
      <c r="A3316">
        <v>0</v>
      </c>
      <c r="B3316">
        <v>25000</v>
      </c>
      <c r="C3316">
        <f>1.225 * (1 - 0.00000687559 * B3316) ^ 4.2561</f>
        <v>0.54892259437885793</v>
      </c>
      <c r="D3316">
        <f>E3316*(SQRT($C$2/C3316))</f>
        <v>119.50951328728269</v>
      </c>
      <c r="E3316">
        <v>80</v>
      </c>
      <c r="F3316">
        <v>987</v>
      </c>
      <c r="G3316">
        <v>2000</v>
      </c>
      <c r="H3316">
        <f>CONVERT(G3316,"HP","kW")</f>
        <v>1491.3997431645405</v>
      </c>
      <c r="I3316">
        <v>0.25800000000000001</v>
      </c>
      <c r="J3316">
        <v>0.94320000000000004</v>
      </c>
      <c r="K3316">
        <v>0.50129999999999997</v>
      </c>
      <c r="L3316">
        <v>0.62439999999999996</v>
      </c>
      <c r="M3316">
        <v>0.17080000000000001</v>
      </c>
      <c r="N3316">
        <f>CONVERT(O3316,"lbf","N")</f>
        <v>6259.5374569945761</v>
      </c>
      <c r="O3316">
        <v>1407.2</v>
      </c>
      <c r="P3316">
        <f t="shared" si="51"/>
        <v>0.273542600896861</v>
      </c>
    </row>
    <row r="3317" spans="1:16" hidden="1" x14ac:dyDescent="0.25">
      <c r="A3317">
        <v>0</v>
      </c>
      <c r="B3317">
        <v>25000</v>
      </c>
      <c r="C3317">
        <f>1.225 * (1 - 0.00000687559 * B3317) ^ 4.2561</f>
        <v>0.54892259437885793</v>
      </c>
      <c r="D3317">
        <f>E3317*(SQRT($C$2/C3317))</f>
        <v>209.14164825274472</v>
      </c>
      <c r="E3317">
        <v>140</v>
      </c>
      <c r="F3317">
        <v>987</v>
      </c>
      <c r="G3317">
        <v>2000</v>
      </c>
      <c r="H3317">
        <f>CONVERT(G3317,"HP","kW")</f>
        <v>1491.3997431645405</v>
      </c>
      <c r="I3317">
        <v>0.80930000000000002</v>
      </c>
      <c r="J3317">
        <v>1.6506000000000001</v>
      </c>
      <c r="K3317">
        <v>0.5766</v>
      </c>
      <c r="L3317">
        <v>0.62470000000000003</v>
      </c>
      <c r="M3317">
        <v>0.30630000000000002</v>
      </c>
      <c r="N3317">
        <f>CONVERT(O3317,"lbf","N")</f>
        <v>11218.859735848508</v>
      </c>
      <c r="O3317">
        <v>2522.1</v>
      </c>
      <c r="P3317">
        <f t="shared" si="51"/>
        <v>0.49031535136865695</v>
      </c>
    </row>
    <row r="3318" spans="1:16" hidden="1" x14ac:dyDescent="0.25">
      <c r="A3318">
        <v>0</v>
      </c>
      <c r="B3318">
        <v>25000</v>
      </c>
      <c r="C3318">
        <f>1.225 * (1 - 0.00000687559 * B3318) ^ 4.2561</f>
        <v>0.54892259437885793</v>
      </c>
      <c r="D3318">
        <f>E3318*(SQRT($C$2/C3318))</f>
        <v>328.65116154002743</v>
      </c>
      <c r="E3318">
        <v>220</v>
      </c>
      <c r="F3318">
        <v>987</v>
      </c>
      <c r="G3318">
        <v>2000</v>
      </c>
      <c r="H3318">
        <f>CONVERT(G3318,"HP","kW")</f>
        <v>1491.3997431645405</v>
      </c>
      <c r="I3318">
        <v>0.85619999999999996</v>
      </c>
      <c r="J3318">
        <v>2.5937999999999999</v>
      </c>
      <c r="K3318">
        <v>0.71519999999999995</v>
      </c>
      <c r="L3318">
        <v>0.62470000000000003</v>
      </c>
      <c r="M3318">
        <v>0.20619999999999999</v>
      </c>
      <c r="N3318">
        <f>CONVERT(O3318,"lbf","N")</f>
        <v>7552.6354805508045</v>
      </c>
      <c r="O3318">
        <v>1697.9</v>
      </c>
      <c r="P3318">
        <f t="shared" si="51"/>
        <v>0.330078437650072</v>
      </c>
    </row>
    <row r="3319" spans="1:16" hidden="1" x14ac:dyDescent="0.25">
      <c r="A3319">
        <v>0</v>
      </c>
      <c r="B3319">
        <v>25000</v>
      </c>
      <c r="C3319">
        <f>1.225 * (1 - 0.00000687559 * B3319) ^ 4.2561</f>
        <v>0.54892259437885793</v>
      </c>
      <c r="D3319">
        <f>E3319*(SQRT($C$2/C3319))</f>
        <v>388.40591818366875</v>
      </c>
      <c r="E3319">
        <v>260</v>
      </c>
      <c r="F3319">
        <v>987</v>
      </c>
      <c r="G3319">
        <v>2000</v>
      </c>
      <c r="H3319">
        <f>CONVERT(G3319,"HP","kW")</f>
        <v>1491.3997431645405</v>
      </c>
      <c r="I3319">
        <v>0.75919999999999999</v>
      </c>
      <c r="J3319">
        <v>3.0653999999999999</v>
      </c>
      <c r="K3319">
        <v>0.79379999999999995</v>
      </c>
      <c r="L3319">
        <v>0.62470000000000003</v>
      </c>
      <c r="M3319">
        <v>0.1547</v>
      </c>
      <c r="N3319">
        <f>CONVERT(O3319,"lbf","N")</f>
        <v>5667.0343378418765</v>
      </c>
      <c r="O3319">
        <v>1274</v>
      </c>
      <c r="P3319">
        <f t="shared" si="51"/>
        <v>0.24763886665599488</v>
      </c>
    </row>
    <row r="3320" spans="1:16" hidden="1" x14ac:dyDescent="0.25">
      <c r="A3320">
        <v>0</v>
      </c>
      <c r="B3320">
        <v>25000</v>
      </c>
      <c r="C3320">
        <f>1.225 * (1 - 0.00000687559 * B3320) ^ 4.2561</f>
        <v>0.54892259437885793</v>
      </c>
      <c r="D3320">
        <f>E3320*(SQRT($C$2/C3320))</f>
        <v>268.89640489638606</v>
      </c>
      <c r="E3320">
        <v>180</v>
      </c>
      <c r="F3320">
        <v>987</v>
      </c>
      <c r="G3320">
        <v>2000</v>
      </c>
      <c r="H3320">
        <f>CONVERT(G3320,"HP","kW")</f>
        <v>1491.3997431645405</v>
      </c>
      <c r="I3320">
        <v>0.85429999999999995</v>
      </c>
      <c r="J3320">
        <v>2.1221999999999999</v>
      </c>
      <c r="K3320">
        <v>0.64219999999999999</v>
      </c>
      <c r="L3320">
        <v>0.62480000000000002</v>
      </c>
      <c r="M3320">
        <v>0.2515</v>
      </c>
      <c r="N3320">
        <f>CONVERT(O3320,"lbf","N")</f>
        <v>9210.9324987199161</v>
      </c>
      <c r="O3320">
        <v>2070.6999999999998</v>
      </c>
      <c r="P3320">
        <f t="shared" si="51"/>
        <v>0.40252880921895007</v>
      </c>
    </row>
    <row r="3321" spans="1:16" hidden="1" x14ac:dyDescent="0.25">
      <c r="A3321">
        <v>0</v>
      </c>
      <c r="B3321">
        <v>25000</v>
      </c>
      <c r="C3321">
        <f>1.225 * (1 - 0.00000687559 * B3321) ^ 4.2561</f>
        <v>0.54892259437885793</v>
      </c>
      <c r="D3321">
        <f>E3321*(SQRT($C$2/C3321))</f>
        <v>298.77378321820675</v>
      </c>
      <c r="E3321">
        <v>200</v>
      </c>
      <c r="F3321">
        <v>987</v>
      </c>
      <c r="G3321">
        <v>2000</v>
      </c>
      <c r="H3321">
        <f>CONVERT(G3321,"HP","kW")</f>
        <v>1491.3997431645405</v>
      </c>
      <c r="I3321">
        <v>0.86170000000000002</v>
      </c>
      <c r="J3321">
        <v>2.3580000000000001</v>
      </c>
      <c r="K3321">
        <v>0.67789999999999995</v>
      </c>
      <c r="L3321">
        <v>0.62480000000000002</v>
      </c>
      <c r="M3321">
        <v>0.2283</v>
      </c>
      <c r="N3321">
        <f>CONVERT(O3321,"lbf","N")</f>
        <v>8361.3221702051633</v>
      </c>
      <c r="O3321">
        <v>1879.7</v>
      </c>
      <c r="P3321">
        <f t="shared" si="51"/>
        <v>0.36539692701664533</v>
      </c>
    </row>
    <row r="3322" spans="1:16" hidden="1" x14ac:dyDescent="0.25">
      <c r="A3322">
        <v>0</v>
      </c>
      <c r="B3322">
        <v>25000</v>
      </c>
      <c r="C3322">
        <f>1.225 * (1 - 0.00000687559 * B3322) ^ 4.2561</f>
        <v>0.54892259437885793</v>
      </c>
      <c r="D3322">
        <f>E3322*(SQRT($C$2/C3322))</f>
        <v>358.52853986184806</v>
      </c>
      <c r="E3322">
        <v>240</v>
      </c>
      <c r="F3322">
        <v>987</v>
      </c>
      <c r="G3322">
        <v>2000</v>
      </c>
      <c r="H3322">
        <f>CONVERT(G3322,"HP","kW")</f>
        <v>1491.3997431645405</v>
      </c>
      <c r="I3322">
        <v>0.82889999999999997</v>
      </c>
      <c r="J3322">
        <v>2.8296000000000001</v>
      </c>
      <c r="K3322">
        <v>0.75390000000000001</v>
      </c>
      <c r="L3322">
        <v>0.62480000000000002</v>
      </c>
      <c r="M3322">
        <v>0.183</v>
      </c>
      <c r="N3322">
        <f>CONVERT(O3322,"lbf","N")</f>
        <v>6702.5803298745213</v>
      </c>
      <c r="O3322">
        <v>1506.8</v>
      </c>
      <c r="P3322">
        <f t="shared" si="51"/>
        <v>0.2928937259923175</v>
      </c>
    </row>
    <row r="3323" spans="1:16" hidden="1" x14ac:dyDescent="0.25">
      <c r="A3323">
        <v>0</v>
      </c>
      <c r="B3323">
        <v>25000</v>
      </c>
      <c r="C3323">
        <f>1.225 * (1 - 0.00000687559 * B3323) ^ 4.2561</f>
        <v>0.54892259437885793</v>
      </c>
      <c r="D3323">
        <f>E3323*(SQRT($C$2/C3323))</f>
        <v>239.01902657456537</v>
      </c>
      <c r="E3323">
        <v>160</v>
      </c>
      <c r="F3323">
        <v>987</v>
      </c>
      <c r="G3323">
        <v>2000</v>
      </c>
      <c r="H3323">
        <f>CONVERT(G3323,"HP","kW")</f>
        <v>1491.3997431645405</v>
      </c>
      <c r="I3323">
        <v>0.83760000000000001</v>
      </c>
      <c r="J3323">
        <v>1.8864000000000001</v>
      </c>
      <c r="K3323">
        <v>0.60829999999999995</v>
      </c>
      <c r="L3323">
        <v>0.62490000000000001</v>
      </c>
      <c r="M3323">
        <v>0.27750000000000002</v>
      </c>
      <c r="N3323">
        <f>CONVERT(O3323,"lbf","N")</f>
        <v>10159.738169254982</v>
      </c>
      <c r="O3323">
        <v>2284</v>
      </c>
      <c r="P3323">
        <f t="shared" si="51"/>
        <v>0.44407105136821895</v>
      </c>
    </row>
    <row r="3324" spans="1:16" hidden="1" x14ac:dyDescent="0.25">
      <c r="A3324">
        <v>0</v>
      </c>
      <c r="B3324">
        <v>25000</v>
      </c>
      <c r="C3324">
        <f>1.225 * (1 - 0.00000687559 * B3324) ^ 4.2561</f>
        <v>0.54892259437885793</v>
      </c>
      <c r="D3324">
        <f>E3324*(SQRT($C$2/C3324))</f>
        <v>149.38689160910337</v>
      </c>
      <c r="E3324">
        <v>100</v>
      </c>
      <c r="F3324">
        <v>987</v>
      </c>
      <c r="G3324">
        <v>2000</v>
      </c>
      <c r="H3324">
        <f>CONVERT(G3324,"HP","kW")</f>
        <v>1491.3997431645405</v>
      </c>
      <c r="I3324">
        <v>0.57320000000000004</v>
      </c>
      <c r="J3324">
        <v>1.179</v>
      </c>
      <c r="K3324">
        <v>0.52190000000000003</v>
      </c>
      <c r="L3324">
        <v>0.625</v>
      </c>
      <c r="M3324">
        <v>0.3039</v>
      </c>
      <c r="N3324">
        <f>CONVERT(O3324,"lbf","N")</f>
        <v>11123.667793281931</v>
      </c>
      <c r="O3324">
        <v>2500.6999999999998</v>
      </c>
      <c r="P3324">
        <f t="shared" si="51"/>
        <v>0.48624000000000001</v>
      </c>
    </row>
    <row r="3325" spans="1:16" hidden="1" x14ac:dyDescent="0.25">
      <c r="A3325">
        <v>0</v>
      </c>
      <c r="B3325">
        <v>30000</v>
      </c>
      <c r="C3325">
        <f>1.225 * (1 - 0.00000687559 * B3325) ^ 4.2561</f>
        <v>0.45828836225470948</v>
      </c>
      <c r="D3325">
        <f>E3325*(SQRT($C$2/C3325))</f>
        <v>65.397119729012928</v>
      </c>
      <c r="E3325">
        <v>40</v>
      </c>
      <c r="F3325">
        <v>1150</v>
      </c>
      <c r="G3325">
        <v>2750</v>
      </c>
      <c r="H3325">
        <f>CONVERT(G3325,"HP","kW")</f>
        <v>2050.6746468512433</v>
      </c>
      <c r="I3325">
        <v>0.1045</v>
      </c>
      <c r="J3325">
        <v>0.443</v>
      </c>
      <c r="K3325">
        <v>0.55479999999999996</v>
      </c>
      <c r="L3325">
        <v>0.64990000000000003</v>
      </c>
      <c r="M3325">
        <v>0.15329999999999999</v>
      </c>
      <c r="N3325">
        <f>CONVERT(O3325,"lbf","N")</f>
        <v>6369.8533530530358</v>
      </c>
      <c r="O3325">
        <v>1432</v>
      </c>
      <c r="P3325">
        <f t="shared" si="51"/>
        <v>0.23588244345283887</v>
      </c>
    </row>
    <row r="3326" spans="1:16" hidden="1" x14ac:dyDescent="0.25">
      <c r="A3326">
        <v>0</v>
      </c>
      <c r="B3326">
        <v>30000</v>
      </c>
      <c r="C3326">
        <f>1.225 * (1 - 0.00000687559 * B3326) ^ 4.2561</f>
        <v>0.45828836225470948</v>
      </c>
      <c r="D3326">
        <f>E3326*(SQRT($C$2/C3326))</f>
        <v>228.88991905154526</v>
      </c>
      <c r="E3326">
        <v>140</v>
      </c>
      <c r="F3326">
        <v>1150</v>
      </c>
      <c r="G3326">
        <v>2750</v>
      </c>
      <c r="H3326">
        <f>CONVERT(G3326,"HP","kW")</f>
        <v>2050.6746468512433</v>
      </c>
      <c r="I3326">
        <v>0.76429999999999998</v>
      </c>
      <c r="J3326">
        <v>1.5504</v>
      </c>
      <c r="K3326">
        <v>0.67079999999999995</v>
      </c>
      <c r="L3326">
        <v>0.6502</v>
      </c>
      <c r="M3326">
        <v>0.32050000000000001</v>
      </c>
      <c r="N3326">
        <f>CONVERT(O3326,"lbf","N")</f>
        <v>13310.858361505519</v>
      </c>
      <c r="O3326">
        <v>2992.4</v>
      </c>
      <c r="P3326">
        <f t="shared" si="51"/>
        <v>0.49292525376807139</v>
      </c>
    </row>
    <row r="3327" spans="1:16" hidden="1" x14ac:dyDescent="0.25">
      <c r="A3327">
        <v>0</v>
      </c>
      <c r="B3327">
        <v>30000</v>
      </c>
      <c r="C3327">
        <f>1.225 * (1 - 0.00000687559 * B3327) ^ 4.2561</f>
        <v>0.45828836225470948</v>
      </c>
      <c r="D3327">
        <f>E3327*(SQRT($C$2/C3327))</f>
        <v>0</v>
      </c>
      <c r="E3327">
        <v>0</v>
      </c>
      <c r="F3327">
        <v>1150</v>
      </c>
      <c r="G3327">
        <v>2750</v>
      </c>
      <c r="H3327">
        <f>CONVERT(G3327,"HP","kW")</f>
        <v>2050.6746468512433</v>
      </c>
      <c r="I3327">
        <v>0</v>
      </c>
      <c r="J3327">
        <v>0</v>
      </c>
      <c r="K3327">
        <v>0.53769999999999996</v>
      </c>
      <c r="L3327">
        <v>0.65039999999999998</v>
      </c>
      <c r="M3327">
        <v>-0.2198</v>
      </c>
      <c r="N3327">
        <f>CONVERT(O3327,"lbf","N")</f>
        <v>-9124.1921772223359</v>
      </c>
      <c r="O3327">
        <v>-2051.1999999999998</v>
      </c>
      <c r="P3327">
        <f t="shared" si="51"/>
        <v>-0.33794587945879462</v>
      </c>
    </row>
    <row r="3328" spans="1:16" hidden="1" x14ac:dyDescent="0.25">
      <c r="A3328">
        <v>0</v>
      </c>
      <c r="B3328">
        <v>30000</v>
      </c>
      <c r="C3328">
        <f>1.225 * (1 - 0.00000687559 * B3328) ^ 4.2561</f>
        <v>0.45828836225470948</v>
      </c>
      <c r="D3328">
        <f>E3328*(SQRT($C$2/C3328))</f>
        <v>294.28703878055819</v>
      </c>
      <c r="E3328">
        <v>180</v>
      </c>
      <c r="F3328">
        <v>1150</v>
      </c>
      <c r="G3328">
        <v>2750</v>
      </c>
      <c r="H3328">
        <f>CONVERT(G3328,"HP","kW")</f>
        <v>2050.6746468512433</v>
      </c>
      <c r="I3328">
        <v>0.82909999999999995</v>
      </c>
      <c r="J3328">
        <v>1.9934000000000001</v>
      </c>
      <c r="K3328">
        <v>0.74160000000000004</v>
      </c>
      <c r="L3328">
        <v>0.65039999999999998</v>
      </c>
      <c r="M3328">
        <v>0.27050000000000002</v>
      </c>
      <c r="N3328">
        <f>CONVERT(O3328,"lbf","N")</f>
        <v>11231.314756371239</v>
      </c>
      <c r="O3328">
        <v>2524.9</v>
      </c>
      <c r="P3328">
        <f t="shared" si="51"/>
        <v>0.41589790897908985</v>
      </c>
    </row>
    <row r="3329" spans="1:16" hidden="1" x14ac:dyDescent="0.25">
      <c r="A3329">
        <v>0</v>
      </c>
      <c r="B3329">
        <v>30000</v>
      </c>
      <c r="C3329">
        <f>1.225 * (1 - 0.00000687559 * B3329) ^ 4.2561</f>
        <v>0.45828836225470948</v>
      </c>
      <c r="D3329">
        <f>E3329*(SQRT($C$2/C3329))</f>
        <v>359.68415850957115</v>
      </c>
      <c r="E3329">
        <v>220</v>
      </c>
      <c r="F3329">
        <v>1150</v>
      </c>
      <c r="G3329">
        <v>2750</v>
      </c>
      <c r="H3329">
        <f>CONVERT(G3329,"HP","kW")</f>
        <v>2050.6746468512433</v>
      </c>
      <c r="I3329">
        <v>0.77300000000000002</v>
      </c>
      <c r="J3329">
        <v>2.4363999999999999</v>
      </c>
      <c r="K3329">
        <v>0.82099999999999995</v>
      </c>
      <c r="L3329">
        <v>0.65039999999999998</v>
      </c>
      <c r="M3329">
        <v>0.2064</v>
      </c>
      <c r="N3329">
        <f>CONVERT(O3329,"lbf","N")</f>
        <v>8566.8300088301985</v>
      </c>
      <c r="O3329">
        <v>1925.9</v>
      </c>
      <c r="P3329">
        <f t="shared" si="51"/>
        <v>0.31734317343173435</v>
      </c>
    </row>
    <row r="3330" spans="1:16" hidden="1" x14ac:dyDescent="0.25">
      <c r="A3330">
        <v>0</v>
      </c>
      <c r="B3330">
        <v>30000</v>
      </c>
      <c r="C3330">
        <f>1.225 * (1 - 0.00000687559 * B3330) ^ 4.2561</f>
        <v>0.45828836225470948</v>
      </c>
      <c r="D3330">
        <f>E3330*(SQRT($C$2/C3330))</f>
        <v>130.79423945802586</v>
      </c>
      <c r="E3330">
        <v>80</v>
      </c>
      <c r="F3330">
        <v>1150</v>
      </c>
      <c r="G3330">
        <v>2750</v>
      </c>
      <c r="H3330">
        <f>CONVERT(G3330,"HP","kW")</f>
        <v>2050.6746468512433</v>
      </c>
      <c r="I3330">
        <v>0.26429999999999998</v>
      </c>
      <c r="J3330">
        <v>0.88590000000000002</v>
      </c>
      <c r="K3330">
        <v>0.59030000000000005</v>
      </c>
      <c r="L3330">
        <v>0.65049999999999997</v>
      </c>
      <c r="M3330">
        <v>0.19400000000000001</v>
      </c>
      <c r="N3330">
        <f>CONVERT(O3330,"lbf","N")</f>
        <v>8054.3948787521877</v>
      </c>
      <c r="O3330">
        <v>1810.7</v>
      </c>
      <c r="P3330">
        <f t="shared" si="51"/>
        <v>0.29823212913143737</v>
      </c>
    </row>
    <row r="3331" spans="1:16" hidden="1" x14ac:dyDescent="0.25">
      <c r="A3331">
        <v>0</v>
      </c>
      <c r="B3331">
        <v>30000</v>
      </c>
      <c r="C3331">
        <f>1.225 * (1 - 0.00000687559 * B3331) ^ 4.2561</f>
        <v>0.45828836225470948</v>
      </c>
      <c r="D3331">
        <f>E3331*(SQRT($C$2/C3331))</f>
        <v>163.49279932253233</v>
      </c>
      <c r="E3331">
        <v>100</v>
      </c>
      <c r="F3331">
        <v>1150</v>
      </c>
      <c r="G3331">
        <v>2750</v>
      </c>
      <c r="H3331">
        <f>CONVERT(G3331,"HP","kW")</f>
        <v>2050.6746468512433</v>
      </c>
      <c r="I3331">
        <v>0.43640000000000001</v>
      </c>
      <c r="J3331">
        <v>1.1073999999999999</v>
      </c>
      <c r="K3331">
        <v>0.61280000000000001</v>
      </c>
      <c r="L3331">
        <v>0.65049999999999997</v>
      </c>
      <c r="M3331">
        <v>0.25629999999999997</v>
      </c>
      <c r="N3331">
        <f>CONVERT(O3331,"lbf","N")</f>
        <v>10639.256459380065</v>
      </c>
      <c r="O3331">
        <v>2391.8000000000002</v>
      </c>
      <c r="P3331">
        <f t="shared" ref="P3331:P3394" si="52">M3331/L3331</f>
        <v>0.39400461183704838</v>
      </c>
    </row>
    <row r="3332" spans="1:16" hidden="1" x14ac:dyDescent="0.25">
      <c r="A3332">
        <v>0</v>
      </c>
      <c r="B3332">
        <v>30000</v>
      </c>
      <c r="C3332">
        <f>1.225 * (1 - 0.00000687559 * B3332) ^ 4.2561</f>
        <v>0.45828836225470948</v>
      </c>
      <c r="D3332">
        <f>E3332*(SQRT($C$2/C3332))</f>
        <v>261.58847891605171</v>
      </c>
      <c r="E3332">
        <v>160</v>
      </c>
      <c r="F3332">
        <v>1150</v>
      </c>
      <c r="G3332">
        <v>2750</v>
      </c>
      <c r="H3332">
        <f>CONVERT(G3332,"HP","kW")</f>
        <v>2050.6746468512433</v>
      </c>
      <c r="I3332">
        <v>0.80900000000000005</v>
      </c>
      <c r="J3332">
        <v>1.7719</v>
      </c>
      <c r="K3332">
        <v>0.70489999999999997</v>
      </c>
      <c r="L3332">
        <v>0.65049999999999997</v>
      </c>
      <c r="M3332">
        <v>0.29699999999999999</v>
      </c>
      <c r="N3332">
        <f>CONVERT(O3332,"lbf","N")</f>
        <v>12328.246206694477</v>
      </c>
      <c r="O3332">
        <v>2771.5</v>
      </c>
      <c r="P3332">
        <f t="shared" si="52"/>
        <v>0.4565718677940046</v>
      </c>
    </row>
    <row r="3333" spans="1:16" hidden="1" x14ac:dyDescent="0.25">
      <c r="A3333">
        <v>0</v>
      </c>
      <c r="B3333">
        <v>30000</v>
      </c>
      <c r="C3333">
        <f>1.225 * (1 - 0.00000687559 * B3333) ^ 4.2561</f>
        <v>0.45828836225470948</v>
      </c>
      <c r="D3333">
        <f>E3333*(SQRT($C$2/C3333))</f>
        <v>326.98559864506467</v>
      </c>
      <c r="E3333">
        <v>200</v>
      </c>
      <c r="F3333">
        <v>1150</v>
      </c>
      <c r="G3333">
        <v>2750</v>
      </c>
      <c r="H3333">
        <f>CONVERT(G3333,"HP","kW")</f>
        <v>2050.6746468512433</v>
      </c>
      <c r="I3333">
        <v>0.81440000000000001</v>
      </c>
      <c r="J3333">
        <v>2.2149000000000001</v>
      </c>
      <c r="K3333">
        <v>0.78039999999999998</v>
      </c>
      <c r="L3333">
        <v>0.65059999999999996</v>
      </c>
      <c r="M3333">
        <v>0.2392</v>
      </c>
      <c r="N3333">
        <f>CONVERT(O3333,"lbf","N")</f>
        <v>9928.8754674229622</v>
      </c>
      <c r="O3333">
        <v>2232.1</v>
      </c>
      <c r="P3333">
        <f t="shared" si="52"/>
        <v>0.36766062096526286</v>
      </c>
    </row>
    <row r="3334" spans="1:16" hidden="1" x14ac:dyDescent="0.25">
      <c r="A3334">
        <v>0</v>
      </c>
      <c r="B3334">
        <v>30000</v>
      </c>
      <c r="C3334">
        <f>1.225 * (1 - 0.00000687559 * B3334) ^ 4.2561</f>
        <v>0.45828836225470948</v>
      </c>
      <c r="D3334">
        <f>E3334*(SQRT($C$2/C3334))</f>
        <v>425.08127823858405</v>
      </c>
      <c r="E3334">
        <v>260</v>
      </c>
      <c r="F3334">
        <v>1150</v>
      </c>
      <c r="G3334">
        <v>2750</v>
      </c>
      <c r="H3334">
        <f>CONVERT(G3334,"HP","kW")</f>
        <v>2050.6746468512433</v>
      </c>
      <c r="I3334">
        <v>0.50429999999999997</v>
      </c>
      <c r="J3334">
        <v>2.8793000000000002</v>
      </c>
      <c r="K3334">
        <v>0.90710000000000002</v>
      </c>
      <c r="L3334">
        <v>0.65059999999999996</v>
      </c>
      <c r="M3334">
        <v>0.114</v>
      </c>
      <c r="N3334">
        <f>CONVERT(O3334,"lbf","N")</f>
        <v>4729.3492213449636</v>
      </c>
      <c r="O3334">
        <v>1063.2</v>
      </c>
      <c r="P3334">
        <f t="shared" si="52"/>
        <v>0.17522287119581925</v>
      </c>
    </row>
    <row r="3335" spans="1:16" hidden="1" x14ac:dyDescent="0.25">
      <c r="A3335">
        <v>0</v>
      </c>
      <c r="B3335">
        <v>30000</v>
      </c>
      <c r="C3335">
        <f>1.225 * (1 - 0.00000687559 * B3335) ^ 4.2561</f>
        <v>0.45828836225470948</v>
      </c>
      <c r="D3335">
        <f>E3335*(SQRT($C$2/C3335))</f>
        <v>196.19135918703881</v>
      </c>
      <c r="E3335">
        <v>120</v>
      </c>
      <c r="F3335">
        <v>1150</v>
      </c>
      <c r="G3335">
        <v>2750</v>
      </c>
      <c r="H3335">
        <f>CONVERT(G3335,"HP","kW")</f>
        <v>2050.6746468512433</v>
      </c>
      <c r="I3335">
        <v>0.62739999999999996</v>
      </c>
      <c r="J3335">
        <v>1.3289</v>
      </c>
      <c r="K3335">
        <v>0.63970000000000005</v>
      </c>
      <c r="L3335">
        <v>0.65069999999999995</v>
      </c>
      <c r="M3335">
        <v>0.30719999999999997</v>
      </c>
      <c r="N3335">
        <f>CONVERT(O3335,"lbf","N")</f>
        <v>12747.268682852016</v>
      </c>
      <c r="O3335">
        <v>2865.7</v>
      </c>
      <c r="P3335">
        <f t="shared" si="52"/>
        <v>0.47210696173351774</v>
      </c>
    </row>
    <row r="3336" spans="1:16" hidden="1" x14ac:dyDescent="0.25">
      <c r="A3336">
        <v>0</v>
      </c>
      <c r="B3336">
        <v>30000</v>
      </c>
      <c r="C3336">
        <f>1.225 * (1 - 0.00000687559 * B3336) ^ 4.2561</f>
        <v>0.45828836225470948</v>
      </c>
      <c r="D3336">
        <f>E3336*(SQRT($C$2/C3336))</f>
        <v>392.38271837407763</v>
      </c>
      <c r="E3336">
        <v>240</v>
      </c>
      <c r="F3336">
        <v>1150</v>
      </c>
      <c r="G3336">
        <v>2750</v>
      </c>
      <c r="H3336">
        <f>CONVERT(G3336,"HP","kW")</f>
        <v>2050.6746468512433</v>
      </c>
      <c r="I3336">
        <v>0.66659999999999997</v>
      </c>
      <c r="J3336">
        <v>2.6577999999999999</v>
      </c>
      <c r="K3336">
        <v>0.86350000000000005</v>
      </c>
      <c r="L3336">
        <v>0.65069999999999995</v>
      </c>
      <c r="M3336">
        <v>0.16320000000000001</v>
      </c>
      <c r="N3336">
        <f>CONVERT(O3336,"lbf","N")</f>
        <v>6771.9725870725861</v>
      </c>
      <c r="O3336">
        <v>1522.4</v>
      </c>
      <c r="P3336">
        <f t="shared" si="52"/>
        <v>0.25080682342093136</v>
      </c>
    </row>
    <row r="3337" spans="1:16" hidden="1" x14ac:dyDescent="0.25">
      <c r="A3337">
        <v>0</v>
      </c>
      <c r="B3337">
        <v>30000</v>
      </c>
      <c r="C3337">
        <f>1.225 * (1 - 0.00000687559 * B3337) ^ 4.2561</f>
        <v>0.45828836225470948</v>
      </c>
      <c r="D3337">
        <f>E3337*(SQRT($C$2/C3337))</f>
        <v>98.095679593519407</v>
      </c>
      <c r="E3337">
        <v>60</v>
      </c>
      <c r="F3337">
        <v>1150</v>
      </c>
      <c r="G3337">
        <v>2750</v>
      </c>
      <c r="H3337">
        <f>CONVERT(G3337,"HP","kW")</f>
        <v>2050.6746468512433</v>
      </c>
      <c r="I3337">
        <v>0.1648</v>
      </c>
      <c r="J3337">
        <v>0.66449999999999998</v>
      </c>
      <c r="K3337">
        <v>0.57169999999999999</v>
      </c>
      <c r="L3337">
        <v>0.65090000000000003</v>
      </c>
      <c r="M3337">
        <v>0.1615</v>
      </c>
      <c r="N3337">
        <f>CONVERT(O3337,"lbf","N")</f>
        <v>6697.6872860977355</v>
      </c>
      <c r="O3337">
        <v>1505.7</v>
      </c>
      <c r="P3337">
        <f t="shared" si="52"/>
        <v>0.2481179904747273</v>
      </c>
    </row>
    <row r="3338" spans="1:16" hidden="1" x14ac:dyDescent="0.25">
      <c r="A3338">
        <v>0</v>
      </c>
      <c r="B3338">
        <v>30000</v>
      </c>
      <c r="C3338">
        <f>1.225 * (1 - 0.00000687559 * B3338) ^ 4.2561</f>
        <v>0.45828836225470948</v>
      </c>
      <c r="D3338">
        <f>E3338*(SQRT($C$2/C3338))</f>
        <v>359.68415850957115</v>
      </c>
      <c r="E3338">
        <v>220</v>
      </c>
      <c r="F3338">
        <v>987</v>
      </c>
      <c r="G3338">
        <v>1750</v>
      </c>
      <c r="H3338">
        <f>CONVERT(G3338,"HP","kW")</f>
        <v>1304.974775268973</v>
      </c>
      <c r="I3338">
        <v>0.81489999999999996</v>
      </c>
      <c r="J3338">
        <v>2.8386999999999998</v>
      </c>
      <c r="K3338">
        <v>0.77149999999999996</v>
      </c>
      <c r="L3338">
        <v>0.65459999999999996</v>
      </c>
      <c r="M3338">
        <v>0.18790000000000001</v>
      </c>
      <c r="N3338">
        <f>CONVERT(O3338,"lbf","N")</f>
        <v>5747.1023269165662</v>
      </c>
      <c r="O3338">
        <v>1292</v>
      </c>
      <c r="P3338">
        <f t="shared" si="52"/>
        <v>0.28704552398411248</v>
      </c>
    </row>
    <row r="3339" spans="1:16" hidden="1" x14ac:dyDescent="0.25">
      <c r="A3339">
        <v>0</v>
      </c>
      <c r="B3339">
        <v>30000</v>
      </c>
      <c r="C3339">
        <f>1.225 * (1 - 0.00000687559 * B3339) ^ 4.2561</f>
        <v>0.45828836225470948</v>
      </c>
      <c r="D3339">
        <f>E3339*(SQRT($C$2/C3339))</f>
        <v>196.19135918703881</v>
      </c>
      <c r="E3339">
        <v>120</v>
      </c>
      <c r="F3339">
        <v>987</v>
      </c>
      <c r="G3339">
        <v>1750</v>
      </c>
      <c r="H3339">
        <f>CONVERT(G3339,"HP","kW")</f>
        <v>1304.974775268973</v>
      </c>
      <c r="I3339">
        <v>0.77329999999999999</v>
      </c>
      <c r="J3339">
        <v>1.5484</v>
      </c>
      <c r="K3339">
        <v>0.57550000000000001</v>
      </c>
      <c r="L3339">
        <v>0.65480000000000005</v>
      </c>
      <c r="M3339">
        <v>0.32700000000000001</v>
      </c>
      <c r="N3339">
        <f>CONVERT(O3339,"lbf","N")</f>
        <v>9999.1573689440793</v>
      </c>
      <c r="O3339">
        <v>2247.9</v>
      </c>
      <c r="P3339">
        <f t="shared" si="52"/>
        <v>0.49938912645082467</v>
      </c>
    </row>
    <row r="3340" spans="1:16" hidden="1" x14ac:dyDescent="0.25">
      <c r="A3340">
        <v>0</v>
      </c>
      <c r="B3340">
        <v>30000</v>
      </c>
      <c r="C3340">
        <f>1.225 * (1 - 0.00000687559 * B3340) ^ 4.2561</f>
        <v>0.45828836225470948</v>
      </c>
      <c r="D3340">
        <f>E3340*(SQRT($C$2/C3340))</f>
        <v>392.38271837407763</v>
      </c>
      <c r="E3340">
        <v>240</v>
      </c>
      <c r="F3340">
        <v>987</v>
      </c>
      <c r="G3340">
        <v>1750</v>
      </c>
      <c r="H3340">
        <f>CONVERT(G3340,"HP","kW")</f>
        <v>1304.974775268973</v>
      </c>
      <c r="I3340">
        <v>0.70789999999999997</v>
      </c>
      <c r="J3340">
        <v>3.0968</v>
      </c>
      <c r="K3340">
        <v>0.81620000000000004</v>
      </c>
      <c r="L3340">
        <v>0.65480000000000005</v>
      </c>
      <c r="M3340">
        <v>0.1497</v>
      </c>
      <c r="N3340">
        <f>CONVERT(O3340,"lbf","N")</f>
        <v>4576.3303977800024</v>
      </c>
      <c r="O3340">
        <v>1028.8</v>
      </c>
      <c r="P3340">
        <f t="shared" si="52"/>
        <v>0.22861942577886377</v>
      </c>
    </row>
    <row r="3341" spans="1:16" hidden="1" x14ac:dyDescent="0.25">
      <c r="A3341">
        <v>0</v>
      </c>
      <c r="B3341">
        <v>30000</v>
      </c>
      <c r="C3341">
        <f>1.225 * (1 - 0.00000687559 * B3341) ^ 4.2561</f>
        <v>0.45828836225470948</v>
      </c>
      <c r="D3341">
        <f>E3341*(SQRT($C$2/C3341))</f>
        <v>65.397119729012928</v>
      </c>
      <c r="E3341">
        <v>40</v>
      </c>
      <c r="F3341">
        <v>987</v>
      </c>
      <c r="G3341">
        <v>1750</v>
      </c>
      <c r="H3341">
        <f>CONVERT(G3341,"HP","kW")</f>
        <v>1304.974775268973</v>
      </c>
      <c r="I3341">
        <v>-0.14480000000000001</v>
      </c>
      <c r="J3341">
        <v>0.5161</v>
      </c>
      <c r="K3341">
        <v>0.36509999999999998</v>
      </c>
      <c r="L3341">
        <v>0.65490000000000004</v>
      </c>
      <c r="M3341">
        <v>-0.1837</v>
      </c>
      <c r="N3341">
        <f>CONVERT(O3341,"lbf","N")</f>
        <v>-5614.9901449433291</v>
      </c>
      <c r="O3341">
        <v>-1262.3</v>
      </c>
      <c r="P3341">
        <f t="shared" si="52"/>
        <v>-0.28050083982287372</v>
      </c>
    </row>
    <row r="3342" spans="1:16" hidden="1" x14ac:dyDescent="0.25">
      <c r="A3342">
        <v>0</v>
      </c>
      <c r="B3342">
        <v>30000</v>
      </c>
      <c r="C3342">
        <f>1.225 * (1 - 0.00000687559 * B3342) ^ 4.2561</f>
        <v>0.45828836225470948</v>
      </c>
      <c r="D3342">
        <f>E3342*(SQRT($C$2/C3342))</f>
        <v>130.79423945802586</v>
      </c>
      <c r="E3342">
        <v>80</v>
      </c>
      <c r="F3342">
        <v>987</v>
      </c>
      <c r="G3342">
        <v>1750</v>
      </c>
      <c r="H3342">
        <f>CONVERT(G3342,"HP","kW")</f>
        <v>1304.974775268973</v>
      </c>
      <c r="I3342">
        <v>0.2908</v>
      </c>
      <c r="J3342">
        <v>1.0323</v>
      </c>
      <c r="K3342">
        <v>0.51980000000000004</v>
      </c>
      <c r="L3342">
        <v>0.65490000000000004</v>
      </c>
      <c r="M3342">
        <v>0.1845</v>
      </c>
      <c r="N3342">
        <f>CONVERT(O3342,"lbf","N")</f>
        <v>5640.3450081503142</v>
      </c>
      <c r="O3342">
        <v>1268</v>
      </c>
      <c r="P3342">
        <f t="shared" si="52"/>
        <v>0.28172240036646812</v>
      </c>
    </row>
    <row r="3343" spans="1:16" hidden="1" x14ac:dyDescent="0.25">
      <c r="A3343">
        <v>0</v>
      </c>
      <c r="B3343">
        <v>30000</v>
      </c>
      <c r="C3343">
        <f>1.225 * (1 - 0.00000687559 * B3343) ^ 4.2561</f>
        <v>0.45828836225470948</v>
      </c>
      <c r="D3343">
        <f>E3343*(SQRT($C$2/C3343))</f>
        <v>261.58847891605171</v>
      </c>
      <c r="E3343">
        <v>160</v>
      </c>
      <c r="F3343">
        <v>987</v>
      </c>
      <c r="G3343">
        <v>1750</v>
      </c>
      <c r="H3343">
        <f>CONVERT(G3343,"HP","kW")</f>
        <v>1304.974775268973</v>
      </c>
      <c r="I3343">
        <v>0.84560000000000002</v>
      </c>
      <c r="J3343">
        <v>2.0644999999999998</v>
      </c>
      <c r="K3343">
        <v>0.6472</v>
      </c>
      <c r="L3343">
        <v>0.65490000000000004</v>
      </c>
      <c r="M3343">
        <v>0.26819999999999999</v>
      </c>
      <c r="N3343">
        <f>CONVERT(O3343,"lbf","N")</f>
        <v>8199.8517255712068</v>
      </c>
      <c r="O3343">
        <v>1843.4</v>
      </c>
      <c r="P3343">
        <f t="shared" si="52"/>
        <v>0.40952817224003663</v>
      </c>
    </row>
    <row r="3344" spans="1:16" hidden="1" x14ac:dyDescent="0.25">
      <c r="A3344">
        <v>0</v>
      </c>
      <c r="B3344">
        <v>30000</v>
      </c>
      <c r="C3344">
        <f>1.225 * (1 - 0.00000687559 * B3344) ^ 4.2561</f>
        <v>0.45828836225470948</v>
      </c>
      <c r="D3344">
        <f>E3344*(SQRT($C$2/C3344))</f>
        <v>294.28703878055819</v>
      </c>
      <c r="E3344">
        <v>180</v>
      </c>
      <c r="F3344">
        <v>987</v>
      </c>
      <c r="G3344">
        <v>1750</v>
      </c>
      <c r="H3344">
        <f>CONVERT(G3344,"HP","kW")</f>
        <v>1304.974775268973</v>
      </c>
      <c r="I3344">
        <v>0.85560000000000003</v>
      </c>
      <c r="J3344">
        <v>2.3226</v>
      </c>
      <c r="K3344">
        <v>0.68669999999999998</v>
      </c>
      <c r="L3344">
        <v>0.65490000000000004</v>
      </c>
      <c r="M3344">
        <v>0.2412</v>
      </c>
      <c r="N3344">
        <f>CONVERT(O3344,"lbf","N")</f>
        <v>7375.1514381019088</v>
      </c>
      <c r="O3344">
        <v>1658</v>
      </c>
      <c r="P3344">
        <f t="shared" si="52"/>
        <v>0.36830050389372421</v>
      </c>
    </row>
    <row r="3345" spans="1:16" hidden="1" x14ac:dyDescent="0.25">
      <c r="A3345">
        <v>0</v>
      </c>
      <c r="B3345">
        <v>30000</v>
      </c>
      <c r="C3345">
        <f>1.225 * (1 - 0.00000687559 * B3345) ^ 4.2561</f>
        <v>0.45828836225470948</v>
      </c>
      <c r="D3345">
        <f>E3345*(SQRT($C$2/C3345))</f>
        <v>326.98559864506467</v>
      </c>
      <c r="E3345">
        <v>200</v>
      </c>
      <c r="F3345">
        <v>987</v>
      </c>
      <c r="G3345">
        <v>1750</v>
      </c>
      <c r="H3345">
        <f>CONVERT(G3345,"HP","kW")</f>
        <v>1304.974775268973</v>
      </c>
      <c r="I3345">
        <v>0.84940000000000004</v>
      </c>
      <c r="J3345">
        <v>2.5807000000000002</v>
      </c>
      <c r="K3345">
        <v>0.72829999999999995</v>
      </c>
      <c r="L3345">
        <v>0.65490000000000004</v>
      </c>
      <c r="M3345">
        <v>0.2155</v>
      </c>
      <c r="N3345">
        <f>CONVERT(O3345,"lbf","N")</f>
        <v>6589.5955008469055</v>
      </c>
      <c r="O3345">
        <v>1481.4</v>
      </c>
      <c r="P3345">
        <f t="shared" si="52"/>
        <v>0.32905787143075277</v>
      </c>
    </row>
    <row r="3346" spans="1:16" hidden="1" x14ac:dyDescent="0.25">
      <c r="A3346">
        <v>0</v>
      </c>
      <c r="B3346">
        <v>30000</v>
      </c>
      <c r="C3346">
        <f>1.225 * (1 - 0.00000687559 * B3346) ^ 4.2561</f>
        <v>0.45828836225470948</v>
      </c>
      <c r="D3346">
        <f>E3346*(SQRT($C$2/C3346))</f>
        <v>425.08127823858405</v>
      </c>
      <c r="E3346">
        <v>260</v>
      </c>
      <c r="F3346">
        <v>987</v>
      </c>
      <c r="G3346">
        <v>1750</v>
      </c>
      <c r="H3346">
        <f>CONVERT(G3346,"HP","kW")</f>
        <v>1304.974775268973</v>
      </c>
      <c r="I3346">
        <v>0.4733</v>
      </c>
      <c r="J3346">
        <v>3.3548</v>
      </c>
      <c r="K3346">
        <v>0.86209999999999998</v>
      </c>
      <c r="L3346">
        <v>0.65490000000000004</v>
      </c>
      <c r="M3346">
        <v>9.2399999999999996E-2</v>
      </c>
      <c r="N3346">
        <f>CONVERT(O3346,"lbf","N")</f>
        <v>2824.6207256904172</v>
      </c>
      <c r="O3346">
        <v>635</v>
      </c>
      <c r="P3346">
        <f t="shared" si="52"/>
        <v>0.14109024278515803</v>
      </c>
    </row>
    <row r="3347" spans="1:16" hidden="1" x14ac:dyDescent="0.25">
      <c r="A3347">
        <v>0</v>
      </c>
      <c r="B3347">
        <v>30000</v>
      </c>
      <c r="C3347">
        <f>1.225 * (1 - 0.00000687559 * B3347) ^ 4.2561</f>
        <v>0.45828836225470948</v>
      </c>
      <c r="D3347">
        <f>E3347*(SQRT($C$2/C3347))</f>
        <v>32.698559864506464</v>
      </c>
      <c r="E3347">
        <v>20</v>
      </c>
      <c r="F3347">
        <v>987</v>
      </c>
      <c r="G3347">
        <v>1750</v>
      </c>
      <c r="H3347">
        <f>CONVERT(G3347,"HP","kW")</f>
        <v>1304.974775268973</v>
      </c>
      <c r="I3347">
        <v>-5.8200000000000002E-2</v>
      </c>
      <c r="J3347">
        <v>0.2581</v>
      </c>
      <c r="K3347">
        <v>0.36070000000000002</v>
      </c>
      <c r="L3347">
        <v>0.65500000000000003</v>
      </c>
      <c r="M3347">
        <v>-0.14760000000000001</v>
      </c>
      <c r="N3347">
        <f>CONVERT(O3347,"lbf","N")</f>
        <v>-4512.7208286817768</v>
      </c>
      <c r="O3347">
        <v>-1014.5</v>
      </c>
      <c r="P3347">
        <f t="shared" si="52"/>
        <v>-0.22534351145038167</v>
      </c>
    </row>
    <row r="3348" spans="1:16" hidden="1" x14ac:dyDescent="0.25">
      <c r="A3348">
        <v>0</v>
      </c>
      <c r="B3348">
        <v>30000</v>
      </c>
      <c r="C3348">
        <f>1.225 * (1 - 0.00000687559 * B3348) ^ 4.2561</f>
        <v>0.45828836225470948</v>
      </c>
      <c r="D3348">
        <f>E3348*(SQRT($C$2/C3348))</f>
        <v>163.49279932253233</v>
      </c>
      <c r="E3348">
        <v>100</v>
      </c>
      <c r="F3348">
        <v>987</v>
      </c>
      <c r="G3348">
        <v>1750</v>
      </c>
      <c r="H3348">
        <f>CONVERT(G3348,"HP","kW")</f>
        <v>1304.974775268973</v>
      </c>
      <c r="I3348">
        <v>0.622</v>
      </c>
      <c r="J3348">
        <v>1.2903</v>
      </c>
      <c r="K3348">
        <v>0.54490000000000005</v>
      </c>
      <c r="L3348">
        <v>0.65529999999999999</v>
      </c>
      <c r="M3348">
        <v>0.31590000000000001</v>
      </c>
      <c r="N3348">
        <f>CONVERT(O3348,"lbf","N")</f>
        <v>9650.4167943076554</v>
      </c>
      <c r="O3348">
        <v>2169.5</v>
      </c>
      <c r="P3348">
        <f t="shared" si="52"/>
        <v>0.48206928124523124</v>
      </c>
    </row>
    <row r="3349" spans="1:16" hidden="1" x14ac:dyDescent="0.25">
      <c r="A3349">
        <v>0</v>
      </c>
      <c r="B3349">
        <v>30000</v>
      </c>
      <c r="C3349">
        <f>1.225 * (1 - 0.00000687559 * B3349) ^ 4.2561</f>
        <v>0.45828836225470948</v>
      </c>
      <c r="D3349">
        <f>E3349*(SQRT($C$2/C3349))</f>
        <v>228.88991905154526</v>
      </c>
      <c r="E3349">
        <v>140</v>
      </c>
      <c r="F3349">
        <v>987</v>
      </c>
      <c r="G3349">
        <v>1750</v>
      </c>
      <c r="H3349">
        <f>CONVERT(G3349,"HP","kW")</f>
        <v>1304.974775268973</v>
      </c>
      <c r="I3349">
        <v>0.82210000000000005</v>
      </c>
      <c r="J3349">
        <v>1.8065</v>
      </c>
      <c r="K3349">
        <v>0.61</v>
      </c>
      <c r="L3349">
        <v>0.65529999999999999</v>
      </c>
      <c r="M3349">
        <v>0.29820000000000002</v>
      </c>
      <c r="N3349">
        <f>CONVERT(O3349,"lbf","N")</f>
        <v>9110.8475123765547</v>
      </c>
      <c r="O3349">
        <v>2048.1999999999998</v>
      </c>
      <c r="P3349">
        <f t="shared" si="52"/>
        <v>0.45505875171677096</v>
      </c>
    </row>
    <row r="3350" spans="1:16" hidden="1" x14ac:dyDescent="0.25">
      <c r="A3350">
        <v>0</v>
      </c>
      <c r="B3350">
        <v>20000</v>
      </c>
      <c r="C3350">
        <f>1.225 * (1 - 0.00000687559 * B3350) ^ 4.2561</f>
        <v>0.65267221054298263</v>
      </c>
      <c r="D3350">
        <f>E3350*(SQRT($C$2/C3350))</f>
        <v>191.79996305164894</v>
      </c>
      <c r="E3350">
        <v>140</v>
      </c>
      <c r="F3350">
        <v>987</v>
      </c>
      <c r="G3350">
        <v>2500</v>
      </c>
      <c r="H3350">
        <f>CONVERT(G3350,"HP","kW")</f>
        <v>1864.2496789556756</v>
      </c>
      <c r="I3350">
        <v>0.7651</v>
      </c>
      <c r="J3350">
        <v>1.5137</v>
      </c>
      <c r="K3350">
        <v>0.54790000000000005</v>
      </c>
      <c r="L3350">
        <v>0.65649999999999997</v>
      </c>
      <c r="M3350">
        <v>0.33179999999999998</v>
      </c>
      <c r="N3350">
        <f>CONVERT(O3350,"lbf","N")</f>
        <v>14455.830605273573</v>
      </c>
      <c r="O3350">
        <v>3249.8</v>
      </c>
      <c r="P3350">
        <f t="shared" si="52"/>
        <v>0.50540746382330537</v>
      </c>
    </row>
    <row r="3351" spans="1:16" hidden="1" x14ac:dyDescent="0.25">
      <c r="A3351">
        <v>0</v>
      </c>
      <c r="B3351">
        <v>20000</v>
      </c>
      <c r="C3351">
        <f>1.225 * (1 - 0.00000687559 * B3351) ^ 4.2561</f>
        <v>0.65267221054298263</v>
      </c>
      <c r="D3351">
        <f>E3351*(SQRT($C$2/C3351))</f>
        <v>136.99997360832069</v>
      </c>
      <c r="E3351">
        <v>100</v>
      </c>
      <c r="F3351">
        <v>987</v>
      </c>
      <c r="G3351">
        <v>2500</v>
      </c>
      <c r="H3351">
        <f>CONVERT(G3351,"HP","kW")</f>
        <v>1864.2496789556756</v>
      </c>
      <c r="I3351">
        <v>0.38650000000000001</v>
      </c>
      <c r="J3351">
        <v>1.0811999999999999</v>
      </c>
      <c r="K3351">
        <v>0.50260000000000005</v>
      </c>
      <c r="L3351">
        <v>0.65659999999999996</v>
      </c>
      <c r="M3351">
        <v>0.23469999999999999</v>
      </c>
      <c r="N3351">
        <f>CONVERT(O3351,"lbf","N")</f>
        <v>10223.792560514734</v>
      </c>
      <c r="O3351">
        <v>2298.4</v>
      </c>
      <c r="P3351">
        <f t="shared" si="52"/>
        <v>0.35744745659457816</v>
      </c>
    </row>
    <row r="3352" spans="1:16" hidden="1" x14ac:dyDescent="0.25">
      <c r="A3352">
        <v>0</v>
      </c>
      <c r="B3352">
        <v>20000</v>
      </c>
      <c r="C3352">
        <f>1.225 * (1 - 0.00000687559 * B3352) ^ 4.2561</f>
        <v>0.65267221054298263</v>
      </c>
      <c r="D3352">
        <f>E3352*(SQRT($C$2/C3352))</f>
        <v>356.19993138163375</v>
      </c>
      <c r="E3352">
        <v>260</v>
      </c>
      <c r="F3352">
        <v>987</v>
      </c>
      <c r="G3352">
        <v>2500</v>
      </c>
      <c r="H3352">
        <f>CONVERT(G3352,"HP","kW")</f>
        <v>1864.2496789556756</v>
      </c>
      <c r="I3352">
        <v>0.83350000000000002</v>
      </c>
      <c r="J3352">
        <v>2.8111999999999999</v>
      </c>
      <c r="K3352">
        <v>0.73560000000000003</v>
      </c>
      <c r="L3352">
        <v>0.65669999999999995</v>
      </c>
      <c r="M3352">
        <v>0.19470000000000001</v>
      </c>
      <c r="N3352">
        <f>CONVERT(O3352,"lbf","N")</f>
        <v>8480.0896873326183</v>
      </c>
      <c r="O3352">
        <v>1906.4</v>
      </c>
      <c r="P3352">
        <f t="shared" si="52"/>
        <v>0.29648241206030157</v>
      </c>
    </row>
    <row r="3353" spans="1:16" hidden="1" x14ac:dyDescent="0.25">
      <c r="A3353">
        <v>0</v>
      </c>
      <c r="B3353">
        <v>20000</v>
      </c>
      <c r="C3353">
        <f>1.225 * (1 - 0.00000687559 * B3353) ^ 4.2561</f>
        <v>0.65267221054298263</v>
      </c>
      <c r="D3353">
        <f>E3353*(SQRT($C$2/C3353))</f>
        <v>328.7999366599696</v>
      </c>
      <c r="E3353">
        <v>240</v>
      </c>
      <c r="F3353">
        <v>987</v>
      </c>
      <c r="G3353">
        <v>2500</v>
      </c>
      <c r="H3353">
        <f>CONVERT(G3353,"HP","kW")</f>
        <v>1864.2496789556756</v>
      </c>
      <c r="I3353">
        <v>0.85440000000000005</v>
      </c>
      <c r="J3353">
        <v>2.5950000000000002</v>
      </c>
      <c r="K3353">
        <v>0.70089999999999997</v>
      </c>
      <c r="L3353">
        <v>0.65680000000000005</v>
      </c>
      <c r="M3353">
        <v>0.21629999999999999</v>
      </c>
      <c r="N3353">
        <f>CONVERT(O3353,"lbf","N")</f>
        <v>9417.3299816680046</v>
      </c>
      <c r="O3353">
        <v>2117.1</v>
      </c>
      <c r="P3353">
        <f t="shared" si="52"/>
        <v>0.32932399512789279</v>
      </c>
    </row>
    <row r="3354" spans="1:16" hidden="1" x14ac:dyDescent="0.25">
      <c r="A3354">
        <v>0</v>
      </c>
      <c r="B3354">
        <v>20000</v>
      </c>
      <c r="C3354">
        <f>1.225 * (1 - 0.00000687559 * B3354) ^ 4.2561</f>
        <v>0.65267221054298263</v>
      </c>
      <c r="D3354">
        <f>E3354*(SQRT($C$2/C3354))</f>
        <v>219.19995777331309</v>
      </c>
      <c r="E3354">
        <v>160</v>
      </c>
      <c r="F3354">
        <v>987</v>
      </c>
      <c r="G3354">
        <v>2500</v>
      </c>
      <c r="H3354">
        <f>CONVERT(G3354,"HP","kW")</f>
        <v>1864.2496789556756</v>
      </c>
      <c r="I3354">
        <v>0.8135</v>
      </c>
      <c r="J3354">
        <v>1.73</v>
      </c>
      <c r="K3354">
        <v>0.57509999999999994</v>
      </c>
      <c r="L3354">
        <v>0.65690000000000004</v>
      </c>
      <c r="M3354">
        <v>0.30890000000000001</v>
      </c>
      <c r="N3354">
        <f>CONVERT(O3354,"lbf","N")</f>
        <v>13449.642875901647</v>
      </c>
      <c r="O3354">
        <v>3023.6</v>
      </c>
      <c r="P3354">
        <f t="shared" si="52"/>
        <v>0.47023900137007152</v>
      </c>
    </row>
    <row r="3355" spans="1:16" hidden="1" x14ac:dyDescent="0.25">
      <c r="A3355">
        <v>0</v>
      </c>
      <c r="B3355">
        <v>20000</v>
      </c>
      <c r="C3355">
        <f>1.225 * (1 - 0.00000687559 * B3355) ^ 4.2561</f>
        <v>0.65267221054298263</v>
      </c>
      <c r="D3355">
        <f>E3355*(SQRT($C$2/C3355))</f>
        <v>246.59995249497723</v>
      </c>
      <c r="E3355">
        <v>180</v>
      </c>
      <c r="F3355">
        <v>987</v>
      </c>
      <c r="G3355">
        <v>2500</v>
      </c>
      <c r="H3355">
        <f>CONVERT(G3355,"HP","kW")</f>
        <v>1864.2496789556756</v>
      </c>
      <c r="I3355">
        <v>0.83750000000000002</v>
      </c>
      <c r="J3355">
        <v>1.9461999999999999</v>
      </c>
      <c r="K3355">
        <v>0.60419999999999996</v>
      </c>
      <c r="L3355">
        <v>0.65690000000000004</v>
      </c>
      <c r="M3355">
        <v>0.28270000000000001</v>
      </c>
      <c r="N3355">
        <f>CONVERT(O3355,"lbf","N")</f>
        <v>12307.339565102753</v>
      </c>
      <c r="O3355">
        <v>2766.8</v>
      </c>
      <c r="P3355">
        <f t="shared" si="52"/>
        <v>0.4303546963008068</v>
      </c>
    </row>
    <row r="3356" spans="1:16" hidden="1" x14ac:dyDescent="0.25">
      <c r="A3356">
        <v>0</v>
      </c>
      <c r="B3356">
        <v>20000</v>
      </c>
      <c r="C3356">
        <f>1.225 * (1 - 0.00000687559 * B3356) ^ 4.2561</f>
        <v>0.65267221054298263</v>
      </c>
      <c r="D3356">
        <f>E3356*(SQRT($C$2/C3356))</f>
        <v>273.99994721664137</v>
      </c>
      <c r="E3356">
        <v>200</v>
      </c>
      <c r="F3356">
        <v>987</v>
      </c>
      <c r="G3356">
        <v>2500</v>
      </c>
      <c r="H3356">
        <f>CONVERT(G3356,"HP","kW")</f>
        <v>1864.2496789556756</v>
      </c>
      <c r="I3356">
        <v>0.85199999999999998</v>
      </c>
      <c r="J3356">
        <v>2.1625000000000001</v>
      </c>
      <c r="K3356">
        <v>0.63500000000000001</v>
      </c>
      <c r="L3356">
        <v>0.65690000000000004</v>
      </c>
      <c r="M3356">
        <v>0.25879999999999997</v>
      </c>
      <c r="N3356">
        <f>CONVERT(O3356,"lbf","N")</f>
        <v>11268.234995777897</v>
      </c>
      <c r="O3356">
        <v>2533.1999999999998</v>
      </c>
      <c r="P3356">
        <f t="shared" si="52"/>
        <v>0.39397168518800418</v>
      </c>
    </row>
    <row r="3357" spans="1:16" hidden="1" x14ac:dyDescent="0.25">
      <c r="A3357">
        <v>0</v>
      </c>
      <c r="B3357">
        <v>20000</v>
      </c>
      <c r="C3357">
        <f>1.225 * (1 - 0.00000687559 * B3357) ^ 4.2561</f>
        <v>0.65267221054298263</v>
      </c>
      <c r="D3357">
        <f>E3357*(SQRT($C$2/C3357))</f>
        <v>301.39994193830552</v>
      </c>
      <c r="E3357">
        <v>220</v>
      </c>
      <c r="F3357">
        <v>987</v>
      </c>
      <c r="G3357">
        <v>2500</v>
      </c>
      <c r="H3357">
        <f>CONVERT(G3357,"HP","kW")</f>
        <v>1864.2496789556756</v>
      </c>
      <c r="I3357">
        <v>0.85850000000000004</v>
      </c>
      <c r="J3357">
        <v>2.3786999999999998</v>
      </c>
      <c r="K3357">
        <v>0.6673</v>
      </c>
      <c r="L3357">
        <v>0.65690000000000004</v>
      </c>
      <c r="M3357">
        <v>0.23710000000000001</v>
      </c>
      <c r="N3357">
        <f>CONVERT(O3357,"lbf","N")</f>
        <v>10322.543080373516</v>
      </c>
      <c r="O3357">
        <v>2320.6</v>
      </c>
      <c r="P3357">
        <f t="shared" si="52"/>
        <v>0.36093773785964378</v>
      </c>
    </row>
    <row r="3358" spans="1:16" hidden="1" x14ac:dyDescent="0.25">
      <c r="A3358">
        <v>0</v>
      </c>
      <c r="B3358">
        <v>20000</v>
      </c>
      <c r="C3358">
        <f>1.225 * (1 - 0.00000687559 * B3358) ^ 4.2561</f>
        <v>0.65267221054298263</v>
      </c>
      <c r="D3358">
        <f>E3358*(SQRT($C$2/C3358))</f>
        <v>27.399994721664136</v>
      </c>
      <c r="E3358">
        <v>20</v>
      </c>
      <c r="F3358">
        <v>987</v>
      </c>
      <c r="G3358">
        <v>2500</v>
      </c>
      <c r="H3358">
        <f>CONVERT(G3358,"HP","kW")</f>
        <v>1864.2496789556756</v>
      </c>
      <c r="I3358">
        <v>-8.7499999999999994E-2</v>
      </c>
      <c r="J3358">
        <v>0.2162</v>
      </c>
      <c r="K3358">
        <v>0.43730000000000002</v>
      </c>
      <c r="L3358">
        <v>0.65700000000000003</v>
      </c>
      <c r="M3358">
        <v>-0.26579999999999998</v>
      </c>
      <c r="N3358">
        <f>CONVERT(O3358,"lbf","N")</f>
        <v>-11571.603709938665</v>
      </c>
      <c r="O3358">
        <v>-2601.4</v>
      </c>
      <c r="P3358">
        <f t="shared" si="52"/>
        <v>-0.40456621004566207</v>
      </c>
    </row>
    <row r="3359" spans="1:16" hidden="1" x14ac:dyDescent="0.25">
      <c r="A3359">
        <v>0</v>
      </c>
      <c r="B3359">
        <v>20000</v>
      </c>
      <c r="C3359">
        <f>1.225 * (1 - 0.00000687559 * B3359) ^ 4.2561</f>
        <v>0.65267221054298263</v>
      </c>
      <c r="D3359">
        <f>E3359*(SQRT($C$2/C3359))</f>
        <v>164.3999683299848</v>
      </c>
      <c r="E3359">
        <v>120</v>
      </c>
      <c r="F3359">
        <v>987</v>
      </c>
      <c r="G3359">
        <v>2500</v>
      </c>
      <c r="H3359">
        <f>CONVERT(G3359,"HP","kW")</f>
        <v>1864.2496789556756</v>
      </c>
      <c r="I3359">
        <v>0.63239999999999996</v>
      </c>
      <c r="J3359">
        <v>1.2975000000000001</v>
      </c>
      <c r="K3359">
        <v>0.52349999999999997</v>
      </c>
      <c r="L3359">
        <v>0.6573</v>
      </c>
      <c r="M3359">
        <v>0.32040000000000002</v>
      </c>
      <c r="N3359">
        <f>CONVERT(O3359,"lbf","N")</f>
        <v>13940.726542226408</v>
      </c>
      <c r="O3359">
        <v>3134</v>
      </c>
      <c r="P3359">
        <f t="shared" si="52"/>
        <v>0.4874486535828389</v>
      </c>
    </row>
    <row r="3360" spans="1:16" hidden="1" x14ac:dyDescent="0.25">
      <c r="A3360">
        <v>0</v>
      </c>
      <c r="B3360">
        <v>25000</v>
      </c>
      <c r="C3360">
        <f>1.225 * (1 - 0.00000687559 * B3360) ^ 4.2561</f>
        <v>0.54892259437885793</v>
      </c>
      <c r="D3360">
        <f>E3360*(SQRT($C$2/C3360))</f>
        <v>149.38689160910337</v>
      </c>
      <c r="E3360">
        <v>100</v>
      </c>
      <c r="F3360">
        <v>987</v>
      </c>
      <c r="G3360">
        <v>2250</v>
      </c>
      <c r="H3360">
        <f>CONVERT(G3360,"HP","kW")</f>
        <v>1677.8247110601083</v>
      </c>
      <c r="I3360">
        <v>0.39140000000000003</v>
      </c>
      <c r="J3360">
        <v>1.179</v>
      </c>
      <c r="K3360">
        <v>0.52249999999999996</v>
      </c>
      <c r="L3360">
        <v>0.7026</v>
      </c>
      <c r="M3360">
        <v>0.23319999999999999</v>
      </c>
      <c r="N3360">
        <f>CONVERT(O3360,"lbf","N")</f>
        <v>8544.5889007538954</v>
      </c>
      <c r="O3360">
        <v>1920.9</v>
      </c>
      <c r="P3360">
        <f t="shared" si="52"/>
        <v>0.33191004839168803</v>
      </c>
    </row>
    <row r="3361" spans="1:16" hidden="1" x14ac:dyDescent="0.25">
      <c r="A3361">
        <v>0</v>
      </c>
      <c r="B3361">
        <v>25000</v>
      </c>
      <c r="C3361">
        <f>1.225 * (1 - 0.00000687559 * B3361) ^ 4.2561</f>
        <v>0.54892259437885793</v>
      </c>
      <c r="D3361">
        <f>E3361*(SQRT($C$2/C3361))</f>
        <v>358.52853986184806</v>
      </c>
      <c r="E3361">
        <v>240</v>
      </c>
      <c r="F3361">
        <v>987</v>
      </c>
      <c r="G3361">
        <v>2250</v>
      </c>
      <c r="H3361">
        <f>CONVERT(G3361,"HP","kW")</f>
        <v>1677.8247110601083</v>
      </c>
      <c r="I3361">
        <v>0.82089999999999996</v>
      </c>
      <c r="J3361">
        <v>2.8296000000000001</v>
      </c>
      <c r="K3361">
        <v>0.75370000000000004</v>
      </c>
      <c r="L3361">
        <v>0.70269999999999999</v>
      </c>
      <c r="M3361">
        <v>0.2039</v>
      </c>
      <c r="N3361">
        <f>CONVERT(O3361,"lbf","N")</f>
        <v>7467.6744476993272</v>
      </c>
      <c r="O3361">
        <v>1678.8</v>
      </c>
      <c r="P3361">
        <f t="shared" si="52"/>
        <v>0.29016650064038707</v>
      </c>
    </row>
    <row r="3362" spans="1:16" hidden="1" x14ac:dyDescent="0.25">
      <c r="A3362">
        <v>0</v>
      </c>
      <c r="B3362">
        <v>25000</v>
      </c>
      <c r="C3362">
        <f>1.225 * (1 - 0.00000687559 * B3362) ^ 4.2561</f>
        <v>0.54892259437885793</v>
      </c>
      <c r="D3362">
        <f>E3362*(SQRT($C$2/C3362))</f>
        <v>388.40591818366875</v>
      </c>
      <c r="E3362">
        <v>260</v>
      </c>
      <c r="F3362">
        <v>987</v>
      </c>
      <c r="G3362">
        <v>2250</v>
      </c>
      <c r="H3362">
        <f>CONVERT(G3362,"HP","kW")</f>
        <v>1677.8247110601083</v>
      </c>
      <c r="I3362">
        <v>0.75939999999999996</v>
      </c>
      <c r="J3362">
        <v>3.0653999999999999</v>
      </c>
      <c r="K3362">
        <v>0.79369999999999996</v>
      </c>
      <c r="L3362">
        <v>0.70269999999999999</v>
      </c>
      <c r="M3362">
        <v>0.1741</v>
      </c>
      <c r="N3362">
        <f>CONVERT(O3362,"lbf","N")</f>
        <v>6376.5256854759264</v>
      </c>
      <c r="O3362">
        <v>1433.5</v>
      </c>
      <c r="P3362">
        <f t="shared" si="52"/>
        <v>0.24775864522555857</v>
      </c>
    </row>
    <row r="3363" spans="1:16" hidden="1" x14ac:dyDescent="0.25">
      <c r="A3363">
        <v>0</v>
      </c>
      <c r="B3363">
        <v>25000</v>
      </c>
      <c r="C3363">
        <f>1.225 * (1 - 0.00000687559 * B3363) ^ 4.2561</f>
        <v>0.54892259437885793</v>
      </c>
      <c r="D3363">
        <f>E3363*(SQRT($C$2/C3363))</f>
        <v>59.754756643641343</v>
      </c>
      <c r="E3363">
        <v>40</v>
      </c>
      <c r="F3363">
        <v>987</v>
      </c>
      <c r="G3363">
        <v>2250</v>
      </c>
      <c r="H3363">
        <f>CONVERT(G3363,"HP","kW")</f>
        <v>1677.8247110601083</v>
      </c>
      <c r="I3363">
        <v>-0.20930000000000001</v>
      </c>
      <c r="J3363">
        <v>0.47160000000000002</v>
      </c>
      <c r="K3363">
        <v>0.44740000000000002</v>
      </c>
      <c r="L3363">
        <v>0.70279999999999998</v>
      </c>
      <c r="M3363">
        <v>-0.312</v>
      </c>
      <c r="N3363">
        <f>CONVERT(O3363,"lbf","N")</f>
        <v>-11426.591685281173</v>
      </c>
      <c r="O3363">
        <v>-2568.8000000000002</v>
      </c>
      <c r="P3363">
        <f t="shared" si="52"/>
        <v>-0.443938531587934</v>
      </c>
    </row>
    <row r="3364" spans="1:16" hidden="1" x14ac:dyDescent="0.25">
      <c r="A3364">
        <v>0</v>
      </c>
      <c r="B3364">
        <v>25000</v>
      </c>
      <c r="C3364">
        <f>1.225 * (1 - 0.00000687559 * B3364) ^ 4.2561</f>
        <v>0.54892259437885793</v>
      </c>
      <c r="D3364">
        <f>E3364*(SQRT($C$2/C3364))</f>
        <v>328.65116154002743</v>
      </c>
      <c r="E3364">
        <v>220</v>
      </c>
      <c r="F3364">
        <v>987</v>
      </c>
      <c r="G3364">
        <v>2250</v>
      </c>
      <c r="H3364">
        <f>CONVERT(G3364,"HP","kW")</f>
        <v>1677.8247110601083</v>
      </c>
      <c r="I3364">
        <v>0.84530000000000005</v>
      </c>
      <c r="J3364">
        <v>2.5937999999999999</v>
      </c>
      <c r="K3364">
        <v>0.71499999999999997</v>
      </c>
      <c r="L3364">
        <v>0.70289999999999997</v>
      </c>
      <c r="M3364">
        <v>0.2291</v>
      </c>
      <c r="N3364">
        <f>CONVERT(O3364,"lbf","N")</f>
        <v>8388.4563220582513</v>
      </c>
      <c r="O3364">
        <v>1885.8</v>
      </c>
      <c r="P3364">
        <f t="shared" si="52"/>
        <v>0.32593541044245272</v>
      </c>
    </row>
    <row r="3365" spans="1:16" hidden="1" x14ac:dyDescent="0.25">
      <c r="A3365">
        <v>0</v>
      </c>
      <c r="B3365">
        <v>25000</v>
      </c>
      <c r="C3365">
        <f>1.225 * (1 - 0.00000687559 * B3365) ^ 4.2561</f>
        <v>0.54892259437885793</v>
      </c>
      <c r="D3365">
        <f>E3365*(SQRT($C$2/C3365))</f>
        <v>179.26426993092403</v>
      </c>
      <c r="E3365">
        <v>120</v>
      </c>
      <c r="F3365">
        <v>987</v>
      </c>
      <c r="G3365">
        <v>2250</v>
      </c>
      <c r="H3365">
        <f>CONVERT(G3365,"HP","kW")</f>
        <v>1677.8247110601083</v>
      </c>
      <c r="I3365">
        <v>0.66100000000000003</v>
      </c>
      <c r="J3365">
        <v>1.4148000000000001</v>
      </c>
      <c r="K3365">
        <v>0.54730000000000001</v>
      </c>
      <c r="L3365">
        <v>0.70299999999999996</v>
      </c>
      <c r="M3365">
        <v>0.32850000000000001</v>
      </c>
      <c r="N3365">
        <f>CONVERT(O3365,"lbf","N")</f>
        <v>12026.211959018288</v>
      </c>
      <c r="O3365">
        <v>2703.6</v>
      </c>
      <c r="P3365">
        <f t="shared" si="52"/>
        <v>0.46728307254623047</v>
      </c>
    </row>
    <row r="3366" spans="1:16" hidden="1" x14ac:dyDescent="0.25">
      <c r="A3366">
        <v>0</v>
      </c>
      <c r="B3366">
        <v>25000</v>
      </c>
      <c r="C3366">
        <f>1.225 * (1 - 0.00000687559 * B3366) ^ 4.2561</f>
        <v>0.54892259437885793</v>
      </c>
      <c r="D3366">
        <f>E3366*(SQRT($C$2/C3366))</f>
        <v>209.14164825274472</v>
      </c>
      <c r="E3366">
        <v>140</v>
      </c>
      <c r="F3366">
        <v>987</v>
      </c>
      <c r="G3366">
        <v>2250</v>
      </c>
      <c r="H3366">
        <f>CONVERT(G3366,"HP","kW")</f>
        <v>1677.8247110601083</v>
      </c>
      <c r="I3366">
        <v>0.78</v>
      </c>
      <c r="J3366">
        <v>1.6506000000000001</v>
      </c>
      <c r="K3366">
        <v>0.57620000000000005</v>
      </c>
      <c r="L3366">
        <v>0.70299999999999996</v>
      </c>
      <c r="M3366">
        <v>0.3322</v>
      </c>
      <c r="N3366">
        <f>CONVERT(O3366,"lbf","N")</f>
        <v>12164.106829091363</v>
      </c>
      <c r="O3366">
        <v>2734.6</v>
      </c>
      <c r="P3366">
        <f t="shared" si="52"/>
        <v>0.47254623044096733</v>
      </c>
    </row>
    <row r="3367" spans="1:16" hidden="1" x14ac:dyDescent="0.25">
      <c r="A3367">
        <v>0</v>
      </c>
      <c r="B3367">
        <v>25000</v>
      </c>
      <c r="C3367">
        <f>1.225 * (1 - 0.00000687559 * B3367) ^ 4.2561</f>
        <v>0.54892259437885793</v>
      </c>
      <c r="D3367">
        <f>E3367*(SQRT($C$2/C3367))</f>
        <v>268.89640489638606</v>
      </c>
      <c r="E3367">
        <v>180</v>
      </c>
      <c r="F3367">
        <v>987</v>
      </c>
      <c r="G3367">
        <v>2250</v>
      </c>
      <c r="H3367">
        <f>CONVERT(G3367,"HP","kW")</f>
        <v>1677.8247110601083</v>
      </c>
      <c r="I3367">
        <v>0.8417</v>
      </c>
      <c r="J3367">
        <v>2.1221999999999999</v>
      </c>
      <c r="K3367">
        <v>0.64190000000000003</v>
      </c>
      <c r="L3367">
        <v>0.70299999999999996</v>
      </c>
      <c r="M3367">
        <v>0.27879999999999999</v>
      </c>
      <c r="N3367">
        <f>CONVERT(O3367,"lbf","N")</f>
        <v>10209.113429184374</v>
      </c>
      <c r="O3367">
        <v>2295.1</v>
      </c>
      <c r="P3367">
        <f t="shared" si="52"/>
        <v>0.3965860597439545</v>
      </c>
    </row>
    <row r="3368" spans="1:16" hidden="1" x14ac:dyDescent="0.25">
      <c r="A3368">
        <v>0</v>
      </c>
      <c r="B3368">
        <v>25000</v>
      </c>
      <c r="C3368">
        <f>1.225 * (1 - 0.00000687559 * B3368) ^ 4.2561</f>
        <v>0.54892259437885793</v>
      </c>
      <c r="D3368">
        <f>E3368*(SQRT($C$2/C3368))</f>
        <v>298.77378321820675</v>
      </c>
      <c r="E3368">
        <v>200</v>
      </c>
      <c r="F3368">
        <v>987</v>
      </c>
      <c r="G3368">
        <v>2250</v>
      </c>
      <c r="H3368">
        <f>CONVERT(G3368,"HP","kW")</f>
        <v>1677.8247110601083</v>
      </c>
      <c r="I3368">
        <v>0.85019999999999996</v>
      </c>
      <c r="J3368">
        <v>2.3580000000000001</v>
      </c>
      <c r="K3368">
        <v>0.67769999999999997</v>
      </c>
      <c r="L3368">
        <v>0.70299999999999996</v>
      </c>
      <c r="M3368">
        <v>0.2535</v>
      </c>
      <c r="N3368">
        <f>CONVERT(O3368,"lbf","N")</f>
        <v>9281.659222402559</v>
      </c>
      <c r="O3368">
        <v>2086.6</v>
      </c>
      <c r="P3368">
        <f t="shared" si="52"/>
        <v>0.360597439544808</v>
      </c>
    </row>
    <row r="3369" spans="1:16" hidden="1" x14ac:dyDescent="0.25">
      <c r="A3369">
        <v>0</v>
      </c>
      <c r="B3369">
        <v>25000</v>
      </c>
      <c r="C3369">
        <f>1.225 * (1 - 0.00000687559 * B3369) ^ 4.2561</f>
        <v>0.54892259437885793</v>
      </c>
      <c r="D3369">
        <f>E3369*(SQRT($C$2/C3369))</f>
        <v>0</v>
      </c>
      <c r="E3369">
        <v>0</v>
      </c>
      <c r="F3369">
        <v>987</v>
      </c>
      <c r="G3369">
        <v>2250</v>
      </c>
      <c r="H3369">
        <f>CONVERT(G3369,"HP","kW")</f>
        <v>1677.8247110601083</v>
      </c>
      <c r="I3369">
        <v>0</v>
      </c>
      <c r="J3369">
        <v>0</v>
      </c>
      <c r="K3369">
        <v>0.44969999999999999</v>
      </c>
      <c r="L3369">
        <v>0.70350000000000001</v>
      </c>
      <c r="M3369">
        <v>-0.24890000000000001</v>
      </c>
      <c r="N3369">
        <f>CONVERT(O3369,"lbf","N")</f>
        <v>-9109.0682237304518</v>
      </c>
      <c r="O3369">
        <v>-2047.8</v>
      </c>
      <c r="P3369">
        <f t="shared" si="52"/>
        <v>-0.35380241648898364</v>
      </c>
    </row>
    <row r="3370" spans="1:16" hidden="1" x14ac:dyDescent="0.25">
      <c r="A3370">
        <v>0</v>
      </c>
      <c r="B3370">
        <v>25000</v>
      </c>
      <c r="C3370">
        <f>1.225 * (1 - 0.00000687559 * B3370) ^ 4.2561</f>
        <v>0.54892259437885793</v>
      </c>
      <c r="D3370">
        <f>E3370*(SQRT($C$2/C3370))</f>
        <v>239.01902657456537</v>
      </c>
      <c r="E3370">
        <v>160</v>
      </c>
      <c r="F3370">
        <v>987</v>
      </c>
      <c r="G3370">
        <v>2250</v>
      </c>
      <c r="H3370">
        <f>CONVERT(G3370,"HP","kW")</f>
        <v>1677.8247110601083</v>
      </c>
      <c r="I3370">
        <v>0.82150000000000001</v>
      </c>
      <c r="J3370">
        <v>1.8864000000000001</v>
      </c>
      <c r="K3370">
        <v>0.60799999999999998</v>
      </c>
      <c r="L3370">
        <v>0.70379999999999998</v>
      </c>
      <c r="M3370">
        <v>0.30649999999999999</v>
      </c>
      <c r="N3370">
        <f>CONVERT(O3370,"lbf","N")</f>
        <v>11210.408114779511</v>
      </c>
      <c r="O3370">
        <v>2520.1999999999998</v>
      </c>
      <c r="P3370">
        <f t="shared" si="52"/>
        <v>0.43549303779482806</v>
      </c>
    </row>
    <row r="3371" spans="1:16" hidden="1" x14ac:dyDescent="0.25">
      <c r="A3371">
        <v>0</v>
      </c>
      <c r="B3371">
        <v>20000</v>
      </c>
      <c r="C3371">
        <f>1.225 * (1 - 0.00000687559 * B3371) ^ 4.2561</f>
        <v>0.65267221054298263</v>
      </c>
      <c r="D3371">
        <f>E3371*(SQRT($C$2/C3371))</f>
        <v>191.79996305164894</v>
      </c>
      <c r="E3371">
        <v>140</v>
      </c>
      <c r="F3371">
        <v>987</v>
      </c>
      <c r="G3371">
        <v>2750</v>
      </c>
      <c r="H3371">
        <f>CONVERT(G3371,"HP","kW")</f>
        <v>2050.6746468512433</v>
      </c>
      <c r="I3371">
        <v>0.7198</v>
      </c>
      <c r="J3371">
        <v>1.5137</v>
      </c>
      <c r="K3371">
        <v>0.54759999999999998</v>
      </c>
      <c r="L3371">
        <v>0.72189999999999999</v>
      </c>
      <c r="M3371">
        <v>0.34329999999999999</v>
      </c>
      <c r="N3371">
        <f>CONVERT(O3371,"lbf","N")</f>
        <v>14959.814114282586</v>
      </c>
      <c r="O3371">
        <v>3363.1</v>
      </c>
      <c r="P3371">
        <f t="shared" si="52"/>
        <v>0.47555063028120237</v>
      </c>
    </row>
    <row r="3372" spans="1:16" hidden="1" x14ac:dyDescent="0.25">
      <c r="A3372">
        <v>0</v>
      </c>
      <c r="B3372">
        <v>20000</v>
      </c>
      <c r="C3372">
        <f>1.225 * (1 - 0.00000687559 * B3372) ^ 4.2561</f>
        <v>0.65267221054298263</v>
      </c>
      <c r="D3372">
        <f>E3372*(SQRT($C$2/C3372))</f>
        <v>82.199984164992401</v>
      </c>
      <c r="E3372">
        <v>60</v>
      </c>
      <c r="F3372">
        <v>987</v>
      </c>
      <c r="G3372">
        <v>2750</v>
      </c>
      <c r="H3372">
        <f>CONVERT(G3372,"HP","kW")</f>
        <v>2050.6746468512433</v>
      </c>
      <c r="I3372">
        <v>-0.32119999999999999</v>
      </c>
      <c r="J3372">
        <v>0.64870000000000005</v>
      </c>
      <c r="K3372">
        <v>0.44290000000000002</v>
      </c>
      <c r="L3372">
        <v>0.72240000000000004</v>
      </c>
      <c r="M3372">
        <v>-0.35759999999999997</v>
      </c>
      <c r="N3372">
        <f>CONVERT(O3372,"lbf","N")</f>
        <v>-15575.003163673115</v>
      </c>
      <c r="O3372">
        <v>-3501.4</v>
      </c>
      <c r="P3372">
        <f t="shared" si="52"/>
        <v>-0.49501661129568097</v>
      </c>
    </row>
    <row r="3373" spans="1:16" hidden="1" x14ac:dyDescent="0.25">
      <c r="A3373">
        <v>0</v>
      </c>
      <c r="B3373">
        <v>20000</v>
      </c>
      <c r="C3373">
        <f>1.225 * (1 - 0.00000687559 * B3373) ^ 4.2561</f>
        <v>0.65267221054298263</v>
      </c>
      <c r="D3373">
        <f>E3373*(SQRT($C$2/C3373))</f>
        <v>273.99994721664137</v>
      </c>
      <c r="E3373">
        <v>200</v>
      </c>
      <c r="F3373">
        <v>987</v>
      </c>
      <c r="G3373">
        <v>2750</v>
      </c>
      <c r="H3373">
        <f>CONVERT(G3373,"HP","kW")</f>
        <v>2050.6746468512433</v>
      </c>
      <c r="I3373">
        <v>0.84150000000000003</v>
      </c>
      <c r="J3373">
        <v>2.1625000000000001</v>
      </c>
      <c r="K3373">
        <v>0.63480000000000003</v>
      </c>
      <c r="L3373">
        <v>0.72250000000000003</v>
      </c>
      <c r="M3373">
        <v>0.28120000000000001</v>
      </c>
      <c r="N3373">
        <f>CONVERT(O3373,"lbf","N")</f>
        <v>12242.840351681476</v>
      </c>
      <c r="O3373">
        <v>2752.3</v>
      </c>
      <c r="P3373">
        <f t="shared" si="52"/>
        <v>0.38920415224913496</v>
      </c>
    </row>
    <row r="3374" spans="1:16" hidden="1" x14ac:dyDescent="0.25">
      <c r="A3374">
        <v>0</v>
      </c>
      <c r="B3374">
        <v>20000</v>
      </c>
      <c r="C3374">
        <f>1.225 * (1 - 0.00000687559 * B3374) ^ 4.2561</f>
        <v>0.65267221054298263</v>
      </c>
      <c r="D3374">
        <f>E3374*(SQRT($C$2/C3374))</f>
        <v>356.19993138163375</v>
      </c>
      <c r="E3374">
        <v>260</v>
      </c>
      <c r="F3374">
        <v>987</v>
      </c>
      <c r="G3374">
        <v>2750</v>
      </c>
      <c r="H3374">
        <f>CONVERT(G3374,"HP","kW")</f>
        <v>2050.6746468512433</v>
      </c>
      <c r="I3374">
        <v>0.82530000000000003</v>
      </c>
      <c r="J3374">
        <v>2.8111999999999999</v>
      </c>
      <c r="K3374">
        <v>0.73550000000000004</v>
      </c>
      <c r="L3374">
        <v>0.72250000000000003</v>
      </c>
      <c r="M3374">
        <v>0.21210000000000001</v>
      </c>
      <c r="N3374">
        <f>CONVERT(O3374,"lbf","N")</f>
        <v>9236.287361926903</v>
      </c>
      <c r="O3374">
        <v>2076.4</v>
      </c>
      <c r="P3374">
        <f t="shared" si="52"/>
        <v>0.29356401384083047</v>
      </c>
    </row>
    <row r="3375" spans="1:16" hidden="1" x14ac:dyDescent="0.25">
      <c r="A3375">
        <v>0</v>
      </c>
      <c r="B3375">
        <v>20000</v>
      </c>
      <c r="C3375">
        <f>1.225 * (1 - 0.00000687559 * B3375) ^ 4.2561</f>
        <v>0.65267221054298263</v>
      </c>
      <c r="D3375">
        <f>E3375*(SQRT($C$2/C3375))</f>
        <v>0</v>
      </c>
      <c r="E3375">
        <v>0</v>
      </c>
      <c r="F3375">
        <v>987</v>
      </c>
      <c r="G3375">
        <v>2750</v>
      </c>
      <c r="H3375">
        <f>CONVERT(G3375,"HP","kW")</f>
        <v>2050.6746468512433</v>
      </c>
      <c r="I3375">
        <v>0</v>
      </c>
      <c r="J3375">
        <v>0</v>
      </c>
      <c r="K3375">
        <v>0.44019999999999998</v>
      </c>
      <c r="L3375">
        <v>0.72260000000000002</v>
      </c>
      <c r="M3375">
        <v>-0.255</v>
      </c>
      <c r="N3375">
        <f>CONVERT(O3375,"lbf","N")</f>
        <v>-11101.871507367157</v>
      </c>
      <c r="O3375">
        <v>-2495.8000000000002</v>
      </c>
      <c r="P3375">
        <f t="shared" si="52"/>
        <v>-0.35289233324107389</v>
      </c>
    </row>
    <row r="3376" spans="1:16" hidden="1" x14ac:dyDescent="0.25">
      <c r="A3376">
        <v>0</v>
      </c>
      <c r="B3376">
        <v>20000</v>
      </c>
      <c r="C3376">
        <f>1.225 * (1 - 0.00000687559 * B3376) ^ 4.2561</f>
        <v>0.65267221054298263</v>
      </c>
      <c r="D3376">
        <f>E3376*(SQRT($C$2/C3376))</f>
        <v>27.399994721664136</v>
      </c>
      <c r="E3376">
        <v>20</v>
      </c>
      <c r="F3376">
        <v>987</v>
      </c>
      <c r="G3376">
        <v>2750</v>
      </c>
      <c r="H3376">
        <f>CONVERT(G3376,"HP","kW")</f>
        <v>2050.6746468512433</v>
      </c>
      <c r="I3376">
        <v>-8.3299999999999999E-2</v>
      </c>
      <c r="J3376">
        <v>0.2162</v>
      </c>
      <c r="K3376">
        <v>0.43619999999999998</v>
      </c>
      <c r="L3376">
        <v>0.72260000000000002</v>
      </c>
      <c r="M3376">
        <v>-0.27829999999999999</v>
      </c>
      <c r="N3376">
        <f>CONVERT(O3376,"lbf","N")</f>
        <v>-12116.066035646551</v>
      </c>
      <c r="O3376">
        <v>-2723.8</v>
      </c>
      <c r="P3376">
        <f t="shared" si="52"/>
        <v>-0.38513700525878769</v>
      </c>
    </row>
    <row r="3377" spans="1:16" hidden="1" x14ac:dyDescent="0.25">
      <c r="A3377">
        <v>0</v>
      </c>
      <c r="B3377">
        <v>20000</v>
      </c>
      <c r="C3377">
        <f>1.225 * (1 - 0.00000687559 * B3377) ^ 4.2561</f>
        <v>0.65267221054298263</v>
      </c>
      <c r="D3377">
        <f>E3377*(SQRT($C$2/C3377))</f>
        <v>164.3999683299848</v>
      </c>
      <c r="E3377">
        <v>120</v>
      </c>
      <c r="F3377">
        <v>987</v>
      </c>
      <c r="G3377">
        <v>2750</v>
      </c>
      <c r="H3377">
        <f>CONVERT(G3377,"HP","kW")</f>
        <v>2050.6746468512433</v>
      </c>
      <c r="I3377">
        <v>0.50190000000000001</v>
      </c>
      <c r="J3377">
        <v>1.2975000000000001</v>
      </c>
      <c r="K3377">
        <v>0.52370000000000005</v>
      </c>
      <c r="L3377">
        <v>0.72260000000000002</v>
      </c>
      <c r="M3377">
        <v>0.27950000000000003</v>
      </c>
      <c r="N3377">
        <f>CONVERT(O3377,"lbf","N")</f>
        <v>12170.334339352728</v>
      </c>
      <c r="O3377">
        <v>2736</v>
      </c>
      <c r="P3377">
        <f t="shared" si="52"/>
        <v>0.38679767506227514</v>
      </c>
    </row>
    <row r="3378" spans="1:16" hidden="1" x14ac:dyDescent="0.25">
      <c r="A3378">
        <v>0</v>
      </c>
      <c r="B3378">
        <v>20000</v>
      </c>
      <c r="C3378">
        <f>1.225 * (1 - 0.00000687559 * B3378) ^ 4.2561</f>
        <v>0.65267221054298263</v>
      </c>
      <c r="D3378">
        <f>E3378*(SQRT($C$2/C3378))</f>
        <v>219.19995777331309</v>
      </c>
      <c r="E3378">
        <v>160</v>
      </c>
      <c r="F3378">
        <v>987</v>
      </c>
      <c r="G3378">
        <v>2750</v>
      </c>
      <c r="H3378">
        <f>CONVERT(G3378,"HP","kW")</f>
        <v>2050.6746468512433</v>
      </c>
      <c r="I3378">
        <v>0.79220000000000002</v>
      </c>
      <c r="J3378">
        <v>1.73</v>
      </c>
      <c r="K3378">
        <v>0.57469999999999999</v>
      </c>
      <c r="L3378">
        <v>0.72260000000000002</v>
      </c>
      <c r="M3378">
        <v>0.33090000000000003</v>
      </c>
      <c r="N3378">
        <f>CONVERT(O3378,"lbf","N")</f>
        <v>14406.010523182655</v>
      </c>
      <c r="O3378">
        <v>3238.6</v>
      </c>
      <c r="P3378">
        <f t="shared" si="52"/>
        <v>0.45792969831165237</v>
      </c>
    </row>
    <row r="3379" spans="1:16" hidden="1" x14ac:dyDescent="0.25">
      <c r="A3379">
        <v>0</v>
      </c>
      <c r="B3379">
        <v>20000</v>
      </c>
      <c r="C3379">
        <f>1.225 * (1 - 0.00000687559 * B3379) ^ 4.2561</f>
        <v>0.65267221054298263</v>
      </c>
      <c r="D3379">
        <f>E3379*(SQRT($C$2/C3379))</f>
        <v>301.39994193830552</v>
      </c>
      <c r="E3379">
        <v>220</v>
      </c>
      <c r="F3379">
        <v>987</v>
      </c>
      <c r="G3379">
        <v>2750</v>
      </c>
      <c r="H3379">
        <f>CONVERT(G3379,"HP","kW")</f>
        <v>2050.6746468512433</v>
      </c>
      <c r="I3379">
        <v>0.84889999999999999</v>
      </c>
      <c r="J3379">
        <v>2.3786999999999998</v>
      </c>
      <c r="K3379">
        <v>0.66710000000000003</v>
      </c>
      <c r="L3379">
        <v>0.72260000000000002</v>
      </c>
      <c r="M3379">
        <v>0.25790000000000002</v>
      </c>
      <c r="N3379">
        <f>CONVERT(O3379,"lbf","N")</f>
        <v>11227.756179079028</v>
      </c>
      <c r="O3379">
        <v>2524.1</v>
      </c>
      <c r="P3379">
        <f t="shared" si="52"/>
        <v>0.35690561859950182</v>
      </c>
    </row>
    <row r="3380" spans="1:16" hidden="1" x14ac:dyDescent="0.25">
      <c r="A3380">
        <v>0</v>
      </c>
      <c r="B3380">
        <v>20000</v>
      </c>
      <c r="C3380">
        <f>1.225 * (1 - 0.00000687559 * B3380) ^ 4.2561</f>
        <v>0.65267221054298263</v>
      </c>
      <c r="D3380">
        <f>E3380*(SQRT($C$2/C3380))</f>
        <v>328.7999366599696</v>
      </c>
      <c r="E3380">
        <v>240</v>
      </c>
      <c r="F3380">
        <v>987</v>
      </c>
      <c r="G3380">
        <v>2750</v>
      </c>
      <c r="H3380">
        <f>CONVERT(G3380,"HP","kW")</f>
        <v>2050.6746468512433</v>
      </c>
      <c r="I3380">
        <v>0.84499999999999997</v>
      </c>
      <c r="J3380">
        <v>2.5950000000000002</v>
      </c>
      <c r="K3380">
        <v>0.70079999999999998</v>
      </c>
      <c r="L3380">
        <v>0.72260000000000002</v>
      </c>
      <c r="M3380">
        <v>0.23530000000000001</v>
      </c>
      <c r="N3380">
        <f>CONVERT(O3380,"lbf","N")</f>
        <v>10244.25437994493</v>
      </c>
      <c r="O3380">
        <v>2303</v>
      </c>
      <c r="P3380">
        <f t="shared" si="52"/>
        <v>0.32562967063382231</v>
      </c>
    </row>
    <row r="3381" spans="1:16" hidden="1" x14ac:dyDescent="0.25">
      <c r="A3381">
        <v>0</v>
      </c>
      <c r="B3381">
        <v>20000</v>
      </c>
      <c r="C3381">
        <f>1.225 * (1 - 0.00000687559 * B3381) ^ 4.2561</f>
        <v>0.65267221054298263</v>
      </c>
      <c r="D3381">
        <f>E3381*(SQRT($C$2/C3381))</f>
        <v>246.59995249497723</v>
      </c>
      <c r="E3381">
        <v>180</v>
      </c>
      <c r="F3381">
        <v>987</v>
      </c>
      <c r="G3381">
        <v>2750</v>
      </c>
      <c r="H3381">
        <f>CONVERT(G3381,"HP","kW")</f>
        <v>2050.6746468512433</v>
      </c>
      <c r="I3381">
        <v>0.82489999999999997</v>
      </c>
      <c r="J3381">
        <v>1.9461999999999999</v>
      </c>
      <c r="K3381">
        <v>0.60389999999999999</v>
      </c>
      <c r="L3381">
        <v>0.72340000000000004</v>
      </c>
      <c r="M3381">
        <v>0.30659999999999998</v>
      </c>
      <c r="N3381">
        <f>CONVERT(O3381,"lbf","N")</f>
        <v>13333.54429174335</v>
      </c>
      <c r="O3381">
        <v>2997.5</v>
      </c>
      <c r="P3381">
        <f t="shared" si="52"/>
        <v>0.42383190489355815</v>
      </c>
    </row>
    <row r="3382" spans="1:16" hidden="1" x14ac:dyDescent="0.25">
      <c r="A3382">
        <v>0</v>
      </c>
      <c r="B3382">
        <v>30000</v>
      </c>
      <c r="C3382">
        <f>1.225 * (1 - 0.00000687559 * B3382) ^ 4.2561</f>
        <v>0.45828836225470948</v>
      </c>
      <c r="D3382">
        <f>E3382*(SQRT($C$2/C3382))</f>
        <v>163.49279932253233</v>
      </c>
      <c r="E3382">
        <v>100</v>
      </c>
      <c r="F3382">
        <v>987</v>
      </c>
      <c r="G3382">
        <v>2000</v>
      </c>
      <c r="H3382">
        <f>CONVERT(G3382,"HP","kW")</f>
        <v>1491.3997431645405</v>
      </c>
      <c r="I3382">
        <v>0.42480000000000001</v>
      </c>
      <c r="J3382">
        <v>1.2903</v>
      </c>
      <c r="K3382">
        <v>0.54530000000000001</v>
      </c>
      <c r="L3382">
        <v>0.74760000000000004</v>
      </c>
      <c r="M3382">
        <v>0.24610000000000001</v>
      </c>
      <c r="N3382">
        <f>CONVERT(O3382,"lbf","N")</f>
        <v>7531.7288389590785</v>
      </c>
      <c r="O3382">
        <v>1693.2</v>
      </c>
      <c r="P3382">
        <f t="shared" si="52"/>
        <v>0.32918673087212413</v>
      </c>
    </row>
    <row r="3383" spans="1:16" hidden="1" x14ac:dyDescent="0.25">
      <c r="A3383">
        <v>0</v>
      </c>
      <c r="B3383">
        <v>30000</v>
      </c>
      <c r="C3383">
        <f>1.225 * (1 - 0.00000687559 * B3383) ^ 4.2561</f>
        <v>0.45828836225470948</v>
      </c>
      <c r="D3383">
        <f>E3383*(SQRT($C$2/C3383))</f>
        <v>196.19135918703881</v>
      </c>
      <c r="E3383">
        <v>120</v>
      </c>
      <c r="F3383">
        <v>987</v>
      </c>
      <c r="G3383">
        <v>2000</v>
      </c>
      <c r="H3383">
        <f>CONVERT(G3383,"HP","kW")</f>
        <v>1491.3997431645405</v>
      </c>
      <c r="I3383">
        <v>0.70320000000000005</v>
      </c>
      <c r="J3383">
        <v>1.5484</v>
      </c>
      <c r="K3383">
        <v>0.57509999999999994</v>
      </c>
      <c r="L3383">
        <v>0.74770000000000003</v>
      </c>
      <c r="M3383">
        <v>0.33950000000000002</v>
      </c>
      <c r="N3383">
        <f>CONVERT(O3383,"lbf","N")</f>
        <v>10390.600871087003</v>
      </c>
      <c r="O3383">
        <v>2335.9</v>
      </c>
      <c r="P3383">
        <f t="shared" si="52"/>
        <v>0.4540591146181624</v>
      </c>
    </row>
    <row r="3384" spans="1:16" hidden="1" x14ac:dyDescent="0.25">
      <c r="A3384">
        <v>0</v>
      </c>
      <c r="B3384">
        <v>30000</v>
      </c>
      <c r="C3384">
        <f>1.225 * (1 - 0.00000687559 * B3384) ^ 4.2561</f>
        <v>0.45828836225470948</v>
      </c>
      <c r="D3384">
        <f>E3384*(SQRT($C$2/C3384))</f>
        <v>294.28703878055819</v>
      </c>
      <c r="E3384">
        <v>180</v>
      </c>
      <c r="F3384">
        <v>987</v>
      </c>
      <c r="G3384">
        <v>2000</v>
      </c>
      <c r="H3384">
        <f>CONVERT(G3384,"HP","kW")</f>
        <v>1491.3997431645405</v>
      </c>
      <c r="I3384">
        <v>0.84119999999999995</v>
      </c>
      <c r="J3384">
        <v>2.3226</v>
      </c>
      <c r="K3384">
        <v>0.6865</v>
      </c>
      <c r="L3384">
        <v>0.74809999999999999</v>
      </c>
      <c r="M3384">
        <v>0.27089999999999997</v>
      </c>
      <c r="N3384">
        <f>CONVERT(O3384,"lbf","N")</f>
        <v>8287.0368692303127</v>
      </c>
      <c r="O3384">
        <v>1863</v>
      </c>
      <c r="P3384">
        <f t="shared" si="52"/>
        <v>0.36211736398877153</v>
      </c>
    </row>
    <row r="3385" spans="1:16" hidden="1" x14ac:dyDescent="0.25">
      <c r="A3385">
        <v>0</v>
      </c>
      <c r="B3385">
        <v>30000</v>
      </c>
      <c r="C3385">
        <f>1.225 * (1 - 0.00000687559 * B3385) ^ 4.2561</f>
        <v>0.45828836225470948</v>
      </c>
      <c r="D3385">
        <f>E3385*(SQRT($C$2/C3385))</f>
        <v>32.698559864506464</v>
      </c>
      <c r="E3385">
        <v>20</v>
      </c>
      <c r="F3385">
        <v>987</v>
      </c>
      <c r="G3385">
        <v>2000</v>
      </c>
      <c r="H3385">
        <f>CONVERT(G3385,"HP","kW")</f>
        <v>1491.3997431645405</v>
      </c>
      <c r="I3385">
        <v>-9.7500000000000003E-2</v>
      </c>
      <c r="J3385">
        <v>0.2581</v>
      </c>
      <c r="K3385">
        <v>0.45450000000000002</v>
      </c>
      <c r="L3385">
        <v>0.74829999999999997</v>
      </c>
      <c r="M3385">
        <v>-0.28260000000000002</v>
      </c>
      <c r="N3385">
        <f>CONVERT(O3385,"lbf","N")</f>
        <v>-8641.5601319665748</v>
      </c>
      <c r="O3385">
        <v>-1942.7</v>
      </c>
      <c r="P3385">
        <f t="shared" si="52"/>
        <v>-0.37765602031270884</v>
      </c>
    </row>
    <row r="3386" spans="1:16" hidden="1" x14ac:dyDescent="0.25">
      <c r="A3386">
        <v>0</v>
      </c>
      <c r="B3386">
        <v>30000</v>
      </c>
      <c r="C3386">
        <f>1.225 * (1 - 0.00000687559 * B3386) ^ 4.2561</f>
        <v>0.45828836225470948</v>
      </c>
      <c r="D3386">
        <f>E3386*(SQRT($C$2/C3386))</f>
        <v>261.58847891605171</v>
      </c>
      <c r="E3386">
        <v>160</v>
      </c>
      <c r="F3386">
        <v>987</v>
      </c>
      <c r="G3386">
        <v>2000</v>
      </c>
      <c r="H3386">
        <f>CONVERT(G3386,"HP","kW")</f>
        <v>1491.3997431645405</v>
      </c>
      <c r="I3386">
        <v>0.82830000000000004</v>
      </c>
      <c r="J3386">
        <v>2.0644999999999998</v>
      </c>
      <c r="K3386">
        <v>0.64680000000000004</v>
      </c>
      <c r="L3386">
        <v>0.74829999999999997</v>
      </c>
      <c r="M3386">
        <v>0.30020000000000002</v>
      </c>
      <c r="N3386">
        <f>CONVERT(O3386,"lbf","N")</f>
        <v>9180.2397695746204</v>
      </c>
      <c r="O3386">
        <v>2063.8000000000002</v>
      </c>
      <c r="P3386">
        <f t="shared" si="52"/>
        <v>0.4011759989309101</v>
      </c>
    </row>
    <row r="3387" spans="1:16" hidden="1" x14ac:dyDescent="0.25">
      <c r="A3387">
        <v>0</v>
      </c>
      <c r="B3387">
        <v>30000</v>
      </c>
      <c r="C3387">
        <f>1.225 * (1 - 0.00000687559 * B3387) ^ 4.2561</f>
        <v>0.45828836225470948</v>
      </c>
      <c r="D3387">
        <f>E3387*(SQRT($C$2/C3387))</f>
        <v>392.38271837407763</v>
      </c>
      <c r="E3387">
        <v>240</v>
      </c>
      <c r="F3387">
        <v>987</v>
      </c>
      <c r="G3387">
        <v>2000</v>
      </c>
      <c r="H3387">
        <f>CONVERT(G3387,"HP","kW")</f>
        <v>1491.3997431645405</v>
      </c>
      <c r="I3387">
        <v>0.70860000000000001</v>
      </c>
      <c r="J3387">
        <v>3.0968</v>
      </c>
      <c r="K3387">
        <v>0.81599999999999995</v>
      </c>
      <c r="L3387">
        <v>0.74829999999999997</v>
      </c>
      <c r="M3387">
        <v>0.17119999999999999</v>
      </c>
      <c r="N3387">
        <f>CONVERT(O3387,"lbf","N")</f>
        <v>5236.0016633231344</v>
      </c>
      <c r="O3387">
        <v>1177.0999999999999</v>
      </c>
      <c r="P3387">
        <f t="shared" si="52"/>
        <v>0.22878524655886676</v>
      </c>
    </row>
    <row r="3388" spans="1:16" hidden="1" x14ac:dyDescent="0.25">
      <c r="A3388">
        <v>0</v>
      </c>
      <c r="B3388">
        <v>30000</v>
      </c>
      <c r="C3388">
        <f>1.225 * (1 - 0.00000687559 * B3388) ^ 4.2561</f>
        <v>0.45828836225470948</v>
      </c>
      <c r="D3388">
        <f>E3388*(SQRT($C$2/C3388))</f>
        <v>0</v>
      </c>
      <c r="E3388">
        <v>0</v>
      </c>
      <c r="F3388">
        <v>987</v>
      </c>
      <c r="G3388">
        <v>2000</v>
      </c>
      <c r="H3388">
        <f>CONVERT(G3388,"HP","kW")</f>
        <v>1491.3997431645405</v>
      </c>
      <c r="I3388">
        <v>0</v>
      </c>
      <c r="J3388">
        <v>0</v>
      </c>
      <c r="K3388">
        <v>0.45889999999999997</v>
      </c>
      <c r="L3388">
        <v>0.74839999999999995</v>
      </c>
      <c r="M3388">
        <v>-0.25359999999999999</v>
      </c>
      <c r="N3388">
        <f>CONVERT(O3388,"lbf","N")</f>
        <v>-7754.1399197221044</v>
      </c>
      <c r="O3388">
        <v>-1743.2</v>
      </c>
      <c r="P3388">
        <f t="shared" si="52"/>
        <v>-0.3388562266167825</v>
      </c>
    </row>
    <row r="3389" spans="1:16" hidden="1" x14ac:dyDescent="0.25">
      <c r="A3389">
        <v>0</v>
      </c>
      <c r="B3389">
        <v>30000</v>
      </c>
      <c r="C3389">
        <f>1.225 * (1 - 0.00000687559 * B3389) ^ 4.2561</f>
        <v>0.45828836225470948</v>
      </c>
      <c r="D3389">
        <f>E3389*(SQRT($C$2/C3389))</f>
        <v>326.98559864506467</v>
      </c>
      <c r="E3389">
        <v>200</v>
      </c>
      <c r="F3389">
        <v>987</v>
      </c>
      <c r="G3389">
        <v>2000</v>
      </c>
      <c r="H3389">
        <f>CONVERT(G3389,"HP","kW")</f>
        <v>1491.3997431645405</v>
      </c>
      <c r="I3389">
        <v>0.83530000000000004</v>
      </c>
      <c r="J3389">
        <v>2.5807000000000002</v>
      </c>
      <c r="K3389">
        <v>0.72809999999999997</v>
      </c>
      <c r="L3389">
        <v>0.74839999999999995</v>
      </c>
      <c r="M3389">
        <v>0.2422</v>
      </c>
      <c r="N3389">
        <f>CONVERT(O3389,"lbf","N")</f>
        <v>7405.8441672472072</v>
      </c>
      <c r="O3389">
        <v>1664.9</v>
      </c>
      <c r="P3389">
        <f t="shared" si="52"/>
        <v>0.32362373062533406</v>
      </c>
    </row>
    <row r="3390" spans="1:16" hidden="1" x14ac:dyDescent="0.25">
      <c r="A3390">
        <v>0</v>
      </c>
      <c r="B3390">
        <v>30000</v>
      </c>
      <c r="C3390">
        <f>1.225 * (1 - 0.00000687559 * B3390) ^ 4.2561</f>
        <v>0.45828836225470948</v>
      </c>
      <c r="D3390">
        <f>E3390*(SQRT($C$2/C3390))</f>
        <v>359.68415850957115</v>
      </c>
      <c r="E3390">
        <v>220</v>
      </c>
      <c r="F3390">
        <v>987</v>
      </c>
      <c r="G3390">
        <v>2000</v>
      </c>
      <c r="H3390">
        <f>CONVERT(G3390,"HP","kW")</f>
        <v>1491.3997431645405</v>
      </c>
      <c r="I3390">
        <v>0.80740000000000001</v>
      </c>
      <c r="J3390">
        <v>2.8386999999999998</v>
      </c>
      <c r="K3390">
        <v>0.77129999999999999</v>
      </c>
      <c r="L3390">
        <v>0.74839999999999995</v>
      </c>
      <c r="M3390">
        <v>0.21290000000000001</v>
      </c>
      <c r="N3390">
        <f>CONVERT(O3390,"lbf","N")</f>
        <v>6507.748223126112</v>
      </c>
      <c r="O3390">
        <v>1463</v>
      </c>
      <c r="P3390">
        <f t="shared" si="52"/>
        <v>0.28447354355959381</v>
      </c>
    </row>
    <row r="3391" spans="1:16" hidden="1" x14ac:dyDescent="0.25">
      <c r="A3391">
        <v>0</v>
      </c>
      <c r="B3391">
        <v>30000</v>
      </c>
      <c r="C3391">
        <f>1.225 * (1 - 0.00000687559 * B3391) ^ 4.2561</f>
        <v>0.45828836225470948</v>
      </c>
      <c r="D3391">
        <f>E3391*(SQRT($C$2/C3391))</f>
        <v>425.08127823858405</v>
      </c>
      <c r="E3391">
        <v>260</v>
      </c>
      <c r="F3391">
        <v>987</v>
      </c>
      <c r="G3391">
        <v>2000</v>
      </c>
      <c r="H3391">
        <f>CONVERT(G3391,"HP","kW")</f>
        <v>1491.3997431645405</v>
      </c>
      <c r="I3391">
        <v>0.48599999999999999</v>
      </c>
      <c r="J3391">
        <v>3.3548</v>
      </c>
      <c r="K3391">
        <v>0.86199999999999999</v>
      </c>
      <c r="L3391">
        <v>0.74839999999999995</v>
      </c>
      <c r="M3391">
        <v>0.1084</v>
      </c>
      <c r="N3391">
        <f>CONVERT(O3391,"lbf","N")</f>
        <v>3314.8147476921249</v>
      </c>
      <c r="O3391">
        <v>745.2</v>
      </c>
      <c r="P3391">
        <f t="shared" si="52"/>
        <v>0.14484233030464994</v>
      </c>
    </row>
    <row r="3392" spans="1:16" hidden="1" x14ac:dyDescent="0.25">
      <c r="A3392">
        <v>0</v>
      </c>
      <c r="B3392">
        <v>30000</v>
      </c>
      <c r="C3392">
        <f>1.225 * (1 - 0.00000687559 * B3392) ^ 4.2561</f>
        <v>0.45828836225470948</v>
      </c>
      <c r="D3392">
        <f>E3392*(SQRT($C$2/C3392))</f>
        <v>228.88991905154526</v>
      </c>
      <c r="E3392">
        <v>140</v>
      </c>
      <c r="F3392">
        <v>987</v>
      </c>
      <c r="G3392">
        <v>2000</v>
      </c>
      <c r="H3392">
        <f>CONVERT(G3392,"HP","kW")</f>
        <v>1491.3997431645405</v>
      </c>
      <c r="I3392">
        <v>0.79500000000000004</v>
      </c>
      <c r="J3392">
        <v>1.8065</v>
      </c>
      <c r="K3392">
        <v>0.60950000000000004</v>
      </c>
      <c r="L3392">
        <v>0.74880000000000002</v>
      </c>
      <c r="M3392">
        <v>0.32950000000000002</v>
      </c>
      <c r="N3392">
        <f>CONVERT(O3392,"lbf","N")</f>
        <v>10069.88409262672</v>
      </c>
      <c r="O3392">
        <v>2263.8000000000002</v>
      </c>
      <c r="P3392">
        <f t="shared" si="52"/>
        <v>0.44003739316239315</v>
      </c>
    </row>
    <row r="3393" spans="1:16" hidden="1" x14ac:dyDescent="0.25">
      <c r="A3393">
        <v>0</v>
      </c>
      <c r="B3393">
        <v>25000</v>
      </c>
      <c r="C3393">
        <f>1.225 * (1 - 0.00000687559 * B3393) ^ 4.2561</f>
        <v>0.54892259437885793</v>
      </c>
      <c r="D3393">
        <f>E3393*(SQRT($C$2/C3393))</f>
        <v>0</v>
      </c>
      <c r="E3393">
        <v>0</v>
      </c>
      <c r="F3393">
        <v>987</v>
      </c>
      <c r="G3393">
        <v>2500</v>
      </c>
      <c r="H3393">
        <f>CONVERT(G3393,"HP","kW")</f>
        <v>1864.2496789556756</v>
      </c>
      <c r="I3393">
        <v>0</v>
      </c>
      <c r="J3393">
        <v>0</v>
      </c>
      <c r="K3393">
        <v>0.4486</v>
      </c>
      <c r="L3393">
        <v>0.78059999999999996</v>
      </c>
      <c r="M3393">
        <v>-0.2616</v>
      </c>
      <c r="N3393">
        <f>CONVERT(O3393,"lbf","N")</f>
        <v>-9586.3624030479041</v>
      </c>
      <c r="O3393">
        <v>-2155.1</v>
      </c>
      <c r="P3393">
        <f t="shared" si="52"/>
        <v>-0.33512682551883166</v>
      </c>
    </row>
    <row r="3394" spans="1:16" hidden="1" x14ac:dyDescent="0.25">
      <c r="A3394">
        <v>0</v>
      </c>
      <c r="B3394">
        <v>25000</v>
      </c>
      <c r="C3394">
        <f>1.225 * (1 - 0.00000687559 * B3394) ^ 4.2561</f>
        <v>0.54892259437885793</v>
      </c>
      <c r="D3394">
        <f>E3394*(SQRT($C$2/C3394))</f>
        <v>29.877378321820672</v>
      </c>
      <c r="E3394">
        <v>20</v>
      </c>
      <c r="F3394">
        <v>987</v>
      </c>
      <c r="G3394">
        <v>2500</v>
      </c>
      <c r="H3394">
        <f>CONVERT(G3394,"HP","kW")</f>
        <v>1864.2496789556756</v>
      </c>
      <c r="I3394">
        <v>-5.8500000000000003E-2</v>
      </c>
      <c r="J3394">
        <v>0.23580000000000001</v>
      </c>
      <c r="K3394">
        <v>0.38350000000000001</v>
      </c>
      <c r="L3394">
        <v>0.78080000000000005</v>
      </c>
      <c r="M3394">
        <v>-0.1938</v>
      </c>
      <c r="N3394">
        <f>CONVERT(O3394,"lbf","N")</f>
        <v>-7098.4720536327068</v>
      </c>
      <c r="O3394">
        <v>-1595.8</v>
      </c>
      <c r="P3394">
        <f t="shared" si="52"/>
        <v>-0.24820696721311475</v>
      </c>
    </row>
    <row r="3395" spans="1:16" hidden="1" x14ac:dyDescent="0.25">
      <c r="A3395">
        <v>0</v>
      </c>
      <c r="B3395">
        <v>25000</v>
      </c>
      <c r="C3395">
        <f>1.225 * (1 - 0.00000687559 * B3395) ^ 4.2561</f>
        <v>0.54892259437885793</v>
      </c>
      <c r="D3395">
        <f>E3395*(SQRT($C$2/C3395))</f>
        <v>209.14164825274472</v>
      </c>
      <c r="E3395">
        <v>140</v>
      </c>
      <c r="F3395">
        <v>987</v>
      </c>
      <c r="G3395">
        <v>2500</v>
      </c>
      <c r="H3395">
        <f>CONVERT(G3395,"HP","kW")</f>
        <v>1864.2496789556756</v>
      </c>
      <c r="I3395">
        <v>0.73529999999999995</v>
      </c>
      <c r="J3395">
        <v>1.6506000000000001</v>
      </c>
      <c r="K3395">
        <v>0.57579999999999998</v>
      </c>
      <c r="L3395">
        <v>0.78090000000000004</v>
      </c>
      <c r="M3395">
        <v>0.34789999999999999</v>
      </c>
      <c r="N3395">
        <f>CONVERT(O3395,"lbf","N")</f>
        <v>12741.041172590651</v>
      </c>
      <c r="O3395">
        <v>2864.3</v>
      </c>
      <c r="P3395">
        <f t="shared" ref="P3395:P3458" si="53">M3395/L3395</f>
        <v>0.44551158919195794</v>
      </c>
    </row>
    <row r="3396" spans="1:16" hidden="1" x14ac:dyDescent="0.25">
      <c r="A3396">
        <v>0</v>
      </c>
      <c r="B3396">
        <v>25000</v>
      </c>
      <c r="C3396">
        <f>1.225 * (1 - 0.00000687559 * B3396) ^ 4.2561</f>
        <v>0.54892259437885793</v>
      </c>
      <c r="D3396">
        <f>E3396*(SQRT($C$2/C3396))</f>
        <v>268.89640489638606</v>
      </c>
      <c r="E3396">
        <v>180</v>
      </c>
      <c r="F3396">
        <v>987</v>
      </c>
      <c r="G3396">
        <v>2500</v>
      </c>
      <c r="H3396">
        <f>CONVERT(G3396,"HP","kW")</f>
        <v>1864.2496789556756</v>
      </c>
      <c r="I3396">
        <v>0.82779999999999998</v>
      </c>
      <c r="J3396">
        <v>2.1221999999999999</v>
      </c>
      <c r="K3396">
        <v>0.64159999999999995</v>
      </c>
      <c r="L3396">
        <v>0.78090000000000004</v>
      </c>
      <c r="M3396">
        <v>0.30459999999999998</v>
      </c>
      <c r="N3396">
        <f>CONVERT(O3396,"lbf","N")</f>
        <v>11155.694988911808</v>
      </c>
      <c r="O3396">
        <v>2507.9</v>
      </c>
      <c r="P3396">
        <f t="shared" si="53"/>
        <v>0.39006274811115377</v>
      </c>
    </row>
    <row r="3397" spans="1:16" hidden="1" x14ac:dyDescent="0.25">
      <c r="A3397">
        <v>0</v>
      </c>
      <c r="B3397">
        <v>25000</v>
      </c>
      <c r="C3397">
        <f>1.225 * (1 - 0.00000687559 * B3397) ^ 4.2561</f>
        <v>0.54892259437885793</v>
      </c>
      <c r="D3397">
        <f>E3397*(SQRT($C$2/C3397))</f>
        <v>328.65116154002743</v>
      </c>
      <c r="E3397">
        <v>220</v>
      </c>
      <c r="F3397">
        <v>987</v>
      </c>
      <c r="G3397">
        <v>2500</v>
      </c>
      <c r="H3397">
        <f>CONVERT(G3397,"HP","kW")</f>
        <v>1864.2496789556756</v>
      </c>
      <c r="I3397">
        <v>0.83360000000000001</v>
      </c>
      <c r="J3397">
        <v>2.5937999999999999</v>
      </c>
      <c r="K3397">
        <v>0.71479999999999999</v>
      </c>
      <c r="L3397">
        <v>0.78090000000000004</v>
      </c>
      <c r="M3397">
        <v>0.251</v>
      </c>
      <c r="N3397">
        <f>CONVERT(O3397,"lbf","N")</f>
        <v>9192.2499679358225</v>
      </c>
      <c r="O3397">
        <v>2066.5</v>
      </c>
      <c r="P3397">
        <f t="shared" si="53"/>
        <v>0.32142399795108206</v>
      </c>
    </row>
    <row r="3398" spans="1:16" hidden="1" x14ac:dyDescent="0.25">
      <c r="A3398">
        <v>0</v>
      </c>
      <c r="B3398">
        <v>25000</v>
      </c>
      <c r="C3398">
        <f>1.225 * (1 - 0.00000687559 * B3398) ^ 4.2561</f>
        <v>0.54892259437885793</v>
      </c>
      <c r="D3398">
        <f>E3398*(SQRT($C$2/C3398))</f>
        <v>388.40591818366875</v>
      </c>
      <c r="E3398">
        <v>260</v>
      </c>
      <c r="F3398">
        <v>987</v>
      </c>
      <c r="G3398">
        <v>2500</v>
      </c>
      <c r="H3398">
        <f>CONVERT(G3398,"HP","kW")</f>
        <v>1864.2496789556756</v>
      </c>
      <c r="I3398">
        <v>0.75460000000000005</v>
      </c>
      <c r="J3398">
        <v>3.0653999999999999</v>
      </c>
      <c r="K3398">
        <v>0.79349999999999998</v>
      </c>
      <c r="L3398">
        <v>0.78090000000000004</v>
      </c>
      <c r="M3398">
        <v>0.1923</v>
      </c>
      <c r="N3398">
        <f>CONVERT(O3398,"lbf","N")</f>
        <v>7041.089994795846</v>
      </c>
      <c r="O3398">
        <v>1582.9</v>
      </c>
      <c r="P3398">
        <f t="shared" si="53"/>
        <v>0.24625432193622743</v>
      </c>
    </row>
    <row r="3399" spans="1:16" hidden="1" x14ac:dyDescent="0.25">
      <c r="A3399">
        <v>0</v>
      </c>
      <c r="B3399">
        <v>25000</v>
      </c>
      <c r="C3399">
        <f>1.225 * (1 - 0.00000687559 * B3399) ^ 4.2561</f>
        <v>0.54892259437885793</v>
      </c>
      <c r="D3399">
        <f>E3399*(SQRT($C$2/C3399))</f>
        <v>59.754756643641343</v>
      </c>
      <c r="E3399">
        <v>40</v>
      </c>
      <c r="F3399">
        <v>987</v>
      </c>
      <c r="G3399">
        <v>2500</v>
      </c>
      <c r="H3399">
        <f>CONVERT(G3399,"HP","kW")</f>
        <v>1864.2496789556756</v>
      </c>
      <c r="I3399">
        <v>-0.19750000000000001</v>
      </c>
      <c r="J3399">
        <v>0.47160000000000002</v>
      </c>
      <c r="K3399">
        <v>0.44569999999999999</v>
      </c>
      <c r="L3399">
        <v>0.78100000000000003</v>
      </c>
      <c r="M3399">
        <v>-0.3271</v>
      </c>
      <c r="N3399">
        <f>CONVERT(O3399,"lbf","N")</f>
        <v>-11976.836699088897</v>
      </c>
      <c r="O3399">
        <v>-2692.5</v>
      </c>
      <c r="P3399">
        <f t="shared" si="53"/>
        <v>-0.41882202304737515</v>
      </c>
    </row>
    <row r="3400" spans="1:16" hidden="1" x14ac:dyDescent="0.25">
      <c r="A3400">
        <v>0</v>
      </c>
      <c r="B3400">
        <v>25000</v>
      </c>
      <c r="C3400">
        <f>1.225 * (1 - 0.00000687559 * B3400) ^ 4.2561</f>
        <v>0.54892259437885793</v>
      </c>
      <c r="D3400">
        <f>E3400*(SQRT($C$2/C3400))</f>
        <v>89.632134965462015</v>
      </c>
      <c r="E3400">
        <v>60</v>
      </c>
      <c r="F3400">
        <v>987</v>
      </c>
      <c r="G3400">
        <v>2500</v>
      </c>
      <c r="H3400">
        <f>CONVERT(G3400,"HP","kW")</f>
        <v>1864.2496789556756</v>
      </c>
      <c r="I3400">
        <v>-0.3458</v>
      </c>
      <c r="J3400">
        <v>0.70740000000000003</v>
      </c>
      <c r="K3400">
        <v>0.4536</v>
      </c>
      <c r="L3400">
        <v>0.78100000000000003</v>
      </c>
      <c r="M3400">
        <v>-0.38179999999999997</v>
      </c>
      <c r="N3400">
        <f>CONVERT(O3400,"lbf","N")</f>
        <v>-13981.650181086803</v>
      </c>
      <c r="O3400">
        <v>-3143.2</v>
      </c>
      <c r="P3400">
        <f t="shared" si="53"/>
        <v>-0.48886043533930851</v>
      </c>
    </row>
    <row r="3401" spans="1:16" hidden="1" x14ac:dyDescent="0.25">
      <c r="A3401">
        <v>0</v>
      </c>
      <c r="B3401">
        <v>25000</v>
      </c>
      <c r="C3401">
        <f>1.225 * (1 - 0.00000687559 * B3401) ^ 4.2561</f>
        <v>0.54892259437885793</v>
      </c>
      <c r="D3401">
        <f>E3401*(SQRT($C$2/C3401))</f>
        <v>179.26426993092403</v>
      </c>
      <c r="E3401">
        <v>120</v>
      </c>
      <c r="F3401">
        <v>987</v>
      </c>
      <c r="G3401">
        <v>2500</v>
      </c>
      <c r="H3401">
        <f>CONVERT(G3401,"HP","kW")</f>
        <v>1864.2496789556756</v>
      </c>
      <c r="I3401">
        <v>0.50380000000000003</v>
      </c>
      <c r="J3401">
        <v>1.4148000000000001</v>
      </c>
      <c r="K3401">
        <v>0.54749999999999999</v>
      </c>
      <c r="L3401">
        <v>0.78100000000000003</v>
      </c>
      <c r="M3401">
        <v>0.27810000000000001</v>
      </c>
      <c r="N3401">
        <f>CONVERT(O3401,"lbf","N")</f>
        <v>10185.537854623493</v>
      </c>
      <c r="O3401">
        <v>2289.8000000000002</v>
      </c>
      <c r="P3401">
        <f t="shared" si="53"/>
        <v>0.35608194622279132</v>
      </c>
    </row>
    <row r="3402" spans="1:16" hidden="1" x14ac:dyDescent="0.25">
      <c r="A3402">
        <v>0</v>
      </c>
      <c r="B3402">
        <v>25000</v>
      </c>
      <c r="C3402">
        <f>1.225 * (1 - 0.00000687559 * B3402) ^ 4.2561</f>
        <v>0.54892259437885793</v>
      </c>
      <c r="D3402">
        <f>E3402*(SQRT($C$2/C3402))</f>
        <v>239.01902657456537</v>
      </c>
      <c r="E3402">
        <v>160</v>
      </c>
      <c r="F3402">
        <v>987</v>
      </c>
      <c r="G3402">
        <v>2500</v>
      </c>
      <c r="H3402">
        <f>CONVERT(G3402,"HP","kW")</f>
        <v>1864.2496789556756</v>
      </c>
      <c r="I3402">
        <v>0.80020000000000002</v>
      </c>
      <c r="J3402">
        <v>1.8864000000000001</v>
      </c>
      <c r="K3402">
        <v>0.60760000000000003</v>
      </c>
      <c r="L3402">
        <v>0.78100000000000003</v>
      </c>
      <c r="M3402">
        <v>0.33129999999999998</v>
      </c>
      <c r="N3402">
        <f>CONVERT(O3402,"lbf","N")</f>
        <v>12132.969277784541</v>
      </c>
      <c r="O3402">
        <v>2727.6</v>
      </c>
      <c r="P3402">
        <f t="shared" si="53"/>
        <v>0.42419974391805376</v>
      </c>
    </row>
    <row r="3403" spans="1:16" hidden="1" x14ac:dyDescent="0.25">
      <c r="A3403">
        <v>0</v>
      </c>
      <c r="B3403">
        <v>25000</v>
      </c>
      <c r="C3403">
        <f>1.225 * (1 - 0.00000687559 * B3403) ^ 4.2561</f>
        <v>0.54892259437885793</v>
      </c>
      <c r="D3403">
        <f>E3403*(SQRT($C$2/C3403))</f>
        <v>358.52853986184806</v>
      </c>
      <c r="E3403">
        <v>240</v>
      </c>
      <c r="F3403">
        <v>987</v>
      </c>
      <c r="G3403">
        <v>2500</v>
      </c>
      <c r="H3403">
        <f>CONVERT(G3403,"HP","kW")</f>
        <v>1864.2496789556756</v>
      </c>
      <c r="I3403">
        <v>0.81159999999999999</v>
      </c>
      <c r="J3403">
        <v>2.8296000000000001</v>
      </c>
      <c r="K3403">
        <v>0.75360000000000005</v>
      </c>
      <c r="L3403">
        <v>0.78100000000000003</v>
      </c>
      <c r="M3403">
        <v>0.224</v>
      </c>
      <c r="N3403">
        <f>CONVERT(O3403,"lbf","N")</f>
        <v>8203.8551250249402</v>
      </c>
      <c r="O3403">
        <v>1844.3</v>
      </c>
      <c r="P3403">
        <f t="shared" si="53"/>
        <v>0.28681177976952626</v>
      </c>
    </row>
    <row r="3404" spans="1:16" hidden="1" x14ac:dyDescent="0.25">
      <c r="A3404">
        <v>0</v>
      </c>
      <c r="B3404">
        <v>25000</v>
      </c>
      <c r="C3404">
        <f>1.225 * (1 - 0.00000687559 * B3404) ^ 4.2561</f>
        <v>0.54892259437885793</v>
      </c>
      <c r="D3404">
        <f>E3404*(SQRT($C$2/C3404))</f>
        <v>298.77378321820675</v>
      </c>
      <c r="E3404">
        <v>200</v>
      </c>
      <c r="F3404">
        <v>987</v>
      </c>
      <c r="G3404">
        <v>2500</v>
      </c>
      <c r="H3404">
        <f>CONVERT(G3404,"HP","kW")</f>
        <v>1864.2496789556756</v>
      </c>
      <c r="I3404">
        <v>0.83819999999999995</v>
      </c>
      <c r="J3404">
        <v>2.3580000000000001</v>
      </c>
      <c r="K3404">
        <v>0.67749999999999999</v>
      </c>
      <c r="L3404">
        <v>0.78180000000000005</v>
      </c>
      <c r="M3404">
        <v>0.27789999999999998</v>
      </c>
      <c r="N3404">
        <f>CONVERT(O3404,"lbf","N")</f>
        <v>10166.410501677874</v>
      </c>
      <c r="O3404">
        <v>2285.5</v>
      </c>
      <c r="P3404">
        <f t="shared" si="53"/>
        <v>0.35546175492453308</v>
      </c>
    </row>
    <row r="3405" spans="1:16" hidden="1" x14ac:dyDescent="0.25">
      <c r="A3405">
        <v>0</v>
      </c>
      <c r="B3405">
        <v>30000</v>
      </c>
      <c r="C3405">
        <f>1.225 * (1 - 0.00000687559 * B3405) ^ 4.2561</f>
        <v>0.45828836225470948</v>
      </c>
      <c r="D3405">
        <f>E3405*(SQRT($C$2/C3405))</f>
        <v>294.28703878055819</v>
      </c>
      <c r="E3405">
        <v>180</v>
      </c>
      <c r="F3405">
        <v>987</v>
      </c>
      <c r="G3405">
        <v>2250</v>
      </c>
      <c r="H3405">
        <f>CONVERT(G3405,"HP","kW")</f>
        <v>1677.8247110601083</v>
      </c>
      <c r="I3405">
        <v>0.82520000000000004</v>
      </c>
      <c r="J3405">
        <v>2.3226</v>
      </c>
      <c r="K3405">
        <v>0.68610000000000004</v>
      </c>
      <c r="L3405">
        <v>0.84109999999999996</v>
      </c>
      <c r="M3405">
        <v>0.29880000000000001</v>
      </c>
      <c r="N3405">
        <f>CONVERT(O3405,"lbf","N")</f>
        <v>9145.5436409755894</v>
      </c>
      <c r="O3405">
        <v>2056</v>
      </c>
      <c r="P3405">
        <f t="shared" si="53"/>
        <v>0.35524907858756394</v>
      </c>
    </row>
    <row r="3406" spans="1:16" hidden="1" x14ac:dyDescent="0.25">
      <c r="A3406">
        <v>0</v>
      </c>
      <c r="B3406">
        <v>30000</v>
      </c>
      <c r="C3406">
        <f>1.225 * (1 - 0.00000687559 * B3406) ^ 4.2561</f>
        <v>0.45828836225470948</v>
      </c>
      <c r="D3406">
        <f>E3406*(SQRT($C$2/C3406))</f>
        <v>359.68415850957115</v>
      </c>
      <c r="E3406">
        <v>220</v>
      </c>
      <c r="F3406">
        <v>987</v>
      </c>
      <c r="G3406">
        <v>2250</v>
      </c>
      <c r="H3406">
        <f>CONVERT(G3406,"HP","kW")</f>
        <v>1677.8247110601083</v>
      </c>
      <c r="I3406">
        <v>0.79669999999999996</v>
      </c>
      <c r="J3406">
        <v>2.8386999999999998</v>
      </c>
      <c r="K3406">
        <v>0.77110000000000001</v>
      </c>
      <c r="L3406">
        <v>0.84150000000000003</v>
      </c>
      <c r="M3406">
        <v>0.23619999999999999</v>
      </c>
      <c r="N3406">
        <f>CONVERT(O3406,"lbf","N")</f>
        <v>7224.3567253445781</v>
      </c>
      <c r="O3406">
        <v>1624.1</v>
      </c>
      <c r="P3406">
        <f t="shared" si="53"/>
        <v>0.28068924539512774</v>
      </c>
    </row>
    <row r="3407" spans="1:16" hidden="1" x14ac:dyDescent="0.25">
      <c r="A3407">
        <v>0</v>
      </c>
      <c r="B3407">
        <v>30000</v>
      </c>
      <c r="C3407">
        <f>1.225 * (1 - 0.00000687559 * B3407) ^ 4.2561</f>
        <v>0.45828836225470948</v>
      </c>
      <c r="D3407">
        <f>E3407*(SQRT($C$2/C3407))</f>
        <v>196.19135918703881</v>
      </c>
      <c r="E3407">
        <v>120</v>
      </c>
      <c r="F3407">
        <v>987</v>
      </c>
      <c r="G3407">
        <v>2250</v>
      </c>
      <c r="H3407">
        <f>CONVERT(G3407,"HP","kW")</f>
        <v>1677.8247110601083</v>
      </c>
      <c r="I3407">
        <v>0.5222</v>
      </c>
      <c r="J3407">
        <v>1.5484</v>
      </c>
      <c r="K3407">
        <v>0.57530000000000003</v>
      </c>
      <c r="L3407">
        <v>0.84160000000000001</v>
      </c>
      <c r="M3407">
        <v>0.2838</v>
      </c>
      <c r="N3407">
        <f>CONVERT(O3407,"lbf","N")</f>
        <v>8680.259660019341</v>
      </c>
      <c r="O3407">
        <v>1951.4</v>
      </c>
      <c r="P3407">
        <f t="shared" si="53"/>
        <v>0.33721482889733839</v>
      </c>
    </row>
    <row r="3408" spans="1:16" hidden="1" x14ac:dyDescent="0.25">
      <c r="A3408">
        <v>0</v>
      </c>
      <c r="B3408">
        <v>30000</v>
      </c>
      <c r="C3408">
        <f>1.225 * (1 - 0.00000687559 * B3408) ^ 4.2561</f>
        <v>0.45828836225470948</v>
      </c>
      <c r="D3408">
        <f>E3408*(SQRT($C$2/C3408))</f>
        <v>228.88991905154526</v>
      </c>
      <c r="E3408">
        <v>140</v>
      </c>
      <c r="F3408">
        <v>987</v>
      </c>
      <c r="G3408">
        <v>2250</v>
      </c>
      <c r="H3408">
        <f>CONVERT(G3408,"HP","kW")</f>
        <v>1677.8247110601083</v>
      </c>
      <c r="I3408">
        <v>0.75239999999999996</v>
      </c>
      <c r="J3408">
        <v>1.8065</v>
      </c>
      <c r="K3408">
        <v>0.60899999999999999</v>
      </c>
      <c r="L3408">
        <v>0.84160000000000001</v>
      </c>
      <c r="M3408">
        <v>0.35060000000000002</v>
      </c>
      <c r="N3408">
        <f>CONVERT(O3408,"lbf","N")</f>
        <v>10721.548559262385</v>
      </c>
      <c r="O3408">
        <v>2410.3000000000002</v>
      </c>
      <c r="P3408">
        <f t="shared" si="53"/>
        <v>0.41658745247148293</v>
      </c>
    </row>
    <row r="3409" spans="1:16" hidden="1" x14ac:dyDescent="0.25">
      <c r="A3409">
        <v>0</v>
      </c>
      <c r="B3409">
        <v>30000</v>
      </c>
      <c r="C3409">
        <f>1.225 * (1 - 0.00000687559 * B3409) ^ 4.2561</f>
        <v>0.45828836225470948</v>
      </c>
      <c r="D3409">
        <f>E3409*(SQRT($C$2/C3409))</f>
        <v>163.49279932253233</v>
      </c>
      <c r="E3409">
        <v>100</v>
      </c>
      <c r="F3409">
        <v>987</v>
      </c>
      <c r="G3409">
        <v>2250</v>
      </c>
      <c r="H3409">
        <f>CONVERT(G3409,"HP","kW")</f>
        <v>1677.8247110601083</v>
      </c>
      <c r="I3409">
        <v>0.1462</v>
      </c>
      <c r="J3409">
        <v>1.2903</v>
      </c>
      <c r="K3409">
        <v>0.5413</v>
      </c>
      <c r="L3409">
        <v>0.8417</v>
      </c>
      <c r="M3409">
        <v>9.5399999999999999E-2</v>
      </c>
      <c r="N3409">
        <f>CONVERT(O3409,"lbf","N")</f>
        <v>2916.2540909647842</v>
      </c>
      <c r="O3409">
        <v>655.6</v>
      </c>
      <c r="P3409">
        <f t="shared" si="53"/>
        <v>0.11334204585956992</v>
      </c>
    </row>
    <row r="3410" spans="1:16" hidden="1" x14ac:dyDescent="0.25">
      <c r="A3410">
        <v>0</v>
      </c>
      <c r="B3410">
        <v>30000</v>
      </c>
      <c r="C3410">
        <f>1.225 * (1 - 0.00000687559 * B3410) ^ 4.2561</f>
        <v>0.45828836225470948</v>
      </c>
      <c r="D3410">
        <f>E3410*(SQRT($C$2/C3410))</f>
        <v>261.58847891605171</v>
      </c>
      <c r="E3410">
        <v>160</v>
      </c>
      <c r="F3410">
        <v>987</v>
      </c>
      <c r="G3410">
        <v>2250</v>
      </c>
      <c r="H3410">
        <f>CONVERT(G3410,"HP","kW")</f>
        <v>1677.8247110601083</v>
      </c>
      <c r="I3410">
        <v>0.80679999999999996</v>
      </c>
      <c r="J3410">
        <v>2.0644999999999998</v>
      </c>
      <c r="K3410">
        <v>0.64639999999999997</v>
      </c>
      <c r="L3410">
        <v>0.84179999999999999</v>
      </c>
      <c r="M3410">
        <v>0.32900000000000001</v>
      </c>
      <c r="N3410">
        <f>CONVERT(O3410,"lbf","N")</f>
        <v>10059.208360750095</v>
      </c>
      <c r="O3410">
        <v>2261.4</v>
      </c>
      <c r="P3410">
        <f t="shared" si="53"/>
        <v>0.39082917557614638</v>
      </c>
    </row>
    <row r="3411" spans="1:16" hidden="1" x14ac:dyDescent="0.25">
      <c r="A3411">
        <v>0</v>
      </c>
      <c r="B3411">
        <v>30000</v>
      </c>
      <c r="C3411">
        <f>1.225 * (1 - 0.00000687559 * B3411) ^ 4.2561</f>
        <v>0.45828836225470948</v>
      </c>
      <c r="D3411">
        <f>E3411*(SQRT($C$2/C3411))</f>
        <v>326.98559864506467</v>
      </c>
      <c r="E3411">
        <v>200</v>
      </c>
      <c r="F3411">
        <v>987</v>
      </c>
      <c r="G3411">
        <v>2250</v>
      </c>
      <c r="H3411">
        <f>CONVERT(G3411,"HP","kW")</f>
        <v>1677.8247110601083</v>
      </c>
      <c r="I3411">
        <v>0.82089999999999996</v>
      </c>
      <c r="J3411">
        <v>2.5807000000000002</v>
      </c>
      <c r="K3411">
        <v>0.7278</v>
      </c>
      <c r="L3411">
        <v>0.84179999999999999</v>
      </c>
      <c r="M3411">
        <v>0.26779999999999998</v>
      </c>
      <c r="N3411">
        <f>CONVERT(O3411,"lbf","N")</f>
        <v>8188.2863493715286</v>
      </c>
      <c r="O3411">
        <v>1840.8</v>
      </c>
      <c r="P3411">
        <f t="shared" si="53"/>
        <v>0.31812782133523398</v>
      </c>
    </row>
    <row r="3412" spans="1:16" hidden="1" x14ac:dyDescent="0.25">
      <c r="A3412">
        <v>0</v>
      </c>
      <c r="B3412">
        <v>30000</v>
      </c>
      <c r="C3412">
        <f>1.225 * (1 - 0.00000687559 * B3412) ^ 4.2561</f>
        <v>0.45828836225470948</v>
      </c>
      <c r="D3412">
        <f>E3412*(SQRT($C$2/C3412))</f>
        <v>0</v>
      </c>
      <c r="E3412">
        <v>0</v>
      </c>
      <c r="F3412">
        <v>987</v>
      </c>
      <c r="G3412">
        <v>2250</v>
      </c>
      <c r="H3412">
        <f>CONVERT(G3412,"HP","kW")</f>
        <v>1677.8247110601083</v>
      </c>
      <c r="I3412">
        <v>0</v>
      </c>
      <c r="J3412">
        <v>0</v>
      </c>
      <c r="K3412">
        <v>0.45750000000000002</v>
      </c>
      <c r="L3412">
        <v>0.84189999999999998</v>
      </c>
      <c r="M3412">
        <v>-0.26769999999999999</v>
      </c>
      <c r="N3412">
        <f>CONVERT(O3412,"lbf","N")</f>
        <v>-8185.1725942408457</v>
      </c>
      <c r="O3412">
        <v>-1840.1</v>
      </c>
      <c r="P3412">
        <f t="shared" si="53"/>
        <v>-0.31797125549352656</v>
      </c>
    </row>
    <row r="3413" spans="1:16" hidden="1" x14ac:dyDescent="0.25">
      <c r="A3413">
        <v>0</v>
      </c>
      <c r="B3413">
        <v>30000</v>
      </c>
      <c r="C3413">
        <f>1.225 * (1 - 0.00000687559 * B3413) ^ 4.2561</f>
        <v>0.45828836225470948</v>
      </c>
      <c r="D3413">
        <f>E3413*(SQRT($C$2/C3413))</f>
        <v>65.397119729012928</v>
      </c>
      <c r="E3413">
        <v>40</v>
      </c>
      <c r="F3413">
        <v>987</v>
      </c>
      <c r="G3413">
        <v>2250</v>
      </c>
      <c r="H3413">
        <f>CONVERT(G3413,"HP","kW")</f>
        <v>1677.8247110601083</v>
      </c>
      <c r="I3413">
        <v>-0.21060000000000001</v>
      </c>
      <c r="J3413">
        <v>0.5161</v>
      </c>
      <c r="K3413">
        <v>0.45519999999999999</v>
      </c>
      <c r="L3413">
        <v>0.84199999999999997</v>
      </c>
      <c r="M3413">
        <v>-0.34360000000000002</v>
      </c>
      <c r="N3413">
        <f>CONVERT(O3413,"lbf","N")</f>
        <v>-10505.364988760723</v>
      </c>
      <c r="O3413">
        <v>-2361.6999999999998</v>
      </c>
      <c r="P3413">
        <f t="shared" si="53"/>
        <v>-0.40807600950118766</v>
      </c>
    </row>
    <row r="3414" spans="1:16" hidden="1" x14ac:dyDescent="0.25">
      <c r="A3414">
        <v>0</v>
      </c>
      <c r="B3414">
        <v>30000</v>
      </c>
      <c r="C3414">
        <f>1.225 * (1 - 0.00000687559 * B3414) ^ 4.2561</f>
        <v>0.45828836225470948</v>
      </c>
      <c r="D3414">
        <f>E3414*(SQRT($C$2/C3414))</f>
        <v>32.698559864506464</v>
      </c>
      <c r="E3414">
        <v>20</v>
      </c>
      <c r="F3414">
        <v>987</v>
      </c>
      <c r="G3414">
        <v>2250</v>
      </c>
      <c r="H3414">
        <f>CONVERT(G3414,"HP","kW")</f>
        <v>1677.8247110601083</v>
      </c>
      <c r="I3414">
        <v>-9.1300000000000006E-2</v>
      </c>
      <c r="J3414">
        <v>0.2581</v>
      </c>
      <c r="K3414">
        <v>0.45279999999999998</v>
      </c>
      <c r="L3414">
        <v>0.84209999999999996</v>
      </c>
      <c r="M3414">
        <v>-0.29799999999999999</v>
      </c>
      <c r="N3414">
        <f>CONVERT(O3414,"lbf","N")</f>
        <v>-9109.0682237304518</v>
      </c>
      <c r="O3414">
        <v>-2047.8</v>
      </c>
      <c r="P3414">
        <f t="shared" si="53"/>
        <v>-0.3538772117325733</v>
      </c>
    </row>
    <row r="3415" spans="1:16" hidden="1" x14ac:dyDescent="0.25">
      <c r="A3415">
        <v>0</v>
      </c>
      <c r="B3415">
        <v>30000</v>
      </c>
      <c r="C3415">
        <f>1.225 * (1 - 0.00000687559 * B3415) ^ 4.2561</f>
        <v>0.45828836225470948</v>
      </c>
      <c r="D3415">
        <f>E3415*(SQRT($C$2/C3415))</f>
        <v>392.38271837407763</v>
      </c>
      <c r="E3415">
        <v>240</v>
      </c>
      <c r="F3415">
        <v>987</v>
      </c>
      <c r="G3415">
        <v>2250</v>
      </c>
      <c r="H3415">
        <f>CONVERT(G3415,"HP","kW")</f>
        <v>1677.8247110601083</v>
      </c>
      <c r="I3415">
        <v>0.70079999999999998</v>
      </c>
      <c r="J3415">
        <v>3.0968</v>
      </c>
      <c r="K3415">
        <v>0.81579999999999997</v>
      </c>
      <c r="L3415">
        <v>0.84209999999999996</v>
      </c>
      <c r="M3415">
        <v>0.19059999999999999</v>
      </c>
      <c r="N3415">
        <f>CONVERT(O3415,"lbf","N")</f>
        <v>5824.9462051836254</v>
      </c>
      <c r="O3415">
        <v>1309.5</v>
      </c>
      <c r="P3415">
        <f t="shared" si="53"/>
        <v>0.22633891461821637</v>
      </c>
    </row>
    <row r="3416" spans="1:16" hidden="1" x14ac:dyDescent="0.25">
      <c r="A3416">
        <v>0</v>
      </c>
      <c r="B3416">
        <v>30000</v>
      </c>
      <c r="C3416">
        <f>1.225 * (1 - 0.00000687559 * B3416) ^ 4.2561</f>
        <v>0.45828836225470948</v>
      </c>
      <c r="D3416">
        <f>E3416*(SQRT($C$2/C3416))</f>
        <v>98.095679593519407</v>
      </c>
      <c r="E3416">
        <v>60</v>
      </c>
      <c r="F3416">
        <v>987</v>
      </c>
      <c r="G3416">
        <v>2250</v>
      </c>
      <c r="H3416">
        <f>CONVERT(G3416,"HP","kW")</f>
        <v>1677.8247110601083</v>
      </c>
      <c r="I3416">
        <v>-0.37630000000000002</v>
      </c>
      <c r="J3416">
        <v>0.7742</v>
      </c>
      <c r="K3416">
        <v>0.46560000000000001</v>
      </c>
      <c r="L3416">
        <v>0.84260000000000002</v>
      </c>
      <c r="M3416">
        <v>-0.40960000000000002</v>
      </c>
      <c r="N3416">
        <f>CONVERT(O3416,"lbf","N")</f>
        <v>-12511.957759404735</v>
      </c>
      <c r="O3416">
        <v>-2812.8</v>
      </c>
      <c r="P3416">
        <f t="shared" si="53"/>
        <v>-0.48611440778542608</v>
      </c>
    </row>
    <row r="3417" spans="1:16" hidden="1" x14ac:dyDescent="0.25">
      <c r="A3417">
        <v>0</v>
      </c>
      <c r="B3417">
        <v>30000</v>
      </c>
      <c r="C3417">
        <f>1.225 * (1 - 0.00000687559 * B3417) ^ 4.2561</f>
        <v>0.45828836225470948</v>
      </c>
      <c r="D3417">
        <f>E3417*(SQRT($C$2/C3417))</f>
        <v>425.08127823858405</v>
      </c>
      <c r="E3417">
        <v>260</v>
      </c>
      <c r="F3417">
        <v>987</v>
      </c>
      <c r="G3417">
        <v>2250</v>
      </c>
      <c r="H3417">
        <f>CONVERT(G3417,"HP","kW")</f>
        <v>1677.8247110601083</v>
      </c>
      <c r="I3417">
        <v>0.48180000000000001</v>
      </c>
      <c r="J3417">
        <v>3.3548</v>
      </c>
      <c r="K3417">
        <v>0.8619</v>
      </c>
      <c r="L3417">
        <v>0.84289999999999998</v>
      </c>
      <c r="M3417">
        <v>0.121</v>
      </c>
      <c r="N3417">
        <f>CONVERT(O3417,"lbf","N")</f>
        <v>3696.4721622814754</v>
      </c>
      <c r="O3417">
        <v>831</v>
      </c>
      <c r="P3417">
        <f t="shared" si="53"/>
        <v>0.14355202277850279</v>
      </c>
    </row>
    <row r="3418" spans="1:16" hidden="1" x14ac:dyDescent="0.25">
      <c r="A3418">
        <v>0</v>
      </c>
      <c r="B3418">
        <v>25000</v>
      </c>
      <c r="C3418">
        <f>1.225 * (1 - 0.00000687559 * B3418) ^ 4.2561</f>
        <v>0.54892259437885793</v>
      </c>
      <c r="D3418">
        <f>E3418*(SQRT($C$2/C3418))</f>
        <v>298.77378321820675</v>
      </c>
      <c r="E3418">
        <v>200</v>
      </c>
      <c r="F3418">
        <v>987</v>
      </c>
      <c r="G3418">
        <v>2750</v>
      </c>
      <c r="H3418">
        <f>CONVERT(G3418,"HP","kW")</f>
        <v>2050.6746468512433</v>
      </c>
      <c r="I3418">
        <v>0.82509999999999994</v>
      </c>
      <c r="J3418">
        <v>2.3580000000000001</v>
      </c>
      <c r="K3418">
        <v>0.67720000000000002</v>
      </c>
      <c r="L3418">
        <v>0.85850000000000004</v>
      </c>
      <c r="M3418">
        <v>0.3004</v>
      </c>
      <c r="N3418">
        <f>CONVERT(O3418,"lbf","N")</f>
        <v>11008.903675608213</v>
      </c>
      <c r="O3418">
        <v>2474.9</v>
      </c>
      <c r="P3418">
        <f t="shared" si="53"/>
        <v>0.34991263832265579</v>
      </c>
    </row>
    <row r="3419" spans="1:16" hidden="1" x14ac:dyDescent="0.25">
      <c r="A3419">
        <v>0</v>
      </c>
      <c r="B3419">
        <v>25000</v>
      </c>
      <c r="C3419">
        <f>1.225 * (1 - 0.00000687559 * B3419) ^ 4.2561</f>
        <v>0.54892259437885793</v>
      </c>
      <c r="D3419">
        <f>E3419*(SQRT($C$2/C3419))</f>
        <v>29.877378321820672</v>
      </c>
      <c r="E3419">
        <v>20</v>
      </c>
      <c r="F3419">
        <v>987</v>
      </c>
      <c r="G3419">
        <v>2750</v>
      </c>
      <c r="H3419">
        <f>CONVERT(G3419,"HP","kW")</f>
        <v>2050.6746468512433</v>
      </c>
      <c r="I3419">
        <v>-6.08E-2</v>
      </c>
      <c r="J3419">
        <v>0.23580000000000001</v>
      </c>
      <c r="K3419">
        <v>0.4007</v>
      </c>
      <c r="L3419">
        <v>0.85880000000000001</v>
      </c>
      <c r="M3419">
        <v>-0.2215</v>
      </c>
      <c r="N3419">
        <f>CONVERT(O3419,"lbf","N")</f>
        <v>-8115.7803370427819</v>
      </c>
      <c r="O3419">
        <v>-1824.5</v>
      </c>
      <c r="P3419">
        <f t="shared" si="53"/>
        <v>-0.25791802515137402</v>
      </c>
    </row>
    <row r="3420" spans="1:16" hidden="1" x14ac:dyDescent="0.25">
      <c r="A3420">
        <v>0</v>
      </c>
      <c r="B3420">
        <v>25000</v>
      </c>
      <c r="C3420">
        <f>1.225 * (1 - 0.00000687559 * B3420) ^ 4.2561</f>
        <v>0.54892259437885793</v>
      </c>
      <c r="D3420">
        <f>E3420*(SQRT($C$2/C3420))</f>
        <v>268.89640489638606</v>
      </c>
      <c r="E3420">
        <v>180</v>
      </c>
      <c r="F3420">
        <v>987</v>
      </c>
      <c r="G3420">
        <v>2750</v>
      </c>
      <c r="H3420">
        <f>CONVERT(G3420,"HP","kW")</f>
        <v>2050.6746468512433</v>
      </c>
      <c r="I3420">
        <v>0.81130000000000002</v>
      </c>
      <c r="J3420">
        <v>2.1221999999999999</v>
      </c>
      <c r="K3420">
        <v>0.64129999999999998</v>
      </c>
      <c r="L3420">
        <v>0.85880000000000001</v>
      </c>
      <c r="M3420">
        <v>0.32829999999999998</v>
      </c>
      <c r="N3420">
        <f>CONVERT(O3420,"lbf","N")</f>
        <v>12027.991247664391</v>
      </c>
      <c r="O3420">
        <v>2704</v>
      </c>
      <c r="P3420">
        <f t="shared" si="53"/>
        <v>0.38227759664648342</v>
      </c>
    </row>
    <row r="3421" spans="1:16" hidden="1" x14ac:dyDescent="0.25">
      <c r="A3421">
        <v>0</v>
      </c>
      <c r="B3421">
        <v>25000</v>
      </c>
      <c r="C3421">
        <f>1.225 * (1 - 0.00000687559 * B3421) ^ 4.2561</f>
        <v>0.54892259437885793</v>
      </c>
      <c r="D3421">
        <f>E3421*(SQRT($C$2/C3421))</f>
        <v>328.65116154002743</v>
      </c>
      <c r="E3421">
        <v>220</v>
      </c>
      <c r="F3421">
        <v>987</v>
      </c>
      <c r="G3421">
        <v>2750</v>
      </c>
      <c r="H3421">
        <f>CONVERT(G3421,"HP","kW")</f>
        <v>2050.6746468512433</v>
      </c>
      <c r="I3421">
        <v>0.82199999999999995</v>
      </c>
      <c r="J3421">
        <v>2.5937999999999999</v>
      </c>
      <c r="K3421">
        <v>0.71460000000000001</v>
      </c>
      <c r="L3421">
        <v>0.8589</v>
      </c>
      <c r="M3421">
        <v>0.2722</v>
      </c>
      <c r="N3421">
        <f>CONVERT(O3421,"lbf","N")</f>
        <v>9970.2439284448847</v>
      </c>
      <c r="O3421">
        <v>2241.4</v>
      </c>
      <c r="P3421">
        <f t="shared" si="53"/>
        <v>0.31691698684363723</v>
      </c>
    </row>
    <row r="3422" spans="1:16" hidden="1" x14ac:dyDescent="0.25">
      <c r="A3422">
        <v>0</v>
      </c>
      <c r="B3422">
        <v>25000</v>
      </c>
      <c r="C3422">
        <f>1.225 * (1 - 0.00000687559 * B3422) ^ 4.2561</f>
        <v>0.54892259437885793</v>
      </c>
      <c r="D3422">
        <f>E3422*(SQRT($C$2/C3422))</f>
        <v>388.40591818366875</v>
      </c>
      <c r="E3422">
        <v>260</v>
      </c>
      <c r="F3422">
        <v>987</v>
      </c>
      <c r="G3422">
        <v>2750</v>
      </c>
      <c r="H3422">
        <f>CONVERT(G3422,"HP","kW")</f>
        <v>2050.6746468512433</v>
      </c>
      <c r="I3422">
        <v>0.74770000000000003</v>
      </c>
      <c r="J3422">
        <v>3.0653999999999999</v>
      </c>
      <c r="K3422">
        <v>0.79339999999999999</v>
      </c>
      <c r="L3422">
        <v>0.85899999999999999</v>
      </c>
      <c r="M3422">
        <v>0.20949999999999999</v>
      </c>
      <c r="N3422">
        <f>CONVERT(O3422,"lbf","N")</f>
        <v>7673.6271084858881</v>
      </c>
      <c r="O3422">
        <v>1725.1</v>
      </c>
      <c r="P3422">
        <f t="shared" si="53"/>
        <v>0.24388824214202562</v>
      </c>
    </row>
    <row r="3423" spans="1:16" hidden="1" x14ac:dyDescent="0.25">
      <c r="A3423">
        <v>0</v>
      </c>
      <c r="B3423">
        <v>25000</v>
      </c>
      <c r="C3423">
        <f>1.225 * (1 - 0.00000687559 * B3423) ^ 4.2561</f>
        <v>0.54892259437885793</v>
      </c>
      <c r="D3423">
        <f>E3423*(SQRT($C$2/C3423))</f>
        <v>0</v>
      </c>
      <c r="E3423">
        <v>0</v>
      </c>
      <c r="F3423">
        <v>987</v>
      </c>
      <c r="G3423">
        <v>2750</v>
      </c>
      <c r="H3423">
        <f>CONVERT(G3423,"HP","kW")</f>
        <v>2050.6746468512433</v>
      </c>
      <c r="I3423">
        <v>0</v>
      </c>
      <c r="J3423">
        <v>0</v>
      </c>
      <c r="K3423">
        <v>0.44750000000000001</v>
      </c>
      <c r="L3423">
        <v>0.85909999999999997</v>
      </c>
      <c r="M3423">
        <v>-0.27329999999999999</v>
      </c>
      <c r="N3423">
        <f>CONVERT(O3423,"lbf","N")</f>
        <v>-10008.053812174599</v>
      </c>
      <c r="O3423">
        <v>-2249.9</v>
      </c>
      <c r="P3423">
        <f t="shared" si="53"/>
        <v>-0.31812361773949482</v>
      </c>
    </row>
    <row r="3424" spans="1:16" hidden="1" x14ac:dyDescent="0.25">
      <c r="A3424">
        <v>0</v>
      </c>
      <c r="B3424">
        <v>25000</v>
      </c>
      <c r="C3424">
        <f>1.225 * (1 - 0.00000687559 * B3424) ^ 4.2561</f>
        <v>0.54892259437885793</v>
      </c>
      <c r="D3424">
        <f>E3424*(SQRT($C$2/C3424))</f>
        <v>59.754756643641343</v>
      </c>
      <c r="E3424">
        <v>40</v>
      </c>
      <c r="F3424">
        <v>987</v>
      </c>
      <c r="G3424">
        <v>2750</v>
      </c>
      <c r="H3424">
        <f>CONVERT(G3424,"HP","kW")</f>
        <v>2050.6746468512433</v>
      </c>
      <c r="I3424">
        <v>-0.1867</v>
      </c>
      <c r="J3424">
        <v>0.47160000000000002</v>
      </c>
      <c r="K3424">
        <v>0.44379999999999997</v>
      </c>
      <c r="L3424">
        <v>0.85919999999999996</v>
      </c>
      <c r="M3424">
        <v>-0.3402</v>
      </c>
      <c r="N3424">
        <f>CONVERT(O3424,"lbf","N")</f>
        <v>-12456.799811375506</v>
      </c>
      <c r="O3424">
        <v>-2800.4</v>
      </c>
      <c r="P3424">
        <f t="shared" si="53"/>
        <v>-0.39594972067039108</v>
      </c>
    </row>
    <row r="3425" spans="1:16" hidden="1" x14ac:dyDescent="0.25">
      <c r="A3425">
        <v>0</v>
      </c>
      <c r="B3425">
        <v>25000</v>
      </c>
      <c r="C3425">
        <f>1.225 * (1 - 0.00000687559 * B3425) ^ 4.2561</f>
        <v>0.54892259437885793</v>
      </c>
      <c r="D3425">
        <f>E3425*(SQRT($C$2/C3425))</f>
        <v>119.50951328728269</v>
      </c>
      <c r="E3425">
        <v>80</v>
      </c>
      <c r="F3425">
        <v>987</v>
      </c>
      <c r="G3425">
        <v>2750</v>
      </c>
      <c r="H3425">
        <f>CONVERT(G3425,"HP","kW")</f>
        <v>2050.6746468512433</v>
      </c>
      <c r="I3425">
        <v>-0.52110000000000001</v>
      </c>
      <c r="J3425">
        <v>0.94320000000000004</v>
      </c>
      <c r="K3425">
        <v>0.4657</v>
      </c>
      <c r="L3425">
        <v>0.85929999999999995</v>
      </c>
      <c r="M3425">
        <v>-0.47470000000000001</v>
      </c>
      <c r="N3425">
        <f>CONVERT(O3425,"lbf","N")</f>
        <v>-17380.091495145825</v>
      </c>
      <c r="O3425">
        <v>-3907.2</v>
      </c>
      <c r="P3425">
        <f t="shared" si="53"/>
        <v>-0.55242639357616674</v>
      </c>
    </row>
    <row r="3426" spans="1:16" hidden="1" x14ac:dyDescent="0.25">
      <c r="A3426">
        <v>0</v>
      </c>
      <c r="B3426">
        <v>25000</v>
      </c>
      <c r="C3426">
        <f>1.225 * (1 - 0.00000687559 * B3426) ^ 4.2561</f>
        <v>0.54892259437885793</v>
      </c>
      <c r="D3426">
        <f>E3426*(SQRT($C$2/C3426))</f>
        <v>179.26426993092403</v>
      </c>
      <c r="E3426">
        <v>120</v>
      </c>
      <c r="F3426">
        <v>987</v>
      </c>
      <c r="G3426">
        <v>2750</v>
      </c>
      <c r="H3426">
        <f>CONVERT(G3426,"HP","kW")</f>
        <v>2050.6746468512433</v>
      </c>
      <c r="I3426">
        <v>0.20619999999999999</v>
      </c>
      <c r="J3426">
        <v>1.4148000000000001</v>
      </c>
      <c r="K3426">
        <v>0.54859999999999998</v>
      </c>
      <c r="L3426">
        <v>0.85929999999999995</v>
      </c>
      <c r="M3426">
        <v>0.12520000000000001</v>
      </c>
      <c r="N3426">
        <f>CONVERT(O3426,"lbf","N")</f>
        <v>4584.3371966874711</v>
      </c>
      <c r="O3426">
        <v>1030.5999999999999</v>
      </c>
      <c r="P3426">
        <f t="shared" si="53"/>
        <v>0.14569998836262074</v>
      </c>
    </row>
    <row r="3427" spans="1:16" hidden="1" x14ac:dyDescent="0.25">
      <c r="A3427">
        <v>0</v>
      </c>
      <c r="B3427">
        <v>25000</v>
      </c>
      <c r="C3427">
        <f>1.225 * (1 - 0.00000687559 * B3427) ^ 4.2561</f>
        <v>0.54892259437885793</v>
      </c>
      <c r="D3427">
        <f>E3427*(SQRT($C$2/C3427))</f>
        <v>149.38689160910337</v>
      </c>
      <c r="E3427">
        <v>100</v>
      </c>
      <c r="F3427">
        <v>987</v>
      </c>
      <c r="G3427">
        <v>2750</v>
      </c>
      <c r="H3427">
        <f>CONVERT(G3427,"HP","kW")</f>
        <v>2050.6746468512433</v>
      </c>
      <c r="I3427">
        <v>-0.57669999999999999</v>
      </c>
      <c r="J3427">
        <v>1.179</v>
      </c>
      <c r="K3427">
        <v>0.42899999999999999</v>
      </c>
      <c r="L3427">
        <v>0.85940000000000005</v>
      </c>
      <c r="M3427">
        <v>-0.4204</v>
      </c>
      <c r="N3427">
        <f>CONVERT(O3427,"lbf","N")</f>
        <v>-15389.512322316752</v>
      </c>
      <c r="O3427">
        <v>-3459.7</v>
      </c>
      <c r="P3427">
        <f t="shared" si="53"/>
        <v>-0.48917849662555268</v>
      </c>
    </row>
    <row r="3428" spans="1:16" hidden="1" x14ac:dyDescent="0.25">
      <c r="A3428">
        <v>0</v>
      </c>
      <c r="B3428">
        <v>25000</v>
      </c>
      <c r="C3428">
        <f>1.225 * (1 - 0.00000687559 * B3428) ^ 4.2561</f>
        <v>0.54892259437885793</v>
      </c>
      <c r="D3428">
        <f>E3428*(SQRT($C$2/C3428))</f>
        <v>209.14164825274472</v>
      </c>
      <c r="E3428">
        <v>140</v>
      </c>
      <c r="F3428">
        <v>987</v>
      </c>
      <c r="G3428">
        <v>2750</v>
      </c>
      <c r="H3428">
        <f>CONVERT(G3428,"HP","kW")</f>
        <v>2050.6746468512433</v>
      </c>
      <c r="I3428">
        <v>0.60860000000000003</v>
      </c>
      <c r="J3428">
        <v>1.6506000000000001</v>
      </c>
      <c r="K3428">
        <v>0.57579999999999998</v>
      </c>
      <c r="L3428">
        <v>0.85950000000000004</v>
      </c>
      <c r="M3428">
        <v>0.31690000000000002</v>
      </c>
      <c r="N3428">
        <f>CONVERT(O3428,"lbf","N")</f>
        <v>11600.072328276334</v>
      </c>
      <c r="O3428">
        <v>2607.8000000000002</v>
      </c>
      <c r="P3428">
        <f t="shared" si="53"/>
        <v>0.36870273414776034</v>
      </c>
    </row>
    <row r="3429" spans="1:16" hidden="1" x14ac:dyDescent="0.25">
      <c r="A3429">
        <v>0</v>
      </c>
      <c r="B3429">
        <v>25000</v>
      </c>
      <c r="C3429">
        <f>1.225 * (1 - 0.00000687559 * B3429) ^ 4.2561</f>
        <v>0.54892259437885793</v>
      </c>
      <c r="D3429">
        <f>E3429*(SQRT($C$2/C3429))</f>
        <v>239.01902657456537</v>
      </c>
      <c r="E3429">
        <v>160</v>
      </c>
      <c r="F3429">
        <v>987</v>
      </c>
      <c r="G3429">
        <v>2750</v>
      </c>
      <c r="H3429">
        <f>CONVERT(G3429,"HP","kW")</f>
        <v>2050.6746468512433</v>
      </c>
      <c r="I3429">
        <v>0.7702</v>
      </c>
      <c r="J3429">
        <v>1.8864000000000001</v>
      </c>
      <c r="K3429">
        <v>0.60719999999999996</v>
      </c>
      <c r="L3429">
        <v>0.85970000000000002</v>
      </c>
      <c r="M3429">
        <v>0.35099999999999998</v>
      </c>
      <c r="N3429">
        <f>CONVERT(O3429,"lbf","N")</f>
        <v>12845.574380549273</v>
      </c>
      <c r="O3429">
        <v>2887.8</v>
      </c>
      <c r="P3429">
        <f t="shared" si="53"/>
        <v>0.40828195882284513</v>
      </c>
    </row>
    <row r="3430" spans="1:16" hidden="1" x14ac:dyDescent="0.25">
      <c r="A3430">
        <v>0</v>
      </c>
      <c r="B3430">
        <v>25000</v>
      </c>
      <c r="C3430">
        <f>1.225 * (1 - 0.00000687559 * B3430) ^ 4.2561</f>
        <v>0.54892259437885793</v>
      </c>
      <c r="D3430">
        <f>E3430*(SQRT($C$2/C3430))</f>
        <v>358.52853986184806</v>
      </c>
      <c r="E3430">
        <v>240</v>
      </c>
      <c r="F3430">
        <v>987</v>
      </c>
      <c r="G3430">
        <v>2750</v>
      </c>
      <c r="H3430">
        <f>CONVERT(G3430,"HP","kW")</f>
        <v>2050.6746468512433</v>
      </c>
      <c r="I3430">
        <v>0.80110000000000003</v>
      </c>
      <c r="J3430">
        <v>2.8296000000000001</v>
      </c>
      <c r="K3430">
        <v>0.75339999999999996</v>
      </c>
      <c r="L3430">
        <v>0.86009999999999998</v>
      </c>
      <c r="M3430">
        <v>0.24349999999999999</v>
      </c>
      <c r="N3430">
        <f>CONVERT(O3430,"lbf","N")</f>
        <v>8907.1189623976261</v>
      </c>
      <c r="O3430">
        <v>2002.4</v>
      </c>
      <c r="P3430">
        <f t="shared" si="53"/>
        <v>0.28310661550982447</v>
      </c>
    </row>
    <row r="3431" spans="1:16" hidden="1" x14ac:dyDescent="0.25">
      <c r="A3431">
        <v>0</v>
      </c>
      <c r="B3431">
        <v>30000</v>
      </c>
      <c r="C3431">
        <f>1.225 * (1 - 0.00000687559 * B3431) ^ 4.2561</f>
        <v>0.45828836225470948</v>
      </c>
      <c r="D3431">
        <f>E3431*(SQRT($C$2/C3431))</f>
        <v>294.28703878055819</v>
      </c>
      <c r="E3431">
        <v>180</v>
      </c>
      <c r="F3431">
        <v>987</v>
      </c>
      <c r="G3431">
        <v>2500</v>
      </c>
      <c r="H3431">
        <f>CONVERT(G3431,"HP","kW")</f>
        <v>1864.2496789556756</v>
      </c>
      <c r="I3431">
        <v>0.80569999999999997</v>
      </c>
      <c r="J3431">
        <v>2.3226</v>
      </c>
      <c r="K3431">
        <v>0.68569999999999998</v>
      </c>
      <c r="L3431">
        <v>0.93459999999999999</v>
      </c>
      <c r="M3431">
        <v>0.32419999999999999</v>
      </c>
      <c r="N3431">
        <f>CONVERT(O3431,"lbf","N")</f>
        <v>9921.7583128385468</v>
      </c>
      <c r="O3431">
        <v>2230.5</v>
      </c>
      <c r="P3431">
        <f t="shared" si="53"/>
        <v>0.34688636849989302</v>
      </c>
    </row>
    <row r="3432" spans="1:16" hidden="1" x14ac:dyDescent="0.25">
      <c r="A3432">
        <v>0</v>
      </c>
      <c r="B3432">
        <v>30000</v>
      </c>
      <c r="C3432">
        <f>1.225 * (1 - 0.00000687559 * B3432) ^ 4.2561</f>
        <v>0.45828836225470948</v>
      </c>
      <c r="D3432">
        <f>E3432*(SQRT($C$2/C3432))</f>
        <v>98.095679593519407</v>
      </c>
      <c r="E3432">
        <v>60</v>
      </c>
      <c r="F3432">
        <v>987</v>
      </c>
      <c r="G3432">
        <v>2500</v>
      </c>
      <c r="H3432">
        <f>CONVERT(G3432,"HP","kW")</f>
        <v>1864.2496789556756</v>
      </c>
      <c r="I3432">
        <v>-0.3508</v>
      </c>
      <c r="J3432">
        <v>0.7742</v>
      </c>
      <c r="K3432">
        <v>0.46260000000000001</v>
      </c>
      <c r="L3432">
        <v>0.93510000000000004</v>
      </c>
      <c r="M3432">
        <v>-0.42370000000000002</v>
      </c>
      <c r="N3432">
        <f>CONVERT(O3432,"lbf","N")</f>
        <v>-12960.338498222993</v>
      </c>
      <c r="O3432">
        <v>-2913.6</v>
      </c>
      <c r="P3432">
        <f t="shared" si="53"/>
        <v>-0.45310661961287563</v>
      </c>
    </row>
    <row r="3433" spans="1:16" hidden="1" x14ac:dyDescent="0.25">
      <c r="A3433">
        <v>0</v>
      </c>
      <c r="B3433">
        <v>30000</v>
      </c>
      <c r="C3433">
        <f>1.225 * (1 - 0.00000687559 * B3433) ^ 4.2561</f>
        <v>0.45828836225470948</v>
      </c>
      <c r="D3433">
        <f>E3433*(SQRT($C$2/C3433))</f>
        <v>0</v>
      </c>
      <c r="E3433">
        <v>0</v>
      </c>
      <c r="F3433">
        <v>987</v>
      </c>
      <c r="G3433">
        <v>2500</v>
      </c>
      <c r="H3433">
        <f>CONVERT(G3433,"HP","kW")</f>
        <v>1864.2496789556756</v>
      </c>
      <c r="I3433">
        <v>0</v>
      </c>
      <c r="J3433">
        <v>0</v>
      </c>
      <c r="K3433">
        <v>0.45610000000000001</v>
      </c>
      <c r="L3433">
        <v>0.9355</v>
      </c>
      <c r="M3433">
        <v>-0.2797</v>
      </c>
      <c r="N3433">
        <f>CONVERT(O3433,"lbf","N")</f>
        <v>-8550.8164110152593</v>
      </c>
      <c r="O3433">
        <v>-1922.3</v>
      </c>
      <c r="P3433">
        <f t="shared" si="53"/>
        <v>-0.29898450026723677</v>
      </c>
    </row>
    <row r="3434" spans="1:16" hidden="1" x14ac:dyDescent="0.25">
      <c r="A3434">
        <v>0</v>
      </c>
      <c r="B3434">
        <v>30000</v>
      </c>
      <c r="C3434">
        <f>1.225 * (1 - 0.00000687559 * B3434) ^ 4.2561</f>
        <v>0.45828836225470948</v>
      </c>
      <c r="D3434">
        <f>E3434*(SQRT($C$2/C3434))</f>
        <v>32.698559864506464</v>
      </c>
      <c r="E3434">
        <v>20</v>
      </c>
      <c r="F3434">
        <v>987</v>
      </c>
      <c r="G3434">
        <v>2500</v>
      </c>
      <c r="H3434">
        <f>CONVERT(G3434,"HP","kW")</f>
        <v>1864.2496789556756</v>
      </c>
      <c r="I3434">
        <v>-8.5599999999999996E-2</v>
      </c>
      <c r="J3434">
        <v>0.2581</v>
      </c>
      <c r="K3434">
        <v>0.45069999999999999</v>
      </c>
      <c r="L3434">
        <v>0.9355</v>
      </c>
      <c r="M3434">
        <v>-0.31040000000000001</v>
      </c>
      <c r="N3434">
        <f>CONVERT(O3434,"lbf","N")</f>
        <v>-9488.9463496736971</v>
      </c>
      <c r="O3434">
        <v>-2133.1999999999998</v>
      </c>
      <c r="P3434">
        <f t="shared" si="53"/>
        <v>-0.33180117584179586</v>
      </c>
    </row>
    <row r="3435" spans="1:16" hidden="1" x14ac:dyDescent="0.25">
      <c r="A3435">
        <v>0</v>
      </c>
      <c r="B3435">
        <v>30000</v>
      </c>
      <c r="C3435">
        <f>1.225 * (1 - 0.00000687559 * B3435) ^ 4.2561</f>
        <v>0.45828836225470948</v>
      </c>
      <c r="D3435">
        <f>E3435*(SQRT($C$2/C3435))</f>
        <v>326.98559864506467</v>
      </c>
      <c r="E3435">
        <v>200</v>
      </c>
      <c r="F3435">
        <v>987</v>
      </c>
      <c r="G3435">
        <v>2500</v>
      </c>
      <c r="H3435">
        <f>CONVERT(G3435,"HP","kW")</f>
        <v>1864.2496789556756</v>
      </c>
      <c r="I3435">
        <v>0.80579999999999996</v>
      </c>
      <c r="J3435">
        <v>2.5807000000000002</v>
      </c>
      <c r="K3435">
        <v>0.72750000000000004</v>
      </c>
      <c r="L3435">
        <v>0.9355</v>
      </c>
      <c r="M3435">
        <v>0.29210000000000003</v>
      </c>
      <c r="N3435">
        <f>CONVERT(O3435,"lbf","N")</f>
        <v>8931.1393591200322</v>
      </c>
      <c r="O3435">
        <v>2007.8</v>
      </c>
      <c r="P3435">
        <f t="shared" si="53"/>
        <v>0.3122394441475147</v>
      </c>
    </row>
    <row r="3436" spans="1:16" hidden="1" x14ac:dyDescent="0.25">
      <c r="A3436">
        <v>0</v>
      </c>
      <c r="B3436">
        <v>30000</v>
      </c>
      <c r="C3436">
        <f>1.225 * (1 - 0.00000687559 * B3436) ^ 4.2561</f>
        <v>0.45828836225470948</v>
      </c>
      <c r="D3436">
        <f>E3436*(SQRT($C$2/C3436))</f>
        <v>359.68415850957115</v>
      </c>
      <c r="E3436">
        <v>220</v>
      </c>
      <c r="F3436">
        <v>987</v>
      </c>
      <c r="G3436">
        <v>2500</v>
      </c>
      <c r="H3436">
        <f>CONVERT(G3436,"HP","kW")</f>
        <v>1864.2496789556756</v>
      </c>
      <c r="I3436">
        <v>0.78110000000000002</v>
      </c>
      <c r="J3436">
        <v>2.8386999999999998</v>
      </c>
      <c r="K3436">
        <v>0.77090000000000003</v>
      </c>
      <c r="L3436">
        <v>0.9355</v>
      </c>
      <c r="M3436">
        <v>0.25740000000000002</v>
      </c>
      <c r="N3436">
        <f>CONVERT(O3436,"lbf","N")</f>
        <v>7869.7936817188775</v>
      </c>
      <c r="O3436">
        <v>1769.2</v>
      </c>
      <c r="P3436">
        <f t="shared" si="53"/>
        <v>0.27514698022447892</v>
      </c>
    </row>
    <row r="3437" spans="1:16" hidden="1" x14ac:dyDescent="0.25">
      <c r="A3437">
        <v>0</v>
      </c>
      <c r="B3437">
        <v>30000</v>
      </c>
      <c r="C3437">
        <f>1.225 * (1 - 0.00000687559 * B3437) ^ 4.2561</f>
        <v>0.45828836225470948</v>
      </c>
      <c r="D3437">
        <f>E3437*(SQRT($C$2/C3437))</f>
        <v>425.08127823858405</v>
      </c>
      <c r="E3437">
        <v>260</v>
      </c>
      <c r="F3437">
        <v>987</v>
      </c>
      <c r="G3437">
        <v>2500</v>
      </c>
      <c r="H3437">
        <f>CONVERT(G3437,"HP","kW")</f>
        <v>1864.2496789556756</v>
      </c>
      <c r="I3437">
        <v>0.46750000000000003</v>
      </c>
      <c r="J3437">
        <v>3.3548</v>
      </c>
      <c r="K3437">
        <v>0.86180000000000001</v>
      </c>
      <c r="L3437">
        <v>0.9355</v>
      </c>
      <c r="M3437">
        <v>0.13039999999999999</v>
      </c>
      <c r="N3437">
        <f>CONVERT(O3437,"lbf","N")</f>
        <v>3986.0513894349342</v>
      </c>
      <c r="O3437">
        <v>896.1</v>
      </c>
      <c r="P3437">
        <f t="shared" si="53"/>
        <v>0.13939070016034205</v>
      </c>
    </row>
    <row r="3438" spans="1:16" hidden="1" x14ac:dyDescent="0.25">
      <c r="A3438">
        <v>0</v>
      </c>
      <c r="B3438">
        <v>30000</v>
      </c>
      <c r="C3438">
        <f>1.225 * (1 - 0.00000687559 * B3438) ^ 4.2561</f>
        <v>0.45828836225470948</v>
      </c>
      <c r="D3438">
        <f>E3438*(SQRT($C$2/C3438))</f>
        <v>261.58847891605171</v>
      </c>
      <c r="E3438">
        <v>160</v>
      </c>
      <c r="F3438">
        <v>987</v>
      </c>
      <c r="G3438">
        <v>2500</v>
      </c>
      <c r="H3438">
        <f>CONVERT(G3438,"HP","kW")</f>
        <v>1864.2496789556756</v>
      </c>
      <c r="I3438">
        <v>0.77459999999999996</v>
      </c>
      <c r="J3438">
        <v>2.0644999999999998</v>
      </c>
      <c r="K3438">
        <v>0.64600000000000002</v>
      </c>
      <c r="L3438">
        <v>0.93559999999999999</v>
      </c>
      <c r="M3438">
        <v>0.35099999999999998</v>
      </c>
      <c r="N3438">
        <f>CONVERT(O3438,"lbf","N")</f>
        <v>10731.334646815956</v>
      </c>
      <c r="O3438">
        <v>2412.5</v>
      </c>
      <c r="P3438">
        <f t="shared" si="53"/>
        <v>0.3751603249251817</v>
      </c>
    </row>
    <row r="3439" spans="1:16" hidden="1" x14ac:dyDescent="0.25">
      <c r="A3439">
        <v>0</v>
      </c>
      <c r="B3439">
        <v>30000</v>
      </c>
      <c r="C3439">
        <f>1.225 * (1 - 0.00000687559 * B3439) ^ 4.2561</f>
        <v>0.45828836225470948</v>
      </c>
      <c r="D3439">
        <f>E3439*(SQRT($C$2/C3439))</f>
        <v>392.38271837407763</v>
      </c>
      <c r="E3439">
        <v>240</v>
      </c>
      <c r="F3439">
        <v>987</v>
      </c>
      <c r="G3439">
        <v>2500</v>
      </c>
      <c r="H3439">
        <f>CONVERT(G3439,"HP","kW")</f>
        <v>1864.2496789556756</v>
      </c>
      <c r="I3439">
        <v>0.6865</v>
      </c>
      <c r="J3439">
        <v>3.0968</v>
      </c>
      <c r="K3439">
        <v>0.81559999999999999</v>
      </c>
      <c r="L3439">
        <v>0.93559999999999999</v>
      </c>
      <c r="M3439">
        <v>0.2074</v>
      </c>
      <c r="N3439">
        <f>CONVERT(O3439,"lbf","N")</f>
        <v>6340.0502682307915</v>
      </c>
      <c r="O3439">
        <v>1425.3</v>
      </c>
      <c r="P3439">
        <f t="shared" si="53"/>
        <v>0.22167592988456605</v>
      </c>
    </row>
    <row r="3440" spans="1:16" hidden="1" x14ac:dyDescent="0.25">
      <c r="A3440">
        <v>0</v>
      </c>
      <c r="B3440">
        <v>30000</v>
      </c>
      <c r="C3440">
        <f>1.225 * (1 - 0.00000687559 * B3440) ^ 4.2561</f>
        <v>0.45828836225470948</v>
      </c>
      <c r="D3440">
        <f>E3440*(SQRT($C$2/C3440))</f>
        <v>228.88991905154526</v>
      </c>
      <c r="E3440">
        <v>140</v>
      </c>
      <c r="F3440">
        <v>987</v>
      </c>
      <c r="G3440">
        <v>2500</v>
      </c>
      <c r="H3440">
        <f>CONVERT(G3440,"HP","kW")</f>
        <v>1864.2496789556756</v>
      </c>
      <c r="I3440">
        <v>0.62129999999999996</v>
      </c>
      <c r="J3440">
        <v>1.8065</v>
      </c>
      <c r="K3440">
        <v>0.60880000000000001</v>
      </c>
      <c r="L3440">
        <v>0.93569999999999998</v>
      </c>
      <c r="M3440">
        <v>0.32179999999999997</v>
      </c>
      <c r="N3440">
        <f>CONVERT(O3440,"lbf","N")</f>
        <v>9836.3524578255456</v>
      </c>
      <c r="O3440">
        <v>2211.3000000000002</v>
      </c>
      <c r="P3440">
        <f t="shared" si="53"/>
        <v>0.34391364753660358</v>
      </c>
    </row>
    <row r="3441" spans="1:16" hidden="1" x14ac:dyDescent="0.25">
      <c r="A3441">
        <v>0</v>
      </c>
      <c r="B3441">
        <v>30000</v>
      </c>
      <c r="C3441">
        <f>1.225 * (1 - 0.00000687559 * B3441) ^ 4.2561</f>
        <v>0.45828836225470948</v>
      </c>
      <c r="D3441">
        <f>E3441*(SQRT($C$2/C3441))</f>
        <v>65.397119729012928</v>
      </c>
      <c r="E3441">
        <v>40</v>
      </c>
      <c r="F3441">
        <v>987</v>
      </c>
      <c r="G3441">
        <v>2500</v>
      </c>
      <c r="H3441">
        <f>CONVERT(G3441,"HP","kW")</f>
        <v>1864.2496789556756</v>
      </c>
      <c r="I3441">
        <v>-0.1696</v>
      </c>
      <c r="J3441">
        <v>0.5161</v>
      </c>
      <c r="K3441">
        <v>0.4304</v>
      </c>
      <c r="L3441">
        <v>0.93640000000000001</v>
      </c>
      <c r="M3441">
        <v>-0.30769999999999997</v>
      </c>
      <c r="N3441">
        <f>CONVERT(O3441,"lbf","N")</f>
        <v>-9399.0922730454367</v>
      </c>
      <c r="O3441">
        <v>-2113</v>
      </c>
      <c r="P3441">
        <f t="shared" si="53"/>
        <v>-0.32859888936351983</v>
      </c>
    </row>
    <row r="3442" spans="1:16" hidden="1" x14ac:dyDescent="0.25">
      <c r="A3442">
        <v>0</v>
      </c>
      <c r="B3442">
        <v>30000</v>
      </c>
      <c r="C3442">
        <f>1.225 * (1 - 0.00000687559 * B3442) ^ 4.2561</f>
        <v>0.45828836225470948</v>
      </c>
      <c r="D3442">
        <f>E3442*(SQRT($C$2/C3442))</f>
        <v>196.19135918703881</v>
      </c>
      <c r="E3442">
        <v>120</v>
      </c>
      <c r="F3442">
        <v>987</v>
      </c>
      <c r="G3442">
        <v>2500</v>
      </c>
      <c r="H3442">
        <f>CONVERT(G3442,"HP","kW")</f>
        <v>1864.2496789556756</v>
      </c>
      <c r="I3442">
        <v>0.1895</v>
      </c>
      <c r="J3442">
        <v>1.5484</v>
      </c>
      <c r="K3442">
        <v>0.57640000000000002</v>
      </c>
      <c r="L3442">
        <v>0.9365</v>
      </c>
      <c r="M3442">
        <v>0.11459999999999999</v>
      </c>
      <c r="N3442">
        <f>CONVERT(O3442,"lbf","N")</f>
        <v>3499.8607668869613</v>
      </c>
      <c r="O3442">
        <v>786.8</v>
      </c>
      <c r="P3442">
        <f t="shared" si="53"/>
        <v>0.12237052856380139</v>
      </c>
    </row>
    <row r="3443" spans="1:16" hidden="1" x14ac:dyDescent="0.25">
      <c r="A3443">
        <v>0</v>
      </c>
      <c r="B3443">
        <v>30000</v>
      </c>
      <c r="C3443">
        <f>1.225 * (1 - 0.00000687559 * B3443) ^ 4.2561</f>
        <v>0.45828836225470948</v>
      </c>
      <c r="D3443">
        <f>E3443*(SQRT($C$2/C3443))</f>
        <v>359.68415850957115</v>
      </c>
      <c r="E3443">
        <v>220</v>
      </c>
      <c r="F3443">
        <v>987</v>
      </c>
      <c r="G3443">
        <v>2750</v>
      </c>
      <c r="H3443">
        <f>CONVERT(G3443,"HP","kW")</f>
        <v>2050.6746468512433</v>
      </c>
      <c r="I3443">
        <v>0.76200000000000001</v>
      </c>
      <c r="J3443">
        <v>2.8386999999999998</v>
      </c>
      <c r="K3443">
        <v>0.77059999999999995</v>
      </c>
      <c r="L3443">
        <v>1.0278</v>
      </c>
      <c r="M3443">
        <v>0.27589999999999998</v>
      </c>
      <c r="N3443">
        <f>CONVERT(O3443,"lbf","N")</f>
        <v>8444.9487365720597</v>
      </c>
      <c r="O3443">
        <v>1898.5</v>
      </c>
      <c r="P3443">
        <f t="shared" si="53"/>
        <v>0.26843743919050395</v>
      </c>
    </row>
    <row r="3444" spans="1:16" hidden="1" x14ac:dyDescent="0.25">
      <c r="A3444">
        <v>0</v>
      </c>
      <c r="B3444">
        <v>30000</v>
      </c>
      <c r="C3444">
        <f>1.225 * (1 - 0.00000687559 * B3444) ^ 4.2561</f>
        <v>0.45828836225470948</v>
      </c>
      <c r="D3444">
        <f>E3444*(SQRT($C$2/C3444))</f>
        <v>228.88991905154526</v>
      </c>
      <c r="E3444">
        <v>140</v>
      </c>
      <c r="F3444">
        <v>987</v>
      </c>
      <c r="G3444">
        <v>2750</v>
      </c>
      <c r="H3444">
        <f>CONVERT(G3444,"HP","kW")</f>
        <v>2050.6746468512433</v>
      </c>
      <c r="I3444">
        <v>0.40379999999999999</v>
      </c>
      <c r="J3444">
        <v>1.8065</v>
      </c>
      <c r="K3444">
        <v>0.60919999999999996</v>
      </c>
      <c r="L3444">
        <v>1.0286999999999999</v>
      </c>
      <c r="M3444">
        <v>0.22989999999999999</v>
      </c>
      <c r="N3444">
        <f>CONVERT(O3444,"lbf","N")</f>
        <v>7032.1935515653249</v>
      </c>
      <c r="O3444">
        <v>1580.9</v>
      </c>
      <c r="P3444">
        <f t="shared" si="53"/>
        <v>0.22348595314474581</v>
      </c>
    </row>
    <row r="3445" spans="1:16" hidden="1" x14ac:dyDescent="0.25">
      <c r="A3445">
        <v>0</v>
      </c>
      <c r="B3445">
        <v>30000</v>
      </c>
      <c r="C3445">
        <f>1.225 * (1 - 0.00000687559 * B3445) ^ 4.2561</f>
        <v>0.45828836225470948</v>
      </c>
      <c r="D3445">
        <f>E3445*(SQRT($C$2/C3445))</f>
        <v>392.38271837407763</v>
      </c>
      <c r="E3445">
        <v>240</v>
      </c>
      <c r="F3445">
        <v>987</v>
      </c>
      <c r="G3445">
        <v>2750</v>
      </c>
      <c r="H3445">
        <f>CONVERT(G3445,"HP","kW")</f>
        <v>2050.6746468512433</v>
      </c>
      <c r="I3445">
        <v>0.66559999999999997</v>
      </c>
      <c r="J3445">
        <v>3.0968</v>
      </c>
      <c r="K3445">
        <v>0.81540000000000001</v>
      </c>
      <c r="L3445">
        <v>1.0286999999999999</v>
      </c>
      <c r="M3445">
        <v>0.22109999999999999</v>
      </c>
      <c r="N3445">
        <f>CONVERT(O3445,"lbf","N")</f>
        <v>6761.7416773574851</v>
      </c>
      <c r="O3445">
        <v>1520.1</v>
      </c>
      <c r="P3445">
        <f t="shared" si="53"/>
        <v>0.21493146689997084</v>
      </c>
    </row>
    <row r="3446" spans="1:16" hidden="1" x14ac:dyDescent="0.25">
      <c r="A3446">
        <v>0</v>
      </c>
      <c r="B3446">
        <v>30000</v>
      </c>
      <c r="C3446">
        <f>1.225 * (1 - 0.00000687559 * B3446) ^ 4.2561</f>
        <v>0.45828836225470948</v>
      </c>
      <c r="D3446">
        <f>E3446*(SQRT($C$2/C3446))</f>
        <v>0</v>
      </c>
      <c r="E3446">
        <v>0</v>
      </c>
      <c r="F3446">
        <v>987</v>
      </c>
      <c r="G3446">
        <v>2750</v>
      </c>
      <c r="H3446">
        <f>CONVERT(G3446,"HP","kW")</f>
        <v>2050.6746468512433</v>
      </c>
      <c r="I3446">
        <v>0</v>
      </c>
      <c r="J3446">
        <v>0</v>
      </c>
      <c r="K3446">
        <v>0.4541</v>
      </c>
      <c r="L3446">
        <v>1.0287999999999999</v>
      </c>
      <c r="M3446">
        <v>-0.28639999999999999</v>
      </c>
      <c r="N3446">
        <f>CONVERT(O3446,"lbf","N")</f>
        <v>-8758.1035382863993</v>
      </c>
      <c r="O3446">
        <v>-1968.9</v>
      </c>
      <c r="P3446">
        <f t="shared" si="53"/>
        <v>-0.27838258164852253</v>
      </c>
    </row>
    <row r="3447" spans="1:16" hidden="1" x14ac:dyDescent="0.25">
      <c r="A3447">
        <v>0</v>
      </c>
      <c r="B3447">
        <v>30000</v>
      </c>
      <c r="C3447">
        <f>1.225 * (1 - 0.00000687559 * B3447) ^ 4.2561</f>
        <v>0.45828836225470948</v>
      </c>
      <c r="D3447">
        <f>E3447*(SQRT($C$2/C3447))</f>
        <v>425.08127823858405</v>
      </c>
      <c r="E3447">
        <v>260</v>
      </c>
      <c r="F3447">
        <v>987</v>
      </c>
      <c r="G3447">
        <v>2750</v>
      </c>
      <c r="H3447">
        <f>CONVERT(G3447,"HP","kW")</f>
        <v>2050.6746468512433</v>
      </c>
      <c r="I3447">
        <v>0.44629999999999997</v>
      </c>
      <c r="J3447">
        <v>3.3548</v>
      </c>
      <c r="K3447">
        <v>0.86170000000000002</v>
      </c>
      <c r="L3447">
        <v>1.0289999999999999</v>
      </c>
      <c r="M3447">
        <v>0.13689999999999999</v>
      </c>
      <c r="N3447">
        <f>CONVERT(O3447,"lbf","N")</f>
        <v>4185.3317177986046</v>
      </c>
      <c r="O3447">
        <v>940.9</v>
      </c>
      <c r="P3447">
        <f t="shared" si="53"/>
        <v>0.13304178814382897</v>
      </c>
    </row>
    <row r="3448" spans="1:16" hidden="1" x14ac:dyDescent="0.25">
      <c r="A3448">
        <v>0</v>
      </c>
      <c r="B3448">
        <v>30000</v>
      </c>
      <c r="C3448">
        <f>1.225 * (1 - 0.00000687559 * B3448) ^ 4.2561</f>
        <v>0.45828836225470948</v>
      </c>
      <c r="D3448">
        <f>E3448*(SQRT($C$2/C3448))</f>
        <v>294.28703878055819</v>
      </c>
      <c r="E3448">
        <v>180</v>
      </c>
      <c r="F3448">
        <v>987</v>
      </c>
      <c r="G3448">
        <v>2750</v>
      </c>
      <c r="H3448">
        <f>CONVERT(G3448,"HP","kW")</f>
        <v>2050.6746468512433</v>
      </c>
      <c r="I3448">
        <v>0.77569999999999995</v>
      </c>
      <c r="J3448">
        <v>2.3226</v>
      </c>
      <c r="K3448">
        <v>0.68530000000000002</v>
      </c>
      <c r="L3448">
        <v>1.0290999999999999</v>
      </c>
      <c r="M3448">
        <v>0.34370000000000001</v>
      </c>
      <c r="N3448">
        <f>CONVERT(O3448,"lbf","N")</f>
        <v>10508.033921729881</v>
      </c>
      <c r="O3448">
        <v>2362.3000000000002</v>
      </c>
      <c r="P3448">
        <f t="shared" si="53"/>
        <v>0.33398114857642602</v>
      </c>
    </row>
    <row r="3449" spans="1:16" hidden="1" x14ac:dyDescent="0.25">
      <c r="A3449">
        <v>0</v>
      </c>
      <c r="B3449">
        <v>30000</v>
      </c>
      <c r="C3449">
        <f>1.225 * (1 - 0.00000687559 * B3449) ^ 4.2561</f>
        <v>0.45828836225470948</v>
      </c>
      <c r="D3449">
        <f>E3449*(SQRT($C$2/C3449))</f>
        <v>326.98559864506467</v>
      </c>
      <c r="E3449">
        <v>200</v>
      </c>
      <c r="F3449">
        <v>987</v>
      </c>
      <c r="G3449">
        <v>2750</v>
      </c>
      <c r="H3449">
        <f>CONVERT(G3449,"HP","kW")</f>
        <v>2050.6746468512433</v>
      </c>
      <c r="I3449">
        <v>0.78520000000000001</v>
      </c>
      <c r="J3449">
        <v>2.5807000000000002</v>
      </c>
      <c r="K3449">
        <v>0.72709999999999997</v>
      </c>
      <c r="L3449">
        <v>1.0290999999999999</v>
      </c>
      <c r="M3449">
        <v>0.31309999999999999</v>
      </c>
      <c r="N3449">
        <f>CONVERT(O3449,"lbf","N")</f>
        <v>9572.5729160405954</v>
      </c>
      <c r="O3449">
        <v>2152</v>
      </c>
      <c r="P3449">
        <f t="shared" si="53"/>
        <v>0.30424642891847248</v>
      </c>
    </row>
    <row r="3450" spans="1:16" hidden="1" x14ac:dyDescent="0.25">
      <c r="A3450">
        <v>0</v>
      </c>
      <c r="B3450">
        <v>30000</v>
      </c>
      <c r="C3450">
        <f>1.225 * (1 - 0.00000687559 * B3450) ^ 4.2561</f>
        <v>0.45828836225470948</v>
      </c>
      <c r="D3450">
        <f>E3450*(SQRT($C$2/C3450))</f>
        <v>261.58847891605171</v>
      </c>
      <c r="E3450">
        <v>160</v>
      </c>
      <c r="F3450">
        <v>987</v>
      </c>
      <c r="G3450">
        <v>2750</v>
      </c>
      <c r="H3450">
        <f>CONVERT(G3450,"HP","kW")</f>
        <v>2050.6746468512433</v>
      </c>
      <c r="I3450">
        <v>0.70440000000000003</v>
      </c>
      <c r="J3450">
        <v>2.0644999999999998</v>
      </c>
      <c r="K3450">
        <v>0.64549999999999996</v>
      </c>
      <c r="L3450">
        <v>1.0296000000000001</v>
      </c>
      <c r="M3450">
        <v>0.3513</v>
      </c>
      <c r="N3450">
        <f>CONVERT(O3450,"lbf","N")</f>
        <v>10733.558757623587</v>
      </c>
      <c r="O3450">
        <v>2413</v>
      </c>
      <c r="P3450">
        <f t="shared" si="53"/>
        <v>0.34120046620046618</v>
      </c>
    </row>
    <row r="3451" spans="1:16" hidden="1" x14ac:dyDescent="0.25">
      <c r="A3451">
        <v>0</v>
      </c>
      <c r="B3451">
        <v>5000</v>
      </c>
      <c r="C3451">
        <f>1.225 * (1 - 0.00000687559 * B3451) ^ 4.2561</f>
        <v>1.0555380742846066</v>
      </c>
      <c r="D3451">
        <f>E3451*(SQRT($C$2/C3451))</f>
        <v>0</v>
      </c>
      <c r="E3451">
        <v>0</v>
      </c>
      <c r="F3451">
        <v>987</v>
      </c>
      <c r="G3451">
        <v>2750</v>
      </c>
      <c r="H3451">
        <f>CONVERT(G3451,"HP","kW")</f>
        <v>2050.6746468512433</v>
      </c>
      <c r="N3451">
        <f>CONVERT(O3451,"lbf","N")</f>
        <v>0</v>
      </c>
      <c r="P3451" t="e">
        <f t="shared" si="53"/>
        <v>#DIV/0!</v>
      </c>
    </row>
    <row r="3452" spans="1:16" hidden="1" x14ac:dyDescent="0.25">
      <c r="A3452">
        <v>0</v>
      </c>
      <c r="B3452">
        <v>10000</v>
      </c>
      <c r="C3452">
        <f>1.225 * (1 - 0.00000687559 * B3452) ^ 4.2561</f>
        <v>0.90462252368600637</v>
      </c>
      <c r="D3452">
        <f>E3452*(SQRT($C$2/C3452))</f>
        <v>0</v>
      </c>
      <c r="E3452">
        <v>0</v>
      </c>
      <c r="F3452">
        <v>987</v>
      </c>
      <c r="G3452">
        <v>2500</v>
      </c>
      <c r="H3452">
        <f>CONVERT(G3452,"HP","kW")</f>
        <v>1864.2496789556756</v>
      </c>
      <c r="N3452">
        <f>CONVERT(O3452,"lbf","N")</f>
        <v>0</v>
      </c>
      <c r="P3452" t="e">
        <f t="shared" si="53"/>
        <v>#DIV/0!</v>
      </c>
    </row>
    <row r="3453" spans="1:16" hidden="1" x14ac:dyDescent="0.25">
      <c r="A3453">
        <v>0</v>
      </c>
      <c r="B3453">
        <v>10000</v>
      </c>
      <c r="C3453">
        <f>1.225 * (1 - 0.00000687559 * B3453) ^ 4.2561</f>
        <v>0.90462252368600637</v>
      </c>
      <c r="D3453">
        <f>E3453*(SQRT($C$2/C3453))</f>
        <v>0</v>
      </c>
      <c r="E3453">
        <v>0</v>
      </c>
      <c r="F3453">
        <v>987</v>
      </c>
      <c r="G3453">
        <v>2750</v>
      </c>
      <c r="H3453">
        <f>CONVERT(G3453,"HP","kW")</f>
        <v>2050.6746468512433</v>
      </c>
      <c r="N3453">
        <f>CONVERT(O3453,"lbf","N")</f>
        <v>0</v>
      </c>
      <c r="P3453" t="e">
        <f t="shared" si="53"/>
        <v>#DIV/0!</v>
      </c>
    </row>
    <row r="3454" spans="1:16" hidden="1" x14ac:dyDescent="0.25">
      <c r="A3454">
        <v>0</v>
      </c>
      <c r="B3454">
        <v>10000</v>
      </c>
      <c r="C3454">
        <f>1.225 * (1 - 0.00000687559 * B3454) ^ 4.2561</f>
        <v>0.90462252368600637</v>
      </c>
      <c r="D3454">
        <f>E3454*(SQRT($C$2/C3454))</f>
        <v>23.273641570654068</v>
      </c>
      <c r="E3454">
        <v>20</v>
      </c>
      <c r="F3454">
        <v>987</v>
      </c>
      <c r="G3454">
        <v>2500</v>
      </c>
      <c r="H3454">
        <f>CONVERT(G3454,"HP","kW")</f>
        <v>1864.2496789556756</v>
      </c>
      <c r="N3454">
        <f>CONVERT(O3454,"lbf","N")</f>
        <v>0</v>
      </c>
      <c r="P3454" t="e">
        <f t="shared" si="53"/>
        <v>#DIV/0!</v>
      </c>
    </row>
    <row r="3455" spans="1:16" hidden="1" x14ac:dyDescent="0.25">
      <c r="A3455">
        <v>0</v>
      </c>
      <c r="B3455">
        <v>10000</v>
      </c>
      <c r="C3455">
        <f>1.225 * (1 - 0.00000687559 * B3455) ^ 4.2561</f>
        <v>0.90462252368600637</v>
      </c>
      <c r="D3455">
        <f>E3455*(SQRT($C$2/C3455))</f>
        <v>46.547283141308135</v>
      </c>
      <c r="E3455">
        <v>40</v>
      </c>
      <c r="F3455">
        <v>987</v>
      </c>
      <c r="G3455">
        <v>2750</v>
      </c>
      <c r="H3455">
        <f>CONVERT(G3455,"HP","kW")</f>
        <v>2050.6746468512433</v>
      </c>
      <c r="N3455">
        <f>CONVERT(O3455,"lbf","N")</f>
        <v>0</v>
      </c>
      <c r="P3455" t="e">
        <f t="shared" si="53"/>
        <v>#DIV/0!</v>
      </c>
    </row>
    <row r="3456" spans="1:16" hidden="1" x14ac:dyDescent="0.25">
      <c r="A3456">
        <v>0</v>
      </c>
      <c r="B3456">
        <v>15000</v>
      </c>
      <c r="C3456">
        <f>1.225 * (1 - 0.00000687559 * B3456) ^ 4.2561</f>
        <v>0.77079726910167001</v>
      </c>
      <c r="D3456">
        <f>E3456*(SQRT($C$2/C3456))</f>
        <v>0</v>
      </c>
      <c r="E3456">
        <v>0</v>
      </c>
      <c r="F3456">
        <v>987</v>
      </c>
      <c r="G3456">
        <v>2000</v>
      </c>
      <c r="H3456">
        <f>CONVERT(G3456,"HP","kW")</f>
        <v>1491.3997431645405</v>
      </c>
      <c r="N3456">
        <f>CONVERT(O3456,"lbf","N")</f>
        <v>0</v>
      </c>
      <c r="P3456" t="e">
        <f t="shared" si="53"/>
        <v>#DIV/0!</v>
      </c>
    </row>
    <row r="3457" spans="1:16" hidden="1" x14ac:dyDescent="0.25">
      <c r="A3457">
        <v>0</v>
      </c>
      <c r="B3457">
        <v>15000</v>
      </c>
      <c r="C3457">
        <f>1.225 * (1 - 0.00000687559 * B3457) ^ 4.2561</f>
        <v>0.77079726910167001</v>
      </c>
      <c r="D3457">
        <f>E3457*(SQRT($C$2/C3457))</f>
        <v>0</v>
      </c>
      <c r="E3457">
        <v>0</v>
      </c>
      <c r="F3457">
        <v>987</v>
      </c>
      <c r="G3457">
        <v>2250</v>
      </c>
      <c r="H3457">
        <f>CONVERT(G3457,"HP","kW")</f>
        <v>1677.8247110601083</v>
      </c>
      <c r="N3457">
        <f>CONVERT(O3457,"lbf","N")</f>
        <v>0</v>
      </c>
      <c r="P3457" t="e">
        <f t="shared" si="53"/>
        <v>#DIV/0!</v>
      </c>
    </row>
    <row r="3458" spans="1:16" hidden="1" x14ac:dyDescent="0.25">
      <c r="A3458">
        <v>0</v>
      </c>
      <c r="B3458">
        <v>15000</v>
      </c>
      <c r="C3458">
        <f>1.225 * (1 - 0.00000687559 * B3458) ^ 4.2561</f>
        <v>0.77079726910167001</v>
      </c>
      <c r="D3458">
        <f>E3458*(SQRT($C$2/C3458))</f>
        <v>0</v>
      </c>
      <c r="E3458">
        <v>0</v>
      </c>
      <c r="F3458">
        <v>987</v>
      </c>
      <c r="G3458">
        <v>2500</v>
      </c>
      <c r="H3458">
        <f>CONVERT(G3458,"HP","kW")</f>
        <v>1864.2496789556756</v>
      </c>
      <c r="N3458">
        <f>CONVERT(O3458,"lbf","N")</f>
        <v>0</v>
      </c>
      <c r="P3458" t="e">
        <f t="shared" si="53"/>
        <v>#DIV/0!</v>
      </c>
    </row>
    <row r="3459" spans="1:16" hidden="1" x14ac:dyDescent="0.25">
      <c r="A3459">
        <v>0</v>
      </c>
      <c r="B3459">
        <v>15000</v>
      </c>
      <c r="C3459">
        <f>1.225 * (1 - 0.00000687559 * B3459) ^ 4.2561</f>
        <v>0.77079726910167001</v>
      </c>
      <c r="D3459">
        <f>E3459*(SQRT($C$2/C3459))</f>
        <v>0</v>
      </c>
      <c r="E3459">
        <v>0</v>
      </c>
      <c r="F3459">
        <v>987</v>
      </c>
      <c r="G3459">
        <v>2750</v>
      </c>
      <c r="H3459">
        <f>CONVERT(G3459,"HP","kW")</f>
        <v>2050.6746468512433</v>
      </c>
      <c r="N3459">
        <f>CONVERT(O3459,"lbf","N")</f>
        <v>0</v>
      </c>
      <c r="P3459" t="e">
        <f t="shared" ref="P3459:P3522" si="54">M3459/L3459</f>
        <v>#DIV/0!</v>
      </c>
    </row>
    <row r="3460" spans="1:16" hidden="1" x14ac:dyDescent="0.25">
      <c r="A3460">
        <v>0</v>
      </c>
      <c r="B3460">
        <v>15000</v>
      </c>
      <c r="C3460">
        <f>1.225 * (1 - 0.00000687559 * B3460) ^ 4.2561</f>
        <v>0.77079726910167001</v>
      </c>
      <c r="D3460">
        <f>E3460*(SQRT($C$2/C3460))</f>
        <v>25.213199277533057</v>
      </c>
      <c r="E3460">
        <v>20</v>
      </c>
      <c r="F3460">
        <v>987</v>
      </c>
      <c r="G3460">
        <v>2250</v>
      </c>
      <c r="H3460">
        <f>CONVERT(G3460,"HP","kW")</f>
        <v>1677.8247110601083</v>
      </c>
      <c r="N3460">
        <f>CONVERT(O3460,"lbf","N")</f>
        <v>0</v>
      </c>
      <c r="P3460" t="e">
        <f t="shared" si="54"/>
        <v>#DIV/0!</v>
      </c>
    </row>
    <row r="3461" spans="1:16" hidden="1" x14ac:dyDescent="0.25">
      <c r="A3461">
        <v>0</v>
      </c>
      <c r="B3461">
        <v>15000</v>
      </c>
      <c r="C3461">
        <f>1.225 * (1 - 0.00000687559 * B3461) ^ 4.2561</f>
        <v>0.77079726910167001</v>
      </c>
      <c r="D3461">
        <f>E3461*(SQRT($C$2/C3461))</f>
        <v>25.213199277533057</v>
      </c>
      <c r="E3461">
        <v>20</v>
      </c>
      <c r="F3461">
        <v>987</v>
      </c>
      <c r="G3461">
        <v>2500</v>
      </c>
      <c r="H3461">
        <f>CONVERT(G3461,"HP","kW")</f>
        <v>1864.2496789556756</v>
      </c>
      <c r="N3461">
        <f>CONVERT(O3461,"lbf","N")</f>
        <v>0</v>
      </c>
      <c r="P3461" t="e">
        <f t="shared" si="54"/>
        <v>#DIV/0!</v>
      </c>
    </row>
    <row r="3462" spans="1:16" hidden="1" x14ac:dyDescent="0.25">
      <c r="A3462">
        <v>0</v>
      </c>
      <c r="B3462">
        <v>15000</v>
      </c>
      <c r="C3462">
        <f>1.225 * (1 - 0.00000687559 * B3462) ^ 4.2561</f>
        <v>0.77079726910167001</v>
      </c>
      <c r="D3462">
        <f>E3462*(SQRT($C$2/C3462))</f>
        <v>50.426398555066115</v>
      </c>
      <c r="E3462">
        <v>40</v>
      </c>
      <c r="F3462">
        <v>987</v>
      </c>
      <c r="G3462">
        <v>2500</v>
      </c>
      <c r="H3462">
        <f>CONVERT(G3462,"HP","kW")</f>
        <v>1864.2496789556756</v>
      </c>
      <c r="N3462">
        <f>CONVERT(O3462,"lbf","N")</f>
        <v>0</v>
      </c>
      <c r="P3462" t="e">
        <f t="shared" si="54"/>
        <v>#DIV/0!</v>
      </c>
    </row>
    <row r="3463" spans="1:16" hidden="1" x14ac:dyDescent="0.25">
      <c r="A3463">
        <v>0</v>
      </c>
      <c r="B3463">
        <v>15000</v>
      </c>
      <c r="C3463">
        <f>1.225 * (1 - 0.00000687559 * B3463) ^ 4.2561</f>
        <v>0.77079726910167001</v>
      </c>
      <c r="D3463">
        <f>E3463*(SQRT($C$2/C3463))</f>
        <v>50.426398555066115</v>
      </c>
      <c r="E3463">
        <v>40</v>
      </c>
      <c r="F3463">
        <v>987</v>
      </c>
      <c r="G3463">
        <v>2750</v>
      </c>
      <c r="H3463">
        <f>CONVERT(G3463,"HP","kW")</f>
        <v>2050.6746468512433</v>
      </c>
      <c r="N3463">
        <f>CONVERT(O3463,"lbf","N")</f>
        <v>0</v>
      </c>
      <c r="P3463" t="e">
        <f t="shared" si="54"/>
        <v>#DIV/0!</v>
      </c>
    </row>
    <row r="3464" spans="1:16" hidden="1" x14ac:dyDescent="0.25">
      <c r="A3464">
        <v>0</v>
      </c>
      <c r="B3464">
        <v>15000</v>
      </c>
      <c r="C3464">
        <f>1.225 * (1 - 0.00000687559 * B3464) ^ 4.2561</f>
        <v>0.77079726910167001</v>
      </c>
      <c r="D3464">
        <f>E3464*(SQRT($C$2/C3464))</f>
        <v>75.639597832599179</v>
      </c>
      <c r="E3464">
        <v>60</v>
      </c>
      <c r="F3464">
        <v>987</v>
      </c>
      <c r="G3464">
        <v>2750</v>
      </c>
      <c r="H3464">
        <f>CONVERT(G3464,"HP","kW")</f>
        <v>2050.6746468512433</v>
      </c>
      <c r="N3464">
        <f>CONVERT(O3464,"lbf","N")</f>
        <v>0</v>
      </c>
      <c r="P3464" t="e">
        <f t="shared" si="54"/>
        <v>#DIV/0!</v>
      </c>
    </row>
    <row r="3465" spans="1:16" hidden="1" x14ac:dyDescent="0.25">
      <c r="A3465">
        <v>0</v>
      </c>
      <c r="B3465">
        <v>20000</v>
      </c>
      <c r="C3465">
        <f>1.225 * (1 - 0.00000687559 * B3465) ^ 4.2561</f>
        <v>0.65267221054298263</v>
      </c>
      <c r="D3465">
        <f>E3465*(SQRT($C$2/C3465))</f>
        <v>0</v>
      </c>
      <c r="E3465">
        <v>0</v>
      </c>
      <c r="F3465">
        <v>987</v>
      </c>
      <c r="G3465">
        <v>1750</v>
      </c>
      <c r="H3465">
        <f>CONVERT(G3465,"HP","kW")</f>
        <v>1304.974775268973</v>
      </c>
      <c r="N3465">
        <f>CONVERT(O3465,"lbf","N")</f>
        <v>0</v>
      </c>
      <c r="P3465" t="e">
        <f t="shared" si="54"/>
        <v>#DIV/0!</v>
      </c>
    </row>
    <row r="3466" spans="1:16" hidden="1" x14ac:dyDescent="0.25">
      <c r="A3466">
        <v>0</v>
      </c>
      <c r="B3466">
        <v>20000</v>
      </c>
      <c r="C3466">
        <f>1.225 * (1 - 0.00000687559 * B3466) ^ 4.2561</f>
        <v>0.65267221054298263</v>
      </c>
      <c r="D3466">
        <f>E3466*(SQRT($C$2/C3466))</f>
        <v>0</v>
      </c>
      <c r="E3466">
        <v>0</v>
      </c>
      <c r="F3466">
        <v>987</v>
      </c>
      <c r="G3466">
        <v>2000</v>
      </c>
      <c r="H3466">
        <f>CONVERT(G3466,"HP","kW")</f>
        <v>1491.3997431645405</v>
      </c>
      <c r="N3466">
        <f>CONVERT(O3466,"lbf","N")</f>
        <v>0</v>
      </c>
      <c r="P3466" t="e">
        <f t="shared" si="54"/>
        <v>#DIV/0!</v>
      </c>
    </row>
    <row r="3467" spans="1:16" hidden="1" x14ac:dyDescent="0.25">
      <c r="A3467">
        <v>0</v>
      </c>
      <c r="B3467">
        <v>20000</v>
      </c>
      <c r="C3467">
        <f>1.225 * (1 - 0.00000687559 * B3467) ^ 4.2561</f>
        <v>0.65267221054298263</v>
      </c>
      <c r="D3467">
        <f>E3467*(SQRT($C$2/C3467))</f>
        <v>0</v>
      </c>
      <c r="E3467">
        <v>0</v>
      </c>
      <c r="F3467">
        <v>987</v>
      </c>
      <c r="G3467">
        <v>2500</v>
      </c>
      <c r="H3467">
        <f>CONVERT(G3467,"HP","kW")</f>
        <v>1864.2496789556756</v>
      </c>
      <c r="N3467">
        <f>CONVERT(O3467,"lbf","N")</f>
        <v>0</v>
      </c>
      <c r="P3467" t="e">
        <f t="shared" si="54"/>
        <v>#DIV/0!</v>
      </c>
    </row>
    <row r="3468" spans="1:16" hidden="1" x14ac:dyDescent="0.25">
      <c r="A3468">
        <v>0</v>
      </c>
      <c r="B3468">
        <v>20000</v>
      </c>
      <c r="C3468">
        <f>1.225 * (1 - 0.00000687559 * B3468) ^ 4.2561</f>
        <v>0.65267221054298263</v>
      </c>
      <c r="D3468">
        <f>E3468*(SQRT($C$2/C3468))</f>
        <v>27.399994721664136</v>
      </c>
      <c r="E3468">
        <v>20</v>
      </c>
      <c r="F3468">
        <v>987</v>
      </c>
      <c r="G3468">
        <v>2000</v>
      </c>
      <c r="H3468">
        <f>CONVERT(G3468,"HP","kW")</f>
        <v>1491.3997431645405</v>
      </c>
      <c r="N3468">
        <f>CONVERT(O3468,"lbf","N")</f>
        <v>0</v>
      </c>
      <c r="P3468" t="e">
        <f t="shared" si="54"/>
        <v>#DIV/0!</v>
      </c>
    </row>
    <row r="3469" spans="1:16" hidden="1" x14ac:dyDescent="0.25">
      <c r="A3469">
        <v>0</v>
      </c>
      <c r="B3469">
        <v>20000</v>
      </c>
      <c r="C3469">
        <f>1.225 * (1 - 0.00000687559 * B3469) ^ 4.2561</f>
        <v>0.65267221054298263</v>
      </c>
      <c r="D3469">
        <f>E3469*(SQRT($C$2/C3469))</f>
        <v>54.799989443328272</v>
      </c>
      <c r="E3469">
        <v>40</v>
      </c>
      <c r="F3469">
        <v>987</v>
      </c>
      <c r="G3469">
        <v>2000</v>
      </c>
      <c r="H3469">
        <f>CONVERT(G3469,"HP","kW")</f>
        <v>1491.3997431645405</v>
      </c>
      <c r="N3469">
        <f>CONVERT(O3469,"lbf","N")</f>
        <v>0</v>
      </c>
      <c r="P3469" t="e">
        <f t="shared" si="54"/>
        <v>#DIV/0!</v>
      </c>
    </row>
    <row r="3470" spans="1:16" hidden="1" x14ac:dyDescent="0.25">
      <c r="A3470">
        <v>0</v>
      </c>
      <c r="B3470">
        <v>20000</v>
      </c>
      <c r="C3470">
        <f>1.225 * (1 - 0.00000687559 * B3470) ^ 4.2561</f>
        <v>0.65267221054298263</v>
      </c>
      <c r="D3470">
        <f>E3470*(SQRT($C$2/C3470))</f>
        <v>54.799989443328272</v>
      </c>
      <c r="E3470">
        <v>40</v>
      </c>
      <c r="F3470">
        <v>987</v>
      </c>
      <c r="G3470">
        <v>2250</v>
      </c>
      <c r="H3470">
        <f>CONVERT(G3470,"HP","kW")</f>
        <v>1677.8247110601083</v>
      </c>
      <c r="N3470">
        <f>CONVERT(O3470,"lbf","N")</f>
        <v>0</v>
      </c>
      <c r="P3470" t="e">
        <f t="shared" si="54"/>
        <v>#DIV/0!</v>
      </c>
    </row>
    <row r="3471" spans="1:16" hidden="1" x14ac:dyDescent="0.25">
      <c r="A3471">
        <v>0</v>
      </c>
      <c r="B3471">
        <v>20000</v>
      </c>
      <c r="C3471">
        <f>1.225 * (1 - 0.00000687559 * B3471) ^ 4.2561</f>
        <v>0.65267221054298263</v>
      </c>
      <c r="D3471">
        <f>E3471*(SQRT($C$2/C3471))</f>
        <v>54.799989443328272</v>
      </c>
      <c r="E3471">
        <v>40</v>
      </c>
      <c r="F3471">
        <v>987</v>
      </c>
      <c r="G3471">
        <v>2500</v>
      </c>
      <c r="H3471">
        <f>CONVERT(G3471,"HP","kW")</f>
        <v>1864.2496789556756</v>
      </c>
      <c r="N3471">
        <f>CONVERT(O3471,"lbf","N")</f>
        <v>0</v>
      </c>
      <c r="P3471" t="e">
        <f t="shared" si="54"/>
        <v>#DIV/0!</v>
      </c>
    </row>
    <row r="3472" spans="1:16" hidden="1" x14ac:dyDescent="0.25">
      <c r="A3472">
        <v>0</v>
      </c>
      <c r="B3472">
        <v>20000</v>
      </c>
      <c r="C3472">
        <f>1.225 * (1 - 0.00000687559 * B3472) ^ 4.2561</f>
        <v>0.65267221054298263</v>
      </c>
      <c r="D3472">
        <f>E3472*(SQRT($C$2/C3472))</f>
        <v>54.799989443328272</v>
      </c>
      <c r="E3472">
        <v>40</v>
      </c>
      <c r="F3472">
        <v>987</v>
      </c>
      <c r="G3472">
        <v>2750</v>
      </c>
      <c r="H3472">
        <f>CONVERT(G3472,"HP","kW")</f>
        <v>2050.6746468512433</v>
      </c>
      <c r="N3472">
        <f>CONVERT(O3472,"lbf","N")</f>
        <v>0</v>
      </c>
      <c r="P3472" t="e">
        <f t="shared" si="54"/>
        <v>#DIV/0!</v>
      </c>
    </row>
    <row r="3473" spans="1:16" hidden="1" x14ac:dyDescent="0.25">
      <c r="A3473">
        <v>0</v>
      </c>
      <c r="B3473">
        <v>20000</v>
      </c>
      <c r="C3473">
        <f>1.225 * (1 - 0.00000687559 * B3473) ^ 4.2561</f>
        <v>0.65267221054298263</v>
      </c>
      <c r="D3473">
        <f>E3473*(SQRT($C$2/C3473))</f>
        <v>82.199984164992401</v>
      </c>
      <c r="E3473">
        <v>60</v>
      </c>
      <c r="F3473">
        <v>987</v>
      </c>
      <c r="G3473">
        <v>2250</v>
      </c>
      <c r="H3473">
        <f>CONVERT(G3473,"HP","kW")</f>
        <v>1677.8247110601083</v>
      </c>
      <c r="N3473">
        <f>CONVERT(O3473,"lbf","N")</f>
        <v>0</v>
      </c>
      <c r="P3473" t="e">
        <f t="shared" si="54"/>
        <v>#DIV/0!</v>
      </c>
    </row>
    <row r="3474" spans="1:16" hidden="1" x14ac:dyDescent="0.25">
      <c r="A3474">
        <v>0</v>
      </c>
      <c r="B3474">
        <v>20000</v>
      </c>
      <c r="C3474">
        <f>1.225 * (1 - 0.00000687559 * B3474) ^ 4.2561</f>
        <v>0.65267221054298263</v>
      </c>
      <c r="D3474">
        <f>E3474*(SQRT($C$2/C3474))</f>
        <v>82.199984164992401</v>
      </c>
      <c r="E3474">
        <v>60</v>
      </c>
      <c r="F3474">
        <v>987</v>
      </c>
      <c r="G3474">
        <v>2500</v>
      </c>
      <c r="H3474">
        <f>CONVERT(G3474,"HP","kW")</f>
        <v>1864.2496789556756</v>
      </c>
      <c r="N3474">
        <f>CONVERT(O3474,"lbf","N")</f>
        <v>0</v>
      </c>
      <c r="P3474" t="e">
        <f t="shared" si="54"/>
        <v>#DIV/0!</v>
      </c>
    </row>
    <row r="3475" spans="1:16" hidden="1" x14ac:dyDescent="0.25">
      <c r="A3475">
        <v>0</v>
      </c>
      <c r="B3475">
        <v>20000</v>
      </c>
      <c r="C3475">
        <f>1.225 * (1 - 0.00000687559 * B3475) ^ 4.2561</f>
        <v>0.65267221054298263</v>
      </c>
      <c r="D3475">
        <f>E3475*(SQRT($C$2/C3475))</f>
        <v>109.59997888665654</v>
      </c>
      <c r="E3475">
        <v>80</v>
      </c>
      <c r="F3475">
        <v>987</v>
      </c>
      <c r="G3475">
        <v>2500</v>
      </c>
      <c r="H3475">
        <f>CONVERT(G3475,"HP","kW")</f>
        <v>1864.2496789556756</v>
      </c>
      <c r="N3475">
        <f>CONVERT(O3475,"lbf","N")</f>
        <v>0</v>
      </c>
      <c r="P3475" t="e">
        <f t="shared" si="54"/>
        <v>#DIV/0!</v>
      </c>
    </row>
    <row r="3476" spans="1:16" hidden="1" x14ac:dyDescent="0.25">
      <c r="A3476">
        <v>0</v>
      </c>
      <c r="B3476">
        <v>20000</v>
      </c>
      <c r="C3476">
        <f>1.225 * (1 - 0.00000687559 * B3476) ^ 4.2561</f>
        <v>0.65267221054298263</v>
      </c>
      <c r="D3476">
        <f>E3476*(SQRT($C$2/C3476))</f>
        <v>109.59997888665654</v>
      </c>
      <c r="E3476">
        <v>80</v>
      </c>
      <c r="F3476">
        <v>987</v>
      </c>
      <c r="G3476">
        <v>2750</v>
      </c>
      <c r="H3476">
        <f>CONVERT(G3476,"HP","kW")</f>
        <v>2050.6746468512433</v>
      </c>
      <c r="N3476">
        <f>CONVERT(O3476,"lbf","N")</f>
        <v>0</v>
      </c>
      <c r="P3476" t="e">
        <f t="shared" si="54"/>
        <v>#DIV/0!</v>
      </c>
    </row>
    <row r="3477" spans="1:16" hidden="1" x14ac:dyDescent="0.25">
      <c r="A3477">
        <v>0</v>
      </c>
      <c r="B3477">
        <v>20000</v>
      </c>
      <c r="C3477">
        <f>1.225 * (1 - 0.00000687559 * B3477) ^ 4.2561</f>
        <v>0.65267221054298263</v>
      </c>
      <c r="D3477">
        <f>E3477*(SQRT($C$2/C3477))</f>
        <v>136.99997360832069</v>
      </c>
      <c r="E3477">
        <v>100</v>
      </c>
      <c r="F3477">
        <v>987</v>
      </c>
      <c r="G3477">
        <v>2750</v>
      </c>
      <c r="H3477">
        <f>CONVERT(G3477,"HP","kW")</f>
        <v>2050.6746468512433</v>
      </c>
      <c r="N3477">
        <f>CONVERT(O3477,"lbf","N")</f>
        <v>0</v>
      </c>
      <c r="P3477" t="e">
        <f t="shared" si="54"/>
        <v>#DIV/0!</v>
      </c>
    </row>
    <row r="3478" spans="1:16" hidden="1" x14ac:dyDescent="0.25">
      <c r="A3478">
        <v>0</v>
      </c>
      <c r="B3478">
        <v>25000</v>
      </c>
      <c r="C3478">
        <f>1.225 * (1 - 0.00000687559 * B3478) ^ 4.2561</f>
        <v>0.54892259437885793</v>
      </c>
      <c r="D3478">
        <f>E3478*(SQRT($C$2/C3478))</f>
        <v>0</v>
      </c>
      <c r="E3478">
        <v>0</v>
      </c>
      <c r="F3478">
        <v>987</v>
      </c>
      <c r="G3478">
        <v>1500</v>
      </c>
      <c r="H3478">
        <f>CONVERT(G3478,"HP","kW")</f>
        <v>1118.5498073734054</v>
      </c>
      <c r="N3478">
        <f>CONVERT(O3478,"lbf","N")</f>
        <v>0</v>
      </c>
      <c r="P3478" t="e">
        <f t="shared" si="54"/>
        <v>#DIV/0!</v>
      </c>
    </row>
    <row r="3479" spans="1:16" hidden="1" x14ac:dyDescent="0.25">
      <c r="A3479">
        <v>0</v>
      </c>
      <c r="B3479">
        <v>25000</v>
      </c>
      <c r="C3479">
        <f>1.225 * (1 - 0.00000687559 * B3479) ^ 4.2561</f>
        <v>0.54892259437885793</v>
      </c>
      <c r="D3479">
        <f>E3479*(SQRT($C$2/C3479))</f>
        <v>0</v>
      </c>
      <c r="E3479">
        <v>0</v>
      </c>
      <c r="F3479">
        <v>987</v>
      </c>
      <c r="G3479">
        <v>2000</v>
      </c>
      <c r="H3479">
        <f>CONVERT(G3479,"HP","kW")</f>
        <v>1491.3997431645405</v>
      </c>
      <c r="N3479">
        <f>CONVERT(O3479,"lbf","N")</f>
        <v>0</v>
      </c>
      <c r="P3479" t="e">
        <f t="shared" si="54"/>
        <v>#DIV/0!</v>
      </c>
    </row>
    <row r="3480" spans="1:16" hidden="1" x14ac:dyDescent="0.25">
      <c r="A3480">
        <v>0</v>
      </c>
      <c r="B3480">
        <v>25000</v>
      </c>
      <c r="C3480">
        <f>1.225 * (1 - 0.00000687559 * B3480) ^ 4.2561</f>
        <v>0.54892259437885793</v>
      </c>
      <c r="D3480">
        <f>E3480*(SQRT($C$2/C3480))</f>
        <v>29.877378321820672</v>
      </c>
      <c r="E3480">
        <v>20</v>
      </c>
      <c r="F3480">
        <v>987</v>
      </c>
      <c r="G3480">
        <v>1750</v>
      </c>
      <c r="H3480">
        <f>CONVERT(G3480,"HP","kW")</f>
        <v>1304.974775268973</v>
      </c>
      <c r="N3480">
        <f>CONVERT(O3480,"lbf","N")</f>
        <v>0</v>
      </c>
      <c r="P3480" t="e">
        <f t="shared" si="54"/>
        <v>#DIV/0!</v>
      </c>
    </row>
    <row r="3481" spans="1:16" hidden="1" x14ac:dyDescent="0.25">
      <c r="A3481">
        <v>0</v>
      </c>
      <c r="B3481">
        <v>25000</v>
      </c>
      <c r="C3481">
        <f>1.225 * (1 - 0.00000687559 * B3481) ^ 4.2561</f>
        <v>0.54892259437885793</v>
      </c>
      <c r="D3481">
        <f>E3481*(SQRT($C$2/C3481))</f>
        <v>29.877378321820672</v>
      </c>
      <c r="E3481">
        <v>20</v>
      </c>
      <c r="F3481">
        <v>987</v>
      </c>
      <c r="G3481">
        <v>2000</v>
      </c>
      <c r="H3481">
        <f>CONVERT(G3481,"HP","kW")</f>
        <v>1491.3997431645405</v>
      </c>
      <c r="N3481">
        <f>CONVERT(O3481,"lbf","N")</f>
        <v>0</v>
      </c>
      <c r="P3481" t="e">
        <f t="shared" si="54"/>
        <v>#DIV/0!</v>
      </c>
    </row>
    <row r="3482" spans="1:16" hidden="1" x14ac:dyDescent="0.25">
      <c r="A3482">
        <v>0</v>
      </c>
      <c r="B3482">
        <v>25000</v>
      </c>
      <c r="C3482">
        <f>1.225 * (1 - 0.00000687559 * B3482) ^ 4.2561</f>
        <v>0.54892259437885793</v>
      </c>
      <c r="D3482">
        <f>E3482*(SQRT($C$2/C3482))</f>
        <v>29.877378321820672</v>
      </c>
      <c r="E3482">
        <v>20</v>
      </c>
      <c r="F3482">
        <v>987</v>
      </c>
      <c r="G3482">
        <v>2250</v>
      </c>
      <c r="H3482">
        <f>CONVERT(G3482,"HP","kW")</f>
        <v>1677.8247110601083</v>
      </c>
      <c r="N3482">
        <f>CONVERT(O3482,"lbf","N")</f>
        <v>0</v>
      </c>
      <c r="P3482" t="e">
        <f t="shared" si="54"/>
        <v>#DIV/0!</v>
      </c>
    </row>
    <row r="3483" spans="1:16" hidden="1" x14ac:dyDescent="0.25">
      <c r="A3483">
        <v>0</v>
      </c>
      <c r="B3483">
        <v>25000</v>
      </c>
      <c r="C3483">
        <f>1.225 * (1 - 0.00000687559 * B3483) ^ 4.2561</f>
        <v>0.54892259437885793</v>
      </c>
      <c r="D3483">
        <f>E3483*(SQRT($C$2/C3483))</f>
        <v>59.754756643641343</v>
      </c>
      <c r="E3483">
        <v>40</v>
      </c>
      <c r="F3483">
        <v>987</v>
      </c>
      <c r="G3483">
        <v>1750</v>
      </c>
      <c r="H3483">
        <f>CONVERT(G3483,"HP","kW")</f>
        <v>1304.974775268973</v>
      </c>
      <c r="N3483">
        <f>CONVERT(O3483,"lbf","N")</f>
        <v>0</v>
      </c>
      <c r="P3483" t="e">
        <f t="shared" si="54"/>
        <v>#DIV/0!</v>
      </c>
    </row>
    <row r="3484" spans="1:16" hidden="1" x14ac:dyDescent="0.25">
      <c r="A3484">
        <v>0</v>
      </c>
      <c r="B3484">
        <v>25000</v>
      </c>
      <c r="C3484">
        <f>1.225 * (1 - 0.00000687559 * B3484) ^ 4.2561</f>
        <v>0.54892259437885793</v>
      </c>
      <c r="D3484">
        <f>E3484*(SQRT($C$2/C3484))</f>
        <v>59.754756643641343</v>
      </c>
      <c r="E3484">
        <v>40</v>
      </c>
      <c r="F3484">
        <v>987</v>
      </c>
      <c r="G3484">
        <v>2000</v>
      </c>
      <c r="H3484">
        <f>CONVERT(G3484,"HP","kW")</f>
        <v>1491.3997431645405</v>
      </c>
      <c r="N3484">
        <f>CONVERT(O3484,"lbf","N")</f>
        <v>0</v>
      </c>
      <c r="P3484" t="e">
        <f t="shared" si="54"/>
        <v>#DIV/0!</v>
      </c>
    </row>
    <row r="3485" spans="1:16" hidden="1" x14ac:dyDescent="0.25">
      <c r="A3485">
        <v>0</v>
      </c>
      <c r="B3485">
        <v>25000</v>
      </c>
      <c r="C3485">
        <f>1.225 * (1 - 0.00000687559 * B3485) ^ 4.2561</f>
        <v>0.54892259437885793</v>
      </c>
      <c r="D3485">
        <f>E3485*(SQRT($C$2/C3485))</f>
        <v>89.632134965462015</v>
      </c>
      <c r="E3485">
        <v>60</v>
      </c>
      <c r="F3485">
        <v>987</v>
      </c>
      <c r="G3485">
        <v>2000</v>
      </c>
      <c r="H3485">
        <f>CONVERT(G3485,"HP","kW")</f>
        <v>1491.3997431645405</v>
      </c>
      <c r="N3485">
        <f>CONVERT(O3485,"lbf","N")</f>
        <v>0</v>
      </c>
      <c r="P3485" t="e">
        <f t="shared" si="54"/>
        <v>#DIV/0!</v>
      </c>
    </row>
    <row r="3486" spans="1:16" hidden="1" x14ac:dyDescent="0.25">
      <c r="A3486">
        <v>0</v>
      </c>
      <c r="B3486">
        <v>25000</v>
      </c>
      <c r="C3486">
        <f>1.225 * (1 - 0.00000687559 * B3486) ^ 4.2561</f>
        <v>0.54892259437885793</v>
      </c>
      <c r="D3486">
        <f>E3486*(SQRT($C$2/C3486))</f>
        <v>89.632134965462015</v>
      </c>
      <c r="E3486">
        <v>60</v>
      </c>
      <c r="F3486">
        <v>987</v>
      </c>
      <c r="G3486">
        <v>2250</v>
      </c>
      <c r="H3486">
        <f>CONVERT(G3486,"HP","kW")</f>
        <v>1677.8247110601083</v>
      </c>
      <c r="N3486">
        <f>CONVERT(O3486,"lbf","N")</f>
        <v>0</v>
      </c>
      <c r="P3486" t="e">
        <f t="shared" si="54"/>
        <v>#DIV/0!</v>
      </c>
    </row>
    <row r="3487" spans="1:16" hidden="1" x14ac:dyDescent="0.25">
      <c r="A3487">
        <v>0</v>
      </c>
      <c r="B3487">
        <v>25000</v>
      </c>
      <c r="C3487">
        <f>1.225 * (1 - 0.00000687559 * B3487) ^ 4.2561</f>
        <v>0.54892259437885793</v>
      </c>
      <c r="D3487">
        <f>E3487*(SQRT($C$2/C3487))</f>
        <v>89.632134965462015</v>
      </c>
      <c r="E3487">
        <v>60</v>
      </c>
      <c r="F3487">
        <v>987</v>
      </c>
      <c r="G3487">
        <v>2750</v>
      </c>
      <c r="H3487">
        <f>CONVERT(G3487,"HP","kW")</f>
        <v>2050.6746468512433</v>
      </c>
      <c r="N3487">
        <f>CONVERT(O3487,"lbf","N")</f>
        <v>0</v>
      </c>
      <c r="P3487" t="e">
        <f t="shared" si="54"/>
        <v>#DIV/0!</v>
      </c>
    </row>
    <row r="3488" spans="1:16" hidden="1" x14ac:dyDescent="0.25">
      <c r="A3488">
        <v>0</v>
      </c>
      <c r="B3488">
        <v>25000</v>
      </c>
      <c r="C3488">
        <f>1.225 * (1 - 0.00000687559 * B3488) ^ 4.2561</f>
        <v>0.54892259437885793</v>
      </c>
      <c r="D3488">
        <f>E3488*(SQRT($C$2/C3488))</f>
        <v>119.50951328728269</v>
      </c>
      <c r="E3488">
        <v>80</v>
      </c>
      <c r="F3488">
        <v>987</v>
      </c>
      <c r="G3488">
        <v>2250</v>
      </c>
      <c r="H3488">
        <f>CONVERT(G3488,"HP","kW")</f>
        <v>1677.8247110601083</v>
      </c>
      <c r="N3488">
        <f>CONVERT(O3488,"lbf","N")</f>
        <v>0</v>
      </c>
      <c r="P3488" t="e">
        <f t="shared" si="54"/>
        <v>#DIV/0!</v>
      </c>
    </row>
    <row r="3489" spans="1:16" hidden="1" x14ac:dyDescent="0.25">
      <c r="A3489">
        <v>0</v>
      </c>
      <c r="B3489">
        <v>25000</v>
      </c>
      <c r="C3489">
        <f>1.225 * (1 - 0.00000687559 * B3489) ^ 4.2561</f>
        <v>0.54892259437885793</v>
      </c>
      <c r="D3489">
        <f>E3489*(SQRT($C$2/C3489))</f>
        <v>119.50951328728269</v>
      </c>
      <c r="E3489">
        <v>80</v>
      </c>
      <c r="F3489">
        <v>987</v>
      </c>
      <c r="G3489">
        <v>2500</v>
      </c>
      <c r="H3489">
        <f>CONVERT(G3489,"HP","kW")</f>
        <v>1864.2496789556756</v>
      </c>
      <c r="N3489">
        <f>CONVERT(O3489,"lbf","N")</f>
        <v>0</v>
      </c>
      <c r="P3489" t="e">
        <f t="shared" si="54"/>
        <v>#DIV/0!</v>
      </c>
    </row>
    <row r="3490" spans="1:16" hidden="1" x14ac:dyDescent="0.25">
      <c r="A3490">
        <v>0</v>
      </c>
      <c r="B3490">
        <v>25000</v>
      </c>
      <c r="C3490">
        <f>1.225 * (1 - 0.00000687559 * B3490) ^ 4.2561</f>
        <v>0.54892259437885793</v>
      </c>
      <c r="D3490">
        <f>E3490*(SQRT($C$2/C3490))</f>
        <v>149.38689160910337</v>
      </c>
      <c r="E3490">
        <v>100</v>
      </c>
      <c r="F3490">
        <v>987</v>
      </c>
      <c r="G3490">
        <v>2500</v>
      </c>
      <c r="H3490">
        <f>CONVERT(G3490,"HP","kW")</f>
        <v>1864.2496789556756</v>
      </c>
      <c r="N3490">
        <f>CONVERT(O3490,"lbf","N")</f>
        <v>0</v>
      </c>
      <c r="P3490" t="e">
        <f t="shared" si="54"/>
        <v>#DIV/0!</v>
      </c>
    </row>
    <row r="3491" spans="1:16" hidden="1" x14ac:dyDescent="0.25">
      <c r="A3491">
        <v>0</v>
      </c>
      <c r="B3491">
        <v>30000</v>
      </c>
      <c r="C3491">
        <f>1.225 * (1 - 0.00000687559 * B3491) ^ 4.2561</f>
        <v>0.45828836225470948</v>
      </c>
      <c r="D3491">
        <f>E3491*(SQRT($C$2/C3491))</f>
        <v>0</v>
      </c>
      <c r="E3491">
        <v>0</v>
      </c>
      <c r="F3491">
        <v>987</v>
      </c>
      <c r="G3491">
        <v>1250</v>
      </c>
      <c r="H3491">
        <f>CONVERT(G3491,"HP","kW")</f>
        <v>932.12483947783778</v>
      </c>
      <c r="N3491">
        <f>CONVERT(O3491,"lbf","N")</f>
        <v>0</v>
      </c>
      <c r="P3491" t="e">
        <f t="shared" si="54"/>
        <v>#DIV/0!</v>
      </c>
    </row>
    <row r="3492" spans="1:16" hidden="1" x14ac:dyDescent="0.25">
      <c r="A3492">
        <v>0</v>
      </c>
      <c r="B3492">
        <v>30000</v>
      </c>
      <c r="C3492">
        <f>1.225 * (1 - 0.00000687559 * B3492) ^ 4.2561</f>
        <v>0.45828836225470948</v>
      </c>
      <c r="D3492">
        <f>E3492*(SQRT($C$2/C3492))</f>
        <v>0</v>
      </c>
      <c r="E3492">
        <v>0</v>
      </c>
      <c r="F3492">
        <v>987</v>
      </c>
      <c r="G3492">
        <v>1750</v>
      </c>
      <c r="H3492">
        <f>CONVERT(G3492,"HP","kW")</f>
        <v>1304.974775268973</v>
      </c>
      <c r="N3492">
        <f>CONVERT(O3492,"lbf","N")</f>
        <v>0</v>
      </c>
      <c r="P3492" t="e">
        <f t="shared" si="54"/>
        <v>#DIV/0!</v>
      </c>
    </row>
    <row r="3493" spans="1:16" hidden="1" x14ac:dyDescent="0.25">
      <c r="A3493">
        <v>0</v>
      </c>
      <c r="B3493">
        <v>30000</v>
      </c>
      <c r="C3493">
        <f>1.225 * (1 - 0.00000687559 * B3493) ^ 4.2561</f>
        <v>0.45828836225470948</v>
      </c>
      <c r="D3493">
        <f>E3493*(SQRT($C$2/C3493))</f>
        <v>32.698559864506464</v>
      </c>
      <c r="E3493">
        <v>20</v>
      </c>
      <c r="F3493">
        <v>987</v>
      </c>
      <c r="G3493">
        <v>2750</v>
      </c>
      <c r="H3493">
        <f>CONVERT(G3493,"HP","kW")</f>
        <v>2050.6746468512433</v>
      </c>
      <c r="N3493">
        <f>CONVERT(O3493,"lbf","N")</f>
        <v>0</v>
      </c>
      <c r="P3493" t="e">
        <f t="shared" si="54"/>
        <v>#DIV/0!</v>
      </c>
    </row>
    <row r="3494" spans="1:16" hidden="1" x14ac:dyDescent="0.25">
      <c r="A3494">
        <v>0</v>
      </c>
      <c r="B3494">
        <v>30000</v>
      </c>
      <c r="C3494">
        <f>1.225 * (1 - 0.00000687559 * B3494) ^ 4.2561</f>
        <v>0.45828836225470948</v>
      </c>
      <c r="D3494">
        <f>E3494*(SQRT($C$2/C3494))</f>
        <v>65.397119729012928</v>
      </c>
      <c r="E3494">
        <v>40</v>
      </c>
      <c r="F3494">
        <v>987</v>
      </c>
      <c r="G3494">
        <v>1500</v>
      </c>
      <c r="H3494">
        <f>CONVERT(G3494,"HP","kW")</f>
        <v>1118.5498073734054</v>
      </c>
      <c r="N3494">
        <f>CONVERT(O3494,"lbf","N")</f>
        <v>0</v>
      </c>
      <c r="P3494" t="e">
        <f t="shared" si="54"/>
        <v>#DIV/0!</v>
      </c>
    </row>
    <row r="3495" spans="1:16" hidden="1" x14ac:dyDescent="0.25">
      <c r="A3495">
        <v>0</v>
      </c>
      <c r="B3495">
        <v>30000</v>
      </c>
      <c r="C3495">
        <f>1.225 * (1 - 0.00000687559 * B3495) ^ 4.2561</f>
        <v>0.45828836225470948</v>
      </c>
      <c r="D3495">
        <f>E3495*(SQRT($C$2/C3495))</f>
        <v>65.397119729012928</v>
      </c>
      <c r="E3495">
        <v>40</v>
      </c>
      <c r="F3495">
        <v>987</v>
      </c>
      <c r="G3495">
        <v>2000</v>
      </c>
      <c r="H3495">
        <f>CONVERT(G3495,"HP","kW")</f>
        <v>1491.3997431645405</v>
      </c>
      <c r="N3495">
        <f>CONVERT(O3495,"lbf","N")</f>
        <v>0</v>
      </c>
      <c r="P3495" t="e">
        <f t="shared" si="54"/>
        <v>#DIV/0!</v>
      </c>
    </row>
    <row r="3496" spans="1:16" hidden="1" x14ac:dyDescent="0.25">
      <c r="A3496">
        <v>0</v>
      </c>
      <c r="B3496">
        <v>30000</v>
      </c>
      <c r="C3496">
        <f>1.225 * (1 - 0.00000687559 * B3496) ^ 4.2561</f>
        <v>0.45828836225470948</v>
      </c>
      <c r="D3496">
        <f>E3496*(SQRT($C$2/C3496))</f>
        <v>65.397119729012928</v>
      </c>
      <c r="E3496">
        <v>40</v>
      </c>
      <c r="F3496">
        <v>987</v>
      </c>
      <c r="G3496">
        <v>2750</v>
      </c>
      <c r="H3496">
        <f>CONVERT(G3496,"HP","kW")</f>
        <v>2050.6746468512433</v>
      </c>
      <c r="N3496">
        <f>CONVERT(O3496,"lbf","N")</f>
        <v>0</v>
      </c>
      <c r="P3496" t="e">
        <f t="shared" si="54"/>
        <v>#DIV/0!</v>
      </c>
    </row>
    <row r="3497" spans="1:16" hidden="1" x14ac:dyDescent="0.25">
      <c r="A3497">
        <v>0</v>
      </c>
      <c r="B3497">
        <v>30000</v>
      </c>
      <c r="C3497">
        <f>1.225 * (1 - 0.00000687559 * B3497) ^ 4.2561</f>
        <v>0.45828836225470948</v>
      </c>
      <c r="D3497">
        <f>E3497*(SQRT($C$2/C3497))</f>
        <v>98.095679593519407</v>
      </c>
      <c r="E3497">
        <v>60</v>
      </c>
      <c r="F3497">
        <v>987</v>
      </c>
      <c r="G3497">
        <v>1750</v>
      </c>
      <c r="H3497">
        <f>CONVERT(G3497,"HP","kW")</f>
        <v>1304.974775268973</v>
      </c>
      <c r="N3497">
        <f>CONVERT(O3497,"lbf","N")</f>
        <v>0</v>
      </c>
      <c r="P3497" t="e">
        <f t="shared" si="54"/>
        <v>#DIV/0!</v>
      </c>
    </row>
    <row r="3498" spans="1:16" hidden="1" x14ac:dyDescent="0.25">
      <c r="A3498">
        <v>0</v>
      </c>
      <c r="B3498">
        <v>30000</v>
      </c>
      <c r="C3498">
        <f>1.225 * (1 - 0.00000687559 * B3498) ^ 4.2561</f>
        <v>0.45828836225470948</v>
      </c>
      <c r="D3498">
        <f>E3498*(SQRT($C$2/C3498))</f>
        <v>98.095679593519407</v>
      </c>
      <c r="E3498">
        <v>60</v>
      </c>
      <c r="F3498">
        <v>987</v>
      </c>
      <c r="G3498">
        <v>2000</v>
      </c>
      <c r="H3498">
        <f>CONVERT(G3498,"HP","kW")</f>
        <v>1491.3997431645405</v>
      </c>
      <c r="N3498">
        <f>CONVERT(O3498,"lbf","N")</f>
        <v>0</v>
      </c>
      <c r="P3498" t="e">
        <f t="shared" si="54"/>
        <v>#DIV/0!</v>
      </c>
    </row>
    <row r="3499" spans="1:16" hidden="1" x14ac:dyDescent="0.25">
      <c r="A3499">
        <v>0</v>
      </c>
      <c r="B3499">
        <v>30000</v>
      </c>
      <c r="C3499">
        <f>1.225 * (1 - 0.00000687559 * B3499) ^ 4.2561</f>
        <v>0.45828836225470948</v>
      </c>
      <c r="D3499">
        <f>E3499*(SQRT($C$2/C3499))</f>
        <v>98.095679593519407</v>
      </c>
      <c r="E3499">
        <v>60</v>
      </c>
      <c r="F3499">
        <v>987</v>
      </c>
      <c r="G3499">
        <v>2750</v>
      </c>
      <c r="H3499">
        <f>CONVERT(G3499,"HP","kW")</f>
        <v>2050.6746468512433</v>
      </c>
      <c r="N3499">
        <f>CONVERT(O3499,"lbf","N")</f>
        <v>0</v>
      </c>
      <c r="P3499" t="e">
        <f t="shared" si="54"/>
        <v>#DIV/0!</v>
      </c>
    </row>
    <row r="3500" spans="1:16" hidden="1" x14ac:dyDescent="0.25">
      <c r="A3500">
        <v>0</v>
      </c>
      <c r="B3500">
        <v>30000</v>
      </c>
      <c r="C3500">
        <f>1.225 * (1 - 0.00000687559 * B3500) ^ 4.2561</f>
        <v>0.45828836225470948</v>
      </c>
      <c r="D3500">
        <f>E3500*(SQRT($C$2/C3500))</f>
        <v>130.79423945802586</v>
      </c>
      <c r="E3500">
        <v>80</v>
      </c>
      <c r="F3500">
        <v>987</v>
      </c>
      <c r="G3500">
        <v>2000</v>
      </c>
      <c r="H3500">
        <f>CONVERT(G3500,"HP","kW")</f>
        <v>1491.3997431645405</v>
      </c>
      <c r="N3500">
        <f>CONVERT(O3500,"lbf","N")</f>
        <v>0</v>
      </c>
      <c r="P3500" t="e">
        <f t="shared" si="54"/>
        <v>#DIV/0!</v>
      </c>
    </row>
    <row r="3501" spans="1:16" hidden="1" x14ac:dyDescent="0.25">
      <c r="A3501">
        <v>0</v>
      </c>
      <c r="B3501">
        <v>30000</v>
      </c>
      <c r="C3501">
        <f>1.225 * (1 - 0.00000687559 * B3501) ^ 4.2561</f>
        <v>0.45828836225470948</v>
      </c>
      <c r="D3501">
        <f>E3501*(SQRT($C$2/C3501))</f>
        <v>130.79423945802586</v>
      </c>
      <c r="E3501">
        <v>80</v>
      </c>
      <c r="F3501">
        <v>987</v>
      </c>
      <c r="G3501">
        <v>2250</v>
      </c>
      <c r="H3501">
        <f>CONVERT(G3501,"HP","kW")</f>
        <v>1677.8247110601083</v>
      </c>
      <c r="N3501">
        <f>CONVERT(O3501,"lbf","N")</f>
        <v>0</v>
      </c>
      <c r="P3501" t="e">
        <f t="shared" si="54"/>
        <v>#DIV/0!</v>
      </c>
    </row>
    <row r="3502" spans="1:16" hidden="1" x14ac:dyDescent="0.25">
      <c r="A3502">
        <v>0</v>
      </c>
      <c r="B3502">
        <v>30000</v>
      </c>
      <c r="C3502">
        <f>1.225 * (1 - 0.00000687559 * B3502) ^ 4.2561</f>
        <v>0.45828836225470948</v>
      </c>
      <c r="D3502">
        <f>E3502*(SQRT($C$2/C3502))</f>
        <v>130.79423945802586</v>
      </c>
      <c r="E3502">
        <v>80</v>
      </c>
      <c r="F3502">
        <v>987</v>
      </c>
      <c r="G3502">
        <v>2500</v>
      </c>
      <c r="H3502">
        <f>CONVERT(G3502,"HP","kW")</f>
        <v>1864.2496789556756</v>
      </c>
      <c r="N3502">
        <f>CONVERT(O3502,"lbf","N")</f>
        <v>0</v>
      </c>
      <c r="P3502" t="e">
        <f t="shared" si="54"/>
        <v>#DIV/0!</v>
      </c>
    </row>
    <row r="3503" spans="1:16" hidden="1" x14ac:dyDescent="0.25">
      <c r="A3503">
        <v>0</v>
      </c>
      <c r="B3503">
        <v>30000</v>
      </c>
      <c r="C3503">
        <f>1.225 * (1 - 0.00000687559 * B3503) ^ 4.2561</f>
        <v>0.45828836225470948</v>
      </c>
      <c r="D3503">
        <f>E3503*(SQRT($C$2/C3503))</f>
        <v>130.79423945802586</v>
      </c>
      <c r="E3503">
        <v>80</v>
      </c>
      <c r="F3503">
        <v>987</v>
      </c>
      <c r="G3503">
        <v>2750</v>
      </c>
      <c r="H3503">
        <f>CONVERT(G3503,"HP","kW")</f>
        <v>2050.6746468512433</v>
      </c>
      <c r="N3503">
        <f>CONVERT(O3503,"lbf","N")</f>
        <v>0</v>
      </c>
      <c r="P3503" t="e">
        <f t="shared" si="54"/>
        <v>#DIV/0!</v>
      </c>
    </row>
    <row r="3504" spans="1:16" hidden="1" x14ac:dyDescent="0.25">
      <c r="A3504">
        <v>0</v>
      </c>
      <c r="B3504">
        <v>30000</v>
      </c>
      <c r="C3504">
        <f>1.225 * (1 - 0.00000687559 * B3504) ^ 4.2561</f>
        <v>0.45828836225470948</v>
      </c>
      <c r="D3504">
        <f>E3504*(SQRT($C$2/C3504))</f>
        <v>163.49279932253233</v>
      </c>
      <c r="E3504">
        <v>100</v>
      </c>
      <c r="F3504">
        <v>987</v>
      </c>
      <c r="G3504">
        <v>2500</v>
      </c>
      <c r="H3504">
        <f>CONVERT(G3504,"HP","kW")</f>
        <v>1864.2496789556756</v>
      </c>
      <c r="N3504">
        <f>CONVERT(O3504,"lbf","N")</f>
        <v>0</v>
      </c>
      <c r="P3504" t="e">
        <f t="shared" si="54"/>
        <v>#DIV/0!</v>
      </c>
    </row>
    <row r="3505" spans="1:16" hidden="1" x14ac:dyDescent="0.25">
      <c r="A3505">
        <v>0</v>
      </c>
      <c r="B3505">
        <v>30000</v>
      </c>
      <c r="C3505">
        <f>1.225 * (1 - 0.00000687559 * B3505) ^ 4.2561</f>
        <v>0.45828836225470948</v>
      </c>
      <c r="D3505">
        <f>E3505*(SQRT($C$2/C3505))</f>
        <v>163.49279932253233</v>
      </c>
      <c r="E3505">
        <v>100</v>
      </c>
      <c r="F3505">
        <v>987</v>
      </c>
      <c r="G3505">
        <v>2750</v>
      </c>
      <c r="H3505">
        <f>CONVERT(G3505,"HP","kW")</f>
        <v>2050.6746468512433</v>
      </c>
      <c r="N3505">
        <f>CONVERT(O3505,"lbf","N")</f>
        <v>0</v>
      </c>
      <c r="P3505" t="e">
        <f t="shared" si="54"/>
        <v>#DIV/0!</v>
      </c>
    </row>
    <row r="3506" spans="1:16" hidden="1" x14ac:dyDescent="0.25">
      <c r="A3506">
        <v>0</v>
      </c>
      <c r="B3506">
        <v>30000</v>
      </c>
      <c r="C3506">
        <f>1.225 * (1 - 0.00000687559 * B3506) ^ 4.2561</f>
        <v>0.45828836225470948</v>
      </c>
      <c r="D3506">
        <f>E3506*(SQRT($C$2/C3506))</f>
        <v>196.19135918703881</v>
      </c>
      <c r="E3506">
        <v>120</v>
      </c>
      <c r="F3506">
        <v>987</v>
      </c>
      <c r="G3506">
        <v>2750</v>
      </c>
      <c r="H3506">
        <f>CONVERT(G3506,"HP","kW")</f>
        <v>2050.6746468512433</v>
      </c>
      <c r="N3506">
        <f>CONVERT(O3506,"lbf","N")</f>
        <v>0</v>
      </c>
      <c r="P3506" t="e">
        <f t="shared" si="54"/>
        <v>#DIV/0!</v>
      </c>
    </row>
    <row r="3507" spans="1:16" hidden="1" x14ac:dyDescent="0.25">
      <c r="A3507">
        <v>0</v>
      </c>
      <c r="B3507">
        <v>0</v>
      </c>
      <c r="C3507">
        <f>1.225 * (1 - 0.00000687559 * B3507) ^ 4.2561</f>
        <v>1.2250000000000001</v>
      </c>
      <c r="D3507">
        <f>E3507*(SQRT($C$2/C3507))</f>
        <v>80</v>
      </c>
      <c r="E3507">
        <v>80</v>
      </c>
      <c r="F3507">
        <v>1150</v>
      </c>
      <c r="G3507">
        <v>200</v>
      </c>
      <c r="H3507">
        <f>CONVERT(G3507,"HP","kW")</f>
        <v>149.13997431645407</v>
      </c>
      <c r="N3507">
        <f>CONVERT(O3507,"lbf","N")</f>
        <v>0</v>
      </c>
      <c r="P3507" t="e">
        <f t="shared" si="54"/>
        <v>#DIV/0!</v>
      </c>
    </row>
    <row r="3508" spans="1:16" hidden="1" x14ac:dyDescent="0.25">
      <c r="A3508">
        <v>0</v>
      </c>
      <c r="B3508">
        <v>10000</v>
      </c>
      <c r="C3508">
        <f>1.225 * (1 - 0.00000687559 * B3508) ^ 4.2561</f>
        <v>0.90462252368600637</v>
      </c>
      <c r="D3508">
        <f>E3508*(SQRT($C$2/C3508))</f>
        <v>46.547283141308135</v>
      </c>
      <c r="E3508">
        <v>40</v>
      </c>
      <c r="F3508">
        <v>1150</v>
      </c>
      <c r="G3508">
        <v>200</v>
      </c>
      <c r="H3508">
        <f>CONVERT(G3508,"HP","kW")</f>
        <v>149.13997431645407</v>
      </c>
      <c r="N3508">
        <f>CONVERT(O3508,"lbf","N")</f>
        <v>0</v>
      </c>
      <c r="P3508" t="e">
        <f t="shared" si="54"/>
        <v>#DIV/0!</v>
      </c>
    </row>
    <row r="3509" spans="1:16" hidden="1" x14ac:dyDescent="0.25">
      <c r="A3509">
        <v>0</v>
      </c>
      <c r="B3509">
        <v>25000</v>
      </c>
      <c r="C3509">
        <f>1.225 * (1 - 0.00000687559 * B3509) ^ 4.2561</f>
        <v>0.54892259437885793</v>
      </c>
      <c r="D3509">
        <f>E3509*(SQRT($C$2/C3509))</f>
        <v>0</v>
      </c>
      <c r="E3509">
        <v>0</v>
      </c>
      <c r="F3509">
        <v>1150</v>
      </c>
      <c r="G3509">
        <v>2750</v>
      </c>
      <c r="H3509">
        <f>CONVERT(G3509,"HP","kW")</f>
        <v>2050.6746468512433</v>
      </c>
      <c r="N3509">
        <f>CONVERT(O3509,"lbf","N")</f>
        <v>0</v>
      </c>
      <c r="P3509" t="e">
        <f t="shared" si="54"/>
        <v>#DIV/0!</v>
      </c>
    </row>
    <row r="3510" spans="1:16" hidden="1" x14ac:dyDescent="0.25">
      <c r="A3510">
        <v>0</v>
      </c>
      <c r="B3510">
        <v>30000</v>
      </c>
      <c r="C3510">
        <f>1.225 * (1 - 0.00000687559 * B3510) ^ 4.2561</f>
        <v>0.45828836225470948</v>
      </c>
      <c r="D3510">
        <f>E3510*(SQRT($C$2/C3510))</f>
        <v>0</v>
      </c>
      <c r="E3510">
        <v>0</v>
      </c>
      <c r="F3510">
        <v>1150</v>
      </c>
      <c r="G3510">
        <v>2500</v>
      </c>
      <c r="H3510">
        <f>CONVERT(G3510,"HP","kW")</f>
        <v>1864.2496789556756</v>
      </c>
      <c r="N3510">
        <f>CONVERT(O3510,"lbf","N")</f>
        <v>0</v>
      </c>
      <c r="P3510" t="e">
        <f t="shared" si="54"/>
        <v>#DIV/0!</v>
      </c>
    </row>
    <row r="3511" spans="1:16" hidden="1" x14ac:dyDescent="0.25">
      <c r="A3511">
        <v>0</v>
      </c>
      <c r="B3511">
        <v>30000</v>
      </c>
      <c r="C3511">
        <f>1.225 * (1 - 0.00000687559 * B3511) ^ 4.2561</f>
        <v>0.45828836225470948</v>
      </c>
      <c r="D3511">
        <f>E3511*(SQRT($C$2/C3511))</f>
        <v>32.698559864506464</v>
      </c>
      <c r="E3511">
        <v>20</v>
      </c>
      <c r="F3511">
        <v>1150</v>
      </c>
      <c r="G3511">
        <v>2750</v>
      </c>
      <c r="H3511">
        <f>CONVERT(G3511,"HP","kW")</f>
        <v>2050.6746468512433</v>
      </c>
      <c r="N3511">
        <f>CONVERT(O3511,"lbf","N")</f>
        <v>0</v>
      </c>
      <c r="P3511" t="e">
        <f t="shared" si="54"/>
        <v>#DIV/0!</v>
      </c>
    </row>
    <row r="3512" spans="1:16" hidden="1" x14ac:dyDescent="0.25">
      <c r="A3512">
        <v>0</v>
      </c>
      <c r="B3512">
        <v>0</v>
      </c>
      <c r="C3512">
        <f>1.225 * (1 - 0.00000687559 * B3512) ^ 4.2561</f>
        <v>1.2250000000000001</v>
      </c>
      <c r="D3512">
        <f>E3512*(SQRT($C$2/C3512))</f>
        <v>80</v>
      </c>
      <c r="E3512">
        <v>80</v>
      </c>
      <c r="F3512">
        <v>1215</v>
      </c>
      <c r="G3512">
        <v>200</v>
      </c>
      <c r="H3512">
        <f>CONVERT(G3512,"HP","kW")</f>
        <v>149.13997431645407</v>
      </c>
      <c r="N3512">
        <f>CONVERT(O3512,"lbf","N")</f>
        <v>0</v>
      </c>
      <c r="P3512" t="e">
        <f t="shared" si="54"/>
        <v>#DIV/0!</v>
      </c>
    </row>
    <row r="3513" spans="1:16" hidden="1" x14ac:dyDescent="0.25">
      <c r="A3513">
        <v>0</v>
      </c>
      <c r="B3513">
        <v>0</v>
      </c>
      <c r="C3513">
        <f>1.225 * (1 - 0.00000687559 * B3513) ^ 4.2561</f>
        <v>1.2250000000000001</v>
      </c>
      <c r="D3513">
        <f>E3513*(SQRT($C$2/C3513))</f>
        <v>80</v>
      </c>
      <c r="E3513">
        <v>80</v>
      </c>
      <c r="F3513">
        <v>1215</v>
      </c>
      <c r="G3513">
        <v>250</v>
      </c>
      <c r="H3513">
        <f>CONVERT(G3513,"HP","kW")</f>
        <v>186.42496789556756</v>
      </c>
      <c r="N3513">
        <f>CONVERT(O3513,"lbf","N")</f>
        <v>0</v>
      </c>
      <c r="P3513" t="e">
        <f t="shared" si="54"/>
        <v>#DIV/0!</v>
      </c>
    </row>
    <row r="3514" spans="1:16" hidden="1" x14ac:dyDescent="0.25">
      <c r="A3514">
        <v>0</v>
      </c>
      <c r="B3514">
        <v>0</v>
      </c>
      <c r="C3514">
        <f>1.225 * (1 - 0.00000687559 * B3514) ^ 4.2561</f>
        <v>1.2250000000000001</v>
      </c>
      <c r="D3514">
        <f>E3514*(SQRT($C$2/C3514))</f>
        <v>100</v>
      </c>
      <c r="E3514">
        <v>100</v>
      </c>
      <c r="F3514">
        <v>1215</v>
      </c>
      <c r="G3514">
        <v>200</v>
      </c>
      <c r="H3514">
        <f>CONVERT(G3514,"HP","kW")</f>
        <v>149.13997431645407</v>
      </c>
      <c r="N3514">
        <f>CONVERT(O3514,"lbf","N")</f>
        <v>0</v>
      </c>
      <c r="P3514" t="e">
        <f t="shared" si="54"/>
        <v>#DIV/0!</v>
      </c>
    </row>
    <row r="3515" spans="1:16" hidden="1" x14ac:dyDescent="0.25">
      <c r="A3515">
        <v>0</v>
      </c>
      <c r="B3515">
        <v>5000</v>
      </c>
      <c r="C3515">
        <f>1.225 * (1 - 0.00000687559 * B3515) ^ 4.2561</f>
        <v>1.0555380742846066</v>
      </c>
      <c r="D3515">
        <f>E3515*(SQRT($C$2/C3515))</f>
        <v>86.1828952243647</v>
      </c>
      <c r="E3515">
        <v>80</v>
      </c>
      <c r="F3515">
        <v>1215</v>
      </c>
      <c r="G3515">
        <v>200</v>
      </c>
      <c r="H3515">
        <f>CONVERT(G3515,"HP","kW")</f>
        <v>149.13997431645407</v>
      </c>
      <c r="N3515">
        <f>CONVERT(O3515,"lbf","N")</f>
        <v>0</v>
      </c>
      <c r="P3515" t="e">
        <f t="shared" si="54"/>
        <v>#DIV/0!</v>
      </c>
    </row>
    <row r="3516" spans="1:16" hidden="1" x14ac:dyDescent="0.25">
      <c r="A3516">
        <v>0</v>
      </c>
      <c r="B3516">
        <v>5000</v>
      </c>
      <c r="C3516">
        <f>1.225 * (1 - 0.00000687559 * B3516) ^ 4.2561</f>
        <v>1.0555380742846066</v>
      </c>
      <c r="D3516">
        <f>E3516*(SQRT($C$2/C3516))</f>
        <v>86.1828952243647</v>
      </c>
      <c r="E3516">
        <v>80</v>
      </c>
      <c r="F3516">
        <v>1215</v>
      </c>
      <c r="G3516">
        <v>250</v>
      </c>
      <c r="H3516">
        <f>CONVERT(G3516,"HP","kW")</f>
        <v>186.42496789556756</v>
      </c>
      <c r="N3516">
        <f>CONVERT(O3516,"lbf","N")</f>
        <v>0</v>
      </c>
      <c r="P3516" t="e">
        <f t="shared" si="54"/>
        <v>#DIV/0!</v>
      </c>
    </row>
    <row r="3517" spans="1:16" hidden="1" x14ac:dyDescent="0.25">
      <c r="A3517">
        <v>0</v>
      </c>
      <c r="B3517">
        <v>10000</v>
      </c>
      <c r="C3517">
        <f>1.225 * (1 - 0.00000687559 * B3517) ^ 4.2561</f>
        <v>0.90462252368600637</v>
      </c>
      <c r="D3517">
        <f>E3517*(SQRT($C$2/C3517))</f>
        <v>0</v>
      </c>
      <c r="E3517">
        <v>0</v>
      </c>
      <c r="F3517">
        <v>1215</v>
      </c>
      <c r="G3517">
        <v>200</v>
      </c>
      <c r="H3517">
        <f>CONVERT(G3517,"HP","kW")</f>
        <v>149.13997431645407</v>
      </c>
      <c r="N3517">
        <f>CONVERT(O3517,"lbf","N")</f>
        <v>0</v>
      </c>
      <c r="P3517" t="e">
        <f t="shared" si="54"/>
        <v>#DIV/0!</v>
      </c>
    </row>
    <row r="3518" spans="1:16" hidden="1" x14ac:dyDescent="0.25">
      <c r="A3518">
        <v>0</v>
      </c>
      <c r="B3518">
        <v>10000</v>
      </c>
      <c r="C3518">
        <f>1.225 * (1 - 0.00000687559 * B3518) ^ 4.2561</f>
        <v>0.90462252368600637</v>
      </c>
      <c r="D3518">
        <f>E3518*(SQRT($C$2/C3518))</f>
        <v>0</v>
      </c>
      <c r="E3518">
        <v>0</v>
      </c>
      <c r="F3518">
        <v>1215</v>
      </c>
      <c r="G3518">
        <v>250</v>
      </c>
      <c r="H3518">
        <f>CONVERT(G3518,"HP","kW")</f>
        <v>186.42496789556756</v>
      </c>
      <c r="N3518">
        <f>CONVERT(O3518,"lbf","N")</f>
        <v>0</v>
      </c>
      <c r="P3518" t="e">
        <f t="shared" si="54"/>
        <v>#DIV/0!</v>
      </c>
    </row>
    <row r="3519" spans="1:16" hidden="1" x14ac:dyDescent="0.25">
      <c r="A3519">
        <v>0</v>
      </c>
      <c r="B3519">
        <v>10000</v>
      </c>
      <c r="C3519">
        <f>1.225 * (1 - 0.00000687559 * B3519) ^ 4.2561</f>
        <v>0.90462252368600637</v>
      </c>
      <c r="D3519">
        <f>E3519*(SQRT($C$2/C3519))</f>
        <v>23.273641570654068</v>
      </c>
      <c r="E3519">
        <v>20</v>
      </c>
      <c r="F3519">
        <v>1215</v>
      </c>
      <c r="G3519">
        <v>200</v>
      </c>
      <c r="H3519">
        <f>CONVERT(G3519,"HP","kW")</f>
        <v>149.13997431645407</v>
      </c>
      <c r="N3519">
        <f>CONVERT(O3519,"lbf","N")</f>
        <v>0</v>
      </c>
      <c r="P3519" t="e">
        <f t="shared" si="54"/>
        <v>#DIV/0!</v>
      </c>
    </row>
    <row r="3520" spans="1:16" hidden="1" x14ac:dyDescent="0.25">
      <c r="A3520">
        <v>0</v>
      </c>
      <c r="B3520">
        <v>10000</v>
      </c>
      <c r="C3520">
        <f>1.225 * (1 - 0.00000687559 * B3520) ^ 4.2561</f>
        <v>0.90462252368600637</v>
      </c>
      <c r="D3520">
        <f>E3520*(SQRT($C$2/C3520))</f>
        <v>23.273641570654068</v>
      </c>
      <c r="E3520">
        <v>20</v>
      </c>
      <c r="F3520">
        <v>1215</v>
      </c>
      <c r="G3520">
        <v>250</v>
      </c>
      <c r="H3520">
        <f>CONVERT(G3520,"HP","kW")</f>
        <v>186.42496789556756</v>
      </c>
      <c r="N3520">
        <f>CONVERT(O3520,"lbf","N")</f>
        <v>0</v>
      </c>
      <c r="P3520" t="e">
        <f t="shared" si="54"/>
        <v>#DIV/0!</v>
      </c>
    </row>
    <row r="3521" spans="1:16" hidden="1" x14ac:dyDescent="0.25">
      <c r="A3521">
        <v>0</v>
      </c>
      <c r="B3521">
        <v>10000</v>
      </c>
      <c r="C3521">
        <f>1.225 * (1 - 0.00000687559 * B3521) ^ 4.2561</f>
        <v>0.90462252368600637</v>
      </c>
      <c r="D3521">
        <f>E3521*(SQRT($C$2/C3521))</f>
        <v>46.547283141308135</v>
      </c>
      <c r="E3521">
        <v>40</v>
      </c>
      <c r="F3521">
        <v>1215</v>
      </c>
      <c r="G3521">
        <v>200</v>
      </c>
      <c r="H3521">
        <f>CONVERT(G3521,"HP","kW")</f>
        <v>149.13997431645407</v>
      </c>
      <c r="N3521">
        <f>CONVERT(O3521,"lbf","N")</f>
        <v>0</v>
      </c>
      <c r="P3521" t="e">
        <f t="shared" si="54"/>
        <v>#DIV/0!</v>
      </c>
    </row>
    <row r="3522" spans="1:16" hidden="1" x14ac:dyDescent="0.25">
      <c r="A3522">
        <v>0</v>
      </c>
      <c r="B3522">
        <v>10000</v>
      </c>
      <c r="C3522">
        <f>1.225 * (1 - 0.00000687559 * B3522) ^ 4.2561</f>
        <v>0.90462252368600637</v>
      </c>
      <c r="D3522">
        <f>E3522*(SQRT($C$2/C3522))</f>
        <v>46.547283141308135</v>
      </c>
      <c r="E3522">
        <v>40</v>
      </c>
      <c r="F3522">
        <v>1215</v>
      </c>
      <c r="G3522">
        <v>250</v>
      </c>
      <c r="H3522">
        <f>CONVERT(G3522,"HP","kW")</f>
        <v>186.42496789556756</v>
      </c>
      <c r="N3522">
        <f>CONVERT(O3522,"lbf","N")</f>
        <v>0</v>
      </c>
      <c r="P3522" t="e">
        <f t="shared" si="54"/>
        <v>#DIV/0!</v>
      </c>
    </row>
    <row r="3523" spans="1:16" hidden="1" x14ac:dyDescent="0.25">
      <c r="A3523">
        <v>0</v>
      </c>
      <c r="B3523">
        <v>10000</v>
      </c>
      <c r="C3523">
        <f>1.225 * (1 - 0.00000687559 * B3523) ^ 4.2561</f>
        <v>0.90462252368600637</v>
      </c>
      <c r="D3523">
        <f>E3523*(SQRT($C$2/C3523))</f>
        <v>69.820924711962206</v>
      </c>
      <c r="E3523">
        <v>60</v>
      </c>
      <c r="F3523">
        <v>1215</v>
      </c>
      <c r="G3523">
        <v>200</v>
      </c>
      <c r="H3523">
        <f>CONVERT(G3523,"HP","kW")</f>
        <v>149.13997431645407</v>
      </c>
      <c r="N3523">
        <f>CONVERT(O3523,"lbf","N")</f>
        <v>0</v>
      </c>
      <c r="P3523" t="e">
        <f t="shared" ref="P3523:P3529" si="55">M3523/L3523</f>
        <v>#DIV/0!</v>
      </c>
    </row>
    <row r="3524" spans="1:16" hidden="1" x14ac:dyDescent="0.25">
      <c r="A3524">
        <v>0</v>
      </c>
      <c r="B3524">
        <v>10000</v>
      </c>
      <c r="C3524">
        <f>1.225 * (1 - 0.00000687559 * B3524) ^ 4.2561</f>
        <v>0.90462252368600637</v>
      </c>
      <c r="D3524">
        <f>E3524*(SQRT($C$2/C3524))</f>
        <v>69.820924711962206</v>
      </c>
      <c r="E3524">
        <v>60</v>
      </c>
      <c r="F3524">
        <v>1215</v>
      </c>
      <c r="G3524">
        <v>250</v>
      </c>
      <c r="H3524">
        <f>CONVERT(G3524,"HP","kW")</f>
        <v>186.42496789556756</v>
      </c>
      <c r="N3524">
        <f>CONVERT(O3524,"lbf","N")</f>
        <v>0</v>
      </c>
      <c r="P3524" t="e">
        <f t="shared" si="55"/>
        <v>#DIV/0!</v>
      </c>
    </row>
    <row r="3525" spans="1:16" hidden="1" x14ac:dyDescent="0.25">
      <c r="A3525">
        <v>0</v>
      </c>
      <c r="B3525">
        <v>10000</v>
      </c>
      <c r="C3525">
        <f>1.225 * (1 - 0.00000687559 * B3525) ^ 4.2561</f>
        <v>0.90462252368600637</v>
      </c>
      <c r="D3525">
        <f>E3525*(SQRT($C$2/C3525))</f>
        <v>93.09456628261627</v>
      </c>
      <c r="E3525">
        <v>80</v>
      </c>
      <c r="F3525">
        <v>1215</v>
      </c>
      <c r="G3525">
        <v>200</v>
      </c>
      <c r="H3525">
        <f>CONVERT(G3525,"HP","kW")</f>
        <v>149.13997431645407</v>
      </c>
      <c r="N3525">
        <f>CONVERT(O3525,"lbf","N")</f>
        <v>0</v>
      </c>
      <c r="P3525" t="e">
        <f t="shared" si="55"/>
        <v>#DIV/0!</v>
      </c>
    </row>
    <row r="3526" spans="1:16" hidden="1" x14ac:dyDescent="0.25">
      <c r="A3526">
        <v>0</v>
      </c>
      <c r="B3526">
        <v>15000</v>
      </c>
      <c r="C3526">
        <f>1.225 * (1 - 0.00000687559 * B3526) ^ 4.2561</f>
        <v>0.77079726910167001</v>
      </c>
      <c r="D3526">
        <f>E3526*(SQRT($C$2/C3526))</f>
        <v>0</v>
      </c>
      <c r="E3526">
        <v>0</v>
      </c>
      <c r="F3526">
        <v>1215</v>
      </c>
      <c r="G3526">
        <v>200</v>
      </c>
      <c r="H3526">
        <f>CONVERT(G3526,"HP","kW")</f>
        <v>149.13997431645407</v>
      </c>
      <c r="N3526">
        <f>CONVERT(O3526,"lbf","N")</f>
        <v>0</v>
      </c>
      <c r="P3526" t="e">
        <f t="shared" si="55"/>
        <v>#DIV/0!</v>
      </c>
    </row>
    <row r="3527" spans="1:16" hidden="1" x14ac:dyDescent="0.25">
      <c r="A3527">
        <v>0</v>
      </c>
      <c r="B3527">
        <v>15000</v>
      </c>
      <c r="C3527">
        <f>1.225 * (1 - 0.00000687559 * B3527) ^ 4.2561</f>
        <v>0.77079726910167001</v>
      </c>
      <c r="D3527">
        <f>E3527*(SQRT($C$2/C3527))</f>
        <v>25.213199277533057</v>
      </c>
      <c r="E3527">
        <v>20</v>
      </c>
      <c r="F3527">
        <v>1215</v>
      </c>
      <c r="G3527">
        <v>200</v>
      </c>
      <c r="H3527">
        <f>CONVERT(G3527,"HP","kW")</f>
        <v>149.13997431645407</v>
      </c>
      <c r="N3527">
        <f>CONVERT(O3527,"lbf","N")</f>
        <v>0</v>
      </c>
      <c r="P3527" t="e">
        <f t="shared" si="55"/>
        <v>#DIV/0!</v>
      </c>
    </row>
    <row r="3528" spans="1:16" hidden="1" x14ac:dyDescent="0.25">
      <c r="A3528">
        <v>0</v>
      </c>
      <c r="B3528">
        <v>15000</v>
      </c>
      <c r="C3528">
        <f>1.225 * (1 - 0.00000687559 * B3528) ^ 4.2561</f>
        <v>0.77079726910167001</v>
      </c>
      <c r="D3528">
        <f>E3528*(SQRT($C$2/C3528))</f>
        <v>50.426398555066115</v>
      </c>
      <c r="E3528">
        <v>40</v>
      </c>
      <c r="F3528">
        <v>1215</v>
      </c>
      <c r="G3528">
        <v>200</v>
      </c>
      <c r="H3528">
        <f>CONVERT(G3528,"HP","kW")</f>
        <v>149.13997431645407</v>
      </c>
      <c r="N3528">
        <f>CONVERT(O3528,"lbf","N")</f>
        <v>0</v>
      </c>
      <c r="P3528" t="e">
        <f t="shared" si="55"/>
        <v>#DIV/0!</v>
      </c>
    </row>
    <row r="3529" spans="1:16" hidden="1" x14ac:dyDescent="0.25">
      <c r="A3529">
        <v>0</v>
      </c>
      <c r="B3529">
        <v>15000</v>
      </c>
      <c r="C3529">
        <f>1.225 * (1 - 0.00000687559 * B3529) ^ 4.2561</f>
        <v>0.77079726910167001</v>
      </c>
      <c r="D3529">
        <f>E3529*(SQRT($C$2/C3529))</f>
        <v>75.639597832599179</v>
      </c>
      <c r="E3529">
        <v>60</v>
      </c>
      <c r="F3529">
        <v>1215</v>
      </c>
      <c r="G3529">
        <v>200</v>
      </c>
      <c r="H3529">
        <f>CONVERT(G3529,"HP","kW")</f>
        <v>149.13997431645407</v>
      </c>
      <c r="N3529">
        <f>CONVERT(O3529,"lbf","N")</f>
        <v>0</v>
      </c>
      <c r="P3529" t="e">
        <f t="shared" si="55"/>
        <v>#DIV/0!</v>
      </c>
    </row>
  </sheetData>
  <autoFilter ref="A1:O3529" xr:uid="{00000000-0001-0000-0000-000000000000}">
    <filterColumn colId="7">
      <filters>
        <filter val="745.6998716"/>
        <filter val="932.1248395"/>
      </filters>
    </filterColumn>
    <filterColumn colId="9">
      <filters>
        <filter val="1.8368"/>
        <filter val="1.9934"/>
        <filter val="2.0205"/>
        <filter val="2.0238"/>
      </filters>
    </filterColumn>
    <filterColumn colId="11">
      <filters>
        <filter val="0.2365"/>
        <filter val="0.237"/>
        <filter val="0.2467"/>
      </filters>
    </filterColumn>
    <sortState xmlns:xlrd2="http://schemas.microsoft.com/office/spreadsheetml/2017/richdata2" ref="A2:O3529">
      <sortCondition ref="L1:L3529"/>
    </sortState>
  </autoFilter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F936-BBEC-4C93-A9E6-8844042991FF}">
  <dimension ref="A1:B16"/>
  <sheetViews>
    <sheetView workbookViewId="0">
      <selection activeCell="A9" sqref="A9:B10"/>
    </sheetView>
  </sheetViews>
  <sheetFormatPr defaultRowHeight="15" x14ac:dyDescent="0.25"/>
  <sheetData>
    <row r="1" spans="1:2" x14ac:dyDescent="0.25">
      <c r="A1" t="s">
        <v>4</v>
      </c>
      <c r="B1" t="s">
        <v>3</v>
      </c>
    </row>
    <row r="2" spans="1:2" x14ac:dyDescent="0.25">
      <c r="A2">
        <v>0</v>
      </c>
      <c r="B2">
        <v>987</v>
      </c>
    </row>
    <row r="3" spans="1:2" x14ac:dyDescent="0.25">
      <c r="A3">
        <v>100</v>
      </c>
      <c r="B3">
        <v>987</v>
      </c>
    </row>
    <row r="4" spans="1:2" x14ac:dyDescent="0.25">
      <c r="A4">
        <v>200</v>
      </c>
      <c r="B4">
        <v>987</v>
      </c>
    </row>
    <row r="5" spans="1:2" x14ac:dyDescent="0.25">
      <c r="A5">
        <v>300</v>
      </c>
      <c r="B5">
        <v>987</v>
      </c>
    </row>
    <row r="6" spans="1:2" x14ac:dyDescent="0.25">
      <c r="A6">
        <v>400</v>
      </c>
      <c r="B6">
        <v>987</v>
      </c>
    </row>
    <row r="7" spans="1:2" x14ac:dyDescent="0.25">
      <c r="A7">
        <v>500</v>
      </c>
      <c r="B7">
        <v>987</v>
      </c>
    </row>
    <row r="8" spans="1:2" x14ac:dyDescent="0.25">
      <c r="A8">
        <v>600</v>
      </c>
      <c r="B8">
        <v>987</v>
      </c>
    </row>
    <row r="9" spans="1:2" x14ac:dyDescent="0.25">
      <c r="A9">
        <v>700</v>
      </c>
      <c r="B9">
        <v>987</v>
      </c>
    </row>
    <row r="10" spans="1:2" x14ac:dyDescent="0.25">
      <c r="A10">
        <v>800</v>
      </c>
      <c r="B10">
        <v>987</v>
      </c>
    </row>
    <row r="11" spans="1:2" x14ac:dyDescent="0.25">
      <c r="A11">
        <v>900</v>
      </c>
      <c r="B11">
        <v>987</v>
      </c>
    </row>
    <row r="12" spans="1:2" x14ac:dyDescent="0.25">
      <c r="A12">
        <v>1000</v>
      </c>
      <c r="B12">
        <v>987</v>
      </c>
    </row>
    <row r="13" spans="1:2" x14ac:dyDescent="0.25">
      <c r="A13">
        <v>1105</v>
      </c>
      <c r="B13">
        <v>987</v>
      </c>
    </row>
    <row r="14" spans="1:2" ht="13.9" customHeight="1" x14ac:dyDescent="0.25">
      <c r="A14">
        <v>2000</v>
      </c>
      <c r="B14">
        <v>1180</v>
      </c>
    </row>
    <row r="15" spans="1:2" x14ac:dyDescent="0.25">
      <c r="A15">
        <v>2500</v>
      </c>
      <c r="B15">
        <v>1200</v>
      </c>
    </row>
    <row r="16" spans="1:2" x14ac:dyDescent="0.25">
      <c r="A16">
        <v>2750</v>
      </c>
      <c r="B16">
        <v>1215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</vt:lpstr>
      <vt:lpstr>RPM_schedule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Amos</cp:lastModifiedBy>
  <dcterms:created xsi:type="dcterms:W3CDTF">2025-03-23T22:42:55Z</dcterms:created>
  <dcterms:modified xsi:type="dcterms:W3CDTF">2025-12-09T15:57:33Z</dcterms:modified>
</cp:coreProperties>
</file>